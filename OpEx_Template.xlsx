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oelkem01_pfizer_com/Documents/Blank Templates/"/>
    </mc:Choice>
  </mc:AlternateContent>
  <xr:revisionPtr revIDLastSave="5" documentId="8_{5040555A-CF9F-427F-B628-D46BB02A8F46}" xr6:coauthVersionLast="47" xr6:coauthVersionMax="47" xr10:uidLastSave="{94E3758A-E99B-4690-ADD5-B58AFA0FAFE7}"/>
  <bookViews>
    <workbookView xWindow="1515" yWindow="1515" windowWidth="17010" windowHeight="10200" tabRatio="590" xr2:uid="{00000000-000D-0000-FFFF-FFFF00000000}"/>
  </bookViews>
  <sheets>
    <sheet name="OpEx Template" sheetId="1" r:id="rId1"/>
    <sheet name="Petes P3" sheetId="2" state="hidden" r:id="rId2"/>
    <sheet name="All POs as on 6-3-26" sheetId="3" state="hidden" r:id="rId3"/>
    <sheet name="Exception_Data" sheetId="4" state="hidden" r:id="rId4"/>
    <sheet name="Exception_Data1" sheetId="5" state="hidden" r:id="rId5"/>
  </sheets>
  <definedNames>
    <definedName name="_xlnm._FilterDatabase" localSheetId="2" hidden="1">'All POs as on 6-3-26'!$A$1:$AK$35</definedName>
    <definedName name="_xlnm._FilterDatabase" localSheetId="0" hidden="1">'OpEx Template'!$A$9:$DJ$15</definedName>
    <definedName name="_xlnm._FilterDatabase" localSheetId="1" hidden="1">'Petes P3'!$A$9:$DD$21</definedName>
    <definedName name="MonthFil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7" i="2" l="1"/>
  <c r="BU17" i="2"/>
  <c r="BP17" i="2"/>
  <c r="BK17" i="2"/>
  <c r="BF17" i="2"/>
  <c r="BA17" i="2"/>
  <c r="AV17" i="2"/>
  <c r="AQ17" i="2"/>
  <c r="AL17" i="2"/>
  <c r="AG17" i="2"/>
  <c r="R17" i="2"/>
  <c r="BV8" i="2"/>
  <c r="BW6" i="2" s="1"/>
  <c r="K8" i="2"/>
  <c r="BQ7" i="2" a="1"/>
  <c r="BQ7" i="2"/>
  <c r="BL7" i="2" a="1"/>
  <c r="BL7" i="2" s="1"/>
  <c r="BG7" i="2" a="1"/>
  <c r="BG7" i="2"/>
  <c r="BB7" i="2" a="1"/>
  <c r="BB7" i="2" s="1"/>
  <c r="AW7" i="2" a="1"/>
  <c r="AW7" i="2"/>
  <c r="AR7" i="2" a="1"/>
  <c r="AR7" i="2" s="1"/>
  <c r="AM7" i="2" a="1"/>
  <c r="AM7" i="2"/>
  <c r="AH7" i="2" a="1"/>
  <c r="AH7" i="2" s="1"/>
  <c r="AC7" i="2" a="1"/>
  <c r="AC7" i="2"/>
  <c r="X7" i="2" a="1"/>
  <c r="X7" i="2" s="1"/>
  <c r="S7" i="2" a="1"/>
  <c r="S7" i="2"/>
  <c r="N7" i="2" a="1"/>
  <c r="N7" i="2" s="1"/>
  <c r="BQ6" i="2" a="1"/>
  <c r="BQ6" i="2"/>
  <c r="BL6" i="2" a="1"/>
  <c r="BL6" i="2" s="1"/>
  <c r="BG6" i="2" a="1"/>
  <c r="BG6" i="2"/>
  <c r="BB6" i="2" a="1"/>
  <c r="BB6" i="2" s="1"/>
  <c r="AW6" i="2" a="1"/>
  <c r="AW6" i="2"/>
  <c r="AR6" i="2" a="1"/>
  <c r="AR6" i="2" s="1"/>
  <c r="AM6" i="2" a="1"/>
  <c r="AM6" i="2"/>
  <c r="AH6" i="2" a="1"/>
  <c r="AH6" i="2" s="1"/>
  <c r="AC6" i="2" a="1"/>
  <c r="AC6" i="2"/>
  <c r="X6" i="2" a="1"/>
  <c r="X6" i="2" s="1"/>
  <c r="S6" i="2" a="1"/>
  <c r="S6" i="2"/>
  <c r="N6" i="2" a="1"/>
  <c r="N6" i="2" s="1"/>
  <c r="CB11" i="1"/>
  <c r="CA11" i="1"/>
  <c r="BV11" i="1"/>
  <c r="BQ11" i="1"/>
  <c r="BL11" i="1"/>
  <c r="BG11" i="1"/>
  <c r="BB11" i="1"/>
  <c r="AW11" i="1"/>
  <c r="AR11" i="1"/>
  <c r="AM11" i="1"/>
  <c r="X11" i="1"/>
  <c r="S11" i="1"/>
  <c r="CB8" i="1"/>
  <c r="L8" i="1"/>
  <c r="K8" i="1"/>
  <c r="BW7" i="1" a="1"/>
  <c r="BW7" i="1" s="1"/>
  <c r="BR7" i="1" a="1"/>
  <c r="BR7" i="1" s="1"/>
  <c r="BM7" i="1" a="1"/>
  <c r="BM7" i="1" s="1"/>
  <c r="BH7" i="1" a="1"/>
  <c r="BH7" i="1" s="1"/>
  <c r="BC7" i="1" a="1"/>
  <c r="BC7" i="1" s="1"/>
  <c r="AX7" i="1" a="1"/>
  <c r="AX7" i="1" s="1"/>
  <c r="AS7" i="1" a="1"/>
  <c r="AS7" i="1" s="1"/>
  <c r="AN7" i="1" a="1"/>
  <c r="AN7" i="1" s="1"/>
  <c r="AI7" i="1" a="1"/>
  <c r="AI7" i="1" s="1"/>
  <c r="AD7" i="1" a="1"/>
  <c r="AD7" i="1" s="1"/>
  <c r="Y7" i="1" a="1"/>
  <c r="Y7" i="1"/>
  <c r="T7" i="1" a="1"/>
  <c r="T7" i="1" s="1"/>
  <c r="O7" i="1" a="1"/>
  <c r="O7" i="1" s="1"/>
  <c r="CC6" i="1"/>
  <c r="BW6" i="1" a="1"/>
  <c r="BW6" i="1" s="1"/>
  <c r="BR6" i="1" a="1"/>
  <c r="BR6" i="1" s="1"/>
  <c r="BM6" i="1" a="1"/>
  <c r="BM6" i="1" s="1"/>
  <c r="BH6" i="1" a="1"/>
  <c r="BH6" i="1"/>
  <c r="BC6" i="1" a="1"/>
  <c r="BC6" i="1" s="1"/>
  <c r="AX6" i="1" a="1"/>
  <c r="AX6" i="1" s="1"/>
  <c r="AS6" i="1" a="1"/>
  <c r="AS6" i="1" s="1"/>
  <c r="AN6" i="1" a="1"/>
  <c r="AN6" i="1" s="1"/>
  <c r="AI6" i="1" a="1"/>
  <c r="AI6" i="1" s="1"/>
  <c r="AD6" i="1" a="1"/>
  <c r="AD6" i="1" s="1"/>
  <c r="Y6" i="1" a="1"/>
  <c r="Y6" i="1" s="1"/>
  <c r="T6" i="1"/>
  <c r="O6" i="1"/>
</calcChain>
</file>

<file path=xl/sharedStrings.xml><?xml version="1.0" encoding="utf-8"?>
<sst xmlns="http://schemas.openxmlformats.org/spreadsheetml/2006/main" count="1073" uniqueCount="270">
  <si>
    <t xml:space="preserve"> Cost Center</t>
  </si>
  <si>
    <t>Contingency:</t>
  </si>
  <si>
    <t>Planful Actuals</t>
  </si>
  <si>
    <t>Total:</t>
  </si>
  <si>
    <t>INVOICE TOTAL</t>
  </si>
  <si>
    <t>PO TOTAL</t>
  </si>
  <si>
    <t xml:space="preserve">Forecast Spreadsheet Actuals: </t>
  </si>
  <si>
    <t>EXPENSE</t>
  </si>
  <si>
    <t xml:space="preserve">Month: </t>
  </si>
  <si>
    <t>2/29/2026</t>
  </si>
  <si>
    <t>Contact for PO/ER</t>
  </si>
  <si>
    <t>PO Number/ER Number</t>
  </si>
  <si>
    <t>PO Start Date</t>
  </si>
  <si>
    <t>PO end date</t>
  </si>
  <si>
    <t>Vendor Name</t>
  </si>
  <si>
    <t>WBS</t>
  </si>
  <si>
    <t>G/L Account</t>
  </si>
  <si>
    <t>UID</t>
  </si>
  <si>
    <t>LE</t>
  </si>
  <si>
    <t>Country</t>
  </si>
  <si>
    <t>Cost Center</t>
  </si>
  <si>
    <t>Invoice Amount</t>
  </si>
  <si>
    <t>PO Total</t>
  </si>
  <si>
    <t>GL Transaction Description</t>
  </si>
  <si>
    <t>PO Status</t>
  </si>
  <si>
    <t>Accrual Reversal Nov (25)</t>
  </si>
  <si>
    <t>Forecast Dec (25)</t>
  </si>
  <si>
    <t>Accrual Dec (25)</t>
  </si>
  <si>
    <t>Actual   Dec (25)</t>
  </si>
  <si>
    <t>Variance (Actuals/Accruals</t>
  </si>
  <si>
    <t>Accrual Reversal Dec (25)</t>
  </si>
  <si>
    <t>Forecast Jan</t>
  </si>
  <si>
    <t>Accrual Jan</t>
  </si>
  <si>
    <t>Actual   Jan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</si>
  <si>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</si>
  <si>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</si>
  <si>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</si>
  <si>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</si>
  <si>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</si>
  <si>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</si>
  <si>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</si>
  <si>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</si>
  <si>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</si>
  <si>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</si>
  <si>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</si>
  <si>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</si>
  <si>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</si>
  <si>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</si>
  <si>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</si>
  <si>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Actual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</si>
  <si>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</si>
  <si>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</si>
  <si>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</si>
  <si>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</si>
  <si>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</si>
  <si>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</si>
  <si>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</si>
  <si>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</si>
  <si>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</si>
  <si>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</si>
  <si>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</si>
  <si>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</si>
  <si>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</si>
  <si>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</si>
  <si>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</si>
  <si>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</si>
  <si>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</si>
  <si>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</si>
  <si>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</si>
  <si>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</si>
  <si>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</si>
  <si>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</si>
  <si>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</si>
  <si>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</si>
  <si>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</si>
  <si>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</si>
  <si>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</si>
  <si>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</si>
  <si>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2026</t>
  </si>
  <si>
    <t>CPA Budget &lt;YEAR&gt;</t>
  </si>
  <si>
    <t>Comments</t>
  </si>
  <si>
    <t>Previous Period Invoices</t>
  </si>
  <si>
    <t>EXPENSE END</t>
  </si>
  <si>
    <t>NOTE:-</t>
  </si>
  <si>
    <t>Chargeout Cost Center</t>
  </si>
  <si>
    <t>Review with Pete</t>
  </si>
  <si>
    <t>International PO's</t>
  </si>
  <si>
    <t>KINJAL TO DO</t>
  </si>
  <si>
    <t>Pull Forward Credits</t>
  </si>
  <si>
    <t>PO Number/
ER Number</t>
  </si>
  <si>
    <t>Gross PO Value  (USD)</t>
  </si>
  <si>
    <t>Requisition 
Title</t>
  </si>
  <si>
    <t>Accrual Reversal Dec</t>
  </si>
  <si>
    <t>Melanie Boves</t>
  </si>
  <si>
    <t>COMPUCOM SYSTEMS INC</t>
  </si>
  <si>
    <t>IT-FBT0213-OG-US-00</t>
  </si>
  <si>
    <t>US</t>
  </si>
  <si>
    <t>2026 COMPUCOM SAP BASIS STAFF AUGMENTATION(REGI)</t>
  </si>
  <si>
    <t>OPEN</t>
  </si>
  <si>
    <t>GOMEZA79[COI]2026 COMPUCOM SAP BASIS STAFF AUGMENTATION(STEW</t>
  </si>
  <si>
    <t>GOMEZA792026 COMPUCOM SAP BASIS STAFF AUGMENTATION(SWATHI)[4</t>
  </si>
  <si>
    <t>2026 ERP LIFECYCLE COMPUCOM RESOURCE(DILIP)</t>
  </si>
  <si>
    <t>2026 ERP LIFECYCLE COMPUCOM RESOURCE(ADITYA)</t>
  </si>
  <si>
    <t>GOMEZA79[COI]2026 ERP LIFECYCLE COMPUCOM RESOURCE(VENKATA)[4</t>
  </si>
  <si>
    <t>IBM CORP</t>
  </si>
  <si>
    <t>2026 IBM SAP SVO BASIS STAFF AUGMENTATION</t>
  </si>
  <si>
    <t xml:space="preserve">? - Vendor AP05 Forecasting file checked </t>
  </si>
  <si>
    <t>? - AP04 invoices checked</t>
  </si>
  <si>
    <t> </t>
  </si>
  <si>
    <t>Date - Latest  Receipt</t>
  </si>
  <si>
    <t>Date - Latest  Invoice</t>
  </si>
  <si>
    <t>PO   Quantity</t>
  </si>
  <si>
    <t>GR  Quantity</t>
  </si>
  <si>
    <t>Open  Quantity</t>
  </si>
  <si>
    <t>Gross PO Value (USD)</t>
  </si>
  <si>
    <t>Net PO Value  (Order Currency)</t>
  </si>
  <si>
    <t>Invoice Value  (Order Currency)</t>
  </si>
  <si>
    <t>Net Open Order Value  (Order Currency)</t>
  </si>
  <si>
    <t>Days Past Delivery Date</t>
  </si>
  <si>
    <t>PO Number</t>
  </si>
  <si>
    <t>Requisition Number</t>
  </si>
  <si>
    <t>Date - PO Create</t>
  </si>
  <si>
    <t>Requisition Title</t>
  </si>
  <si>
    <t>Vendor - Global Reporting</t>
  </si>
  <si>
    <t>PO Line</t>
  </si>
  <si>
    <t>Product Description</t>
  </si>
  <si>
    <t>Company Code</t>
  </si>
  <si>
    <t>WBS Element</t>
  </si>
  <si>
    <t>PO Currency</t>
  </si>
  <si>
    <t>Deliver to Country</t>
  </si>
  <si>
    <t>PO Created By</t>
  </si>
  <si>
    <t>Requester (PO)</t>
  </si>
  <si>
    <t>On Behalf Of</t>
  </si>
  <si>
    <t>Deliver To</t>
  </si>
  <si>
    <t>Date - Validity Start</t>
  </si>
  <si>
    <t>Date - Validity End</t>
  </si>
  <si>
    <t>Final Delivery Indicator</t>
  </si>
  <si>
    <t>Goods Rcpt Required</t>
  </si>
  <si>
    <t>Internal Order - SAP</t>
  </si>
  <si>
    <t>$</t>
  </si>
  <si>
    <t>PR12164924-V2</t>
  </si>
  <si>
    <t>CLOSED</t>
  </si>
  <si>
    <t>2026-2028 SECURITY BRIDGE - SAP ERP SECURITY PLATFORM / SAP</t>
  </si>
  <si>
    <t>SECURITYBRIDGE INC</t>
  </si>
  <si>
    <t>COMPUTER SOFTWARE (901)</t>
  </si>
  <si>
    <t>2026-2028 SECURITY BRIDGE - SAP ERP SECU</t>
  </si>
  <si>
    <t>IT-SFT1003-86-OG-US</t>
  </si>
  <si>
    <t>US Dollar</t>
  </si>
  <si>
    <t>United States</t>
  </si>
  <si>
    <t>BOVEM01</t>
  </si>
  <si>
    <t>MCCORMP2</t>
  </si>
  <si>
    <t>No</t>
  </si>
  <si>
    <t>Not assigned</t>
  </si>
  <si>
    <t>1 AU</t>
  </si>
  <si>
    <t>0 AU</t>
  </si>
  <si>
    <t>PR12144541</t>
  </si>
  <si>
    <t>DELL PROSUPPORT PLUS AT SOMERSET, NJ (WWT QUOTE #7560405)</t>
  </si>
  <si>
    <t>WORLD WIDE TECHNOLOGY LLC</t>
  </si>
  <si>
    <t>HARDWARE/ HARDWARE MAINTENANCE (927)</t>
  </si>
  <si>
    <t>DELL PROSUPPORT PLUS AT SOMERSET, NJ (WW</t>
  </si>
  <si>
    <t>IT-HRD0004-OG-US-SS</t>
  </si>
  <si>
    <t>COMPUTER SOFTWARE-MAINTENANCE (901)</t>
  </si>
  <si>
    <t>IT-SFT1283-86-OG-US</t>
  </si>
  <si>
    <t>PR12144508</t>
  </si>
  <si>
    <t>DELL PROSUPPORT PLUS AT DURHAM, NC (WWT QUOTE #7560159)</t>
  </si>
  <si>
    <t>DELL PROSUPPORT PLUS AT DURHAM, NC (WWT</t>
  </si>
  <si>
    <t>IT-HRD0003-OG-US-DH</t>
  </si>
  <si>
    <t>IT-SFT1284-86-OG-US</t>
  </si>
  <si>
    <t>PR12166882</t>
  </si>
  <si>
    <t>SAP BASIS - IBM AMS 2026 (YEAR 2)</t>
  </si>
  <si>
    <t>PROFESSIONAL SRVCS-SYSTEM DEVELOPMENT (915)</t>
  </si>
  <si>
    <t>IT-CTR0130-OG-US-00</t>
  </si>
  <si>
    <t>PR12186457</t>
  </si>
  <si>
    <t>CONSULTANT EXPENSE (915)</t>
  </si>
  <si>
    <t>2026 COMPUCOM SAP BASIS STAFF AUGMENTATI</t>
  </si>
  <si>
    <t>PR12186450</t>
  </si>
  <si>
    <t>PR12186467</t>
  </si>
  <si>
    <t>PR12121879</t>
  </si>
  <si>
    <t>2026 IBM POWER10 HWMA AND HMC - SOMERSET</t>
  </si>
  <si>
    <t>OFFICE EQUIPMENT REPAIRS (905)</t>
  </si>
  <si>
    <t>IT-HRD0005-OG-US-SS</t>
  </si>
  <si>
    <t>PR12121862</t>
  </si>
  <si>
    <t>2026-2028 SUREMDM ENTERPRISE LICENSE RENEWAL BY UNIT</t>
  </si>
  <si>
    <t>AVALON INTEGRATION INC</t>
  </si>
  <si>
    <t>2026-2028 SUREMDM ENTERPRISE - SAAS ANNU</t>
  </si>
  <si>
    <t>IT-SFT1172-86-OG-US</t>
  </si>
  <si>
    <t>Yes</t>
  </si>
  <si>
    <t>3,900 EA</t>
  </si>
  <si>
    <t>0 EA</t>
  </si>
  <si>
    <t>PR12121875</t>
  </si>
  <si>
    <t>2026 IBM POWER10 HWMA AND HMC - DURHAM</t>
  </si>
  <si>
    <t>IT-HRD0006-OG-US-DH</t>
  </si>
  <si>
    <t>PR12147448</t>
  </si>
  <si>
    <t>JUDGE GROUP - SAP PLATFORM ADMINISTRATION (2026 DS)</t>
  </si>
  <si>
    <t>JUDGE TECHNICAL STAFFING</t>
  </si>
  <si>
    <t>JUDGE GROUP - SAP PLATFORM ADMINISTRATIO</t>
  </si>
  <si>
    <t>IT-CTR0093-OG-US-00</t>
  </si>
  <si>
    <t>PR12147442</t>
  </si>
  <si>
    <t>JUDGE GROUP - SAP PLATFORM ADMINISTRATION (TC 2026)</t>
  </si>
  <si>
    <t>PR12186033</t>
  </si>
  <si>
    <t>2026 COMPUCOM RESOURCE(DILIP)</t>
  </si>
  <si>
    <t>PR12186189</t>
  </si>
  <si>
    <t>2026 COMPUCOM RESOURCE(ADITYA)</t>
  </si>
  <si>
    <t>PR12186203</t>
  </si>
  <si>
    <t>2026 COMPUCOM RESOURCE(VENKATA)</t>
  </si>
  <si>
    <t>PR12107231</t>
  </si>
  <si>
    <t>2026 IBM POWER10 AND POWERHA SOFTWARE MAINTENANCE - SOMERSET</t>
  </si>
  <si>
    <t>2026 IBM POWER10 AND POWERHA SOFTWARE MA</t>
  </si>
  <si>
    <t>IT-SFT1257-86-OG-US</t>
  </si>
  <si>
    <t>PR12377475</t>
  </si>
  <si>
    <t>2026 IBM SAP SVO BASIS STAFF AUGMENTATIO</t>
  </si>
  <si>
    <t>SMITHM8</t>
  </si>
  <si>
    <t>PR12121873</t>
  </si>
  <si>
    <t>2026 IBM POWER10 AND POWERHA SOFTWARE MAINTENANCE - DURHAM</t>
  </si>
  <si>
    <t>PR12193630</t>
  </si>
  <si>
    <t>SWC - ORACLE - DIAGNOSTIC PACK - SUPPORT SERVICE CONTRACT 61</t>
  </si>
  <si>
    <t>ORACLE CORP</t>
  </si>
  <si>
    <t>ORACLE - DIAGNOSTIC PACK - SUPPORT SERVI</t>
  </si>
  <si>
    <t>IT-SFT1006-86-OG-US</t>
  </si>
  <si>
    <t>SCHNEC11</t>
  </si>
  <si>
    <t>BUSHNK</t>
  </si>
  <si>
    <t>PR12186507</t>
  </si>
  <si>
    <t>2026 IBM ERP - IBM SYSTEM LAB SERVICES</t>
  </si>
  <si>
    <t>IT-FBT0831-OT-US-00</t>
  </si>
  <si>
    <t>PR12121853</t>
  </si>
  <si>
    <t>2026-2027 ERP CONSOLIDATED STORIX LICENSES FOR LINUX SIRIUS</t>
  </si>
  <si>
    <t>SIRIUS COMPUTER SOLUTIONS</t>
  </si>
  <si>
    <t>2026-2027 ERP CONSOLIDATED STORIX LICENS</t>
  </si>
  <si>
    <t>IT-SFT1401-OG-US-00</t>
  </si>
  <si>
    <t>PEREZJ18</t>
  </si>
  <si>
    <t>PR12186516</t>
  </si>
  <si>
    <t>2026 IBM HOURLY SUPPORT SERVICES</t>
  </si>
  <si>
    <t>IT-FBT0832-OT-US-00</t>
  </si>
  <si>
    <t>PR11851835</t>
  </si>
  <si>
    <t>SWC: PRINCE FOR AIX MAINTENANCE (3-YEAR) (18JUN2025-18JUN202</t>
  </si>
  <si>
    <t>YESLOGIC PTY LTD</t>
  </si>
  <si>
    <t>PRINCE FOR AIX - MAINTENANCE QTY: 1 AMOU</t>
  </si>
  <si>
    <t>GREWAJ02</t>
  </si>
  <si>
    <t>MEADOWL</t>
  </si>
  <si>
    <t>1 EA</t>
  </si>
  <si>
    <t>PR12121857</t>
  </si>
  <si>
    <t>2026 IBM AIX 7.1 EXTENDED MAINTENANCE JAN26-APR27</t>
  </si>
  <si>
    <t>2026 IBM AIX 7.1 EXTENDED MAINTENANCE</t>
  </si>
  <si>
    <t>IT-SFT1410-OG-US-00</t>
  </si>
  <si>
    <t>PR12121851</t>
  </si>
  <si>
    <t>2026 ASUG MEMBERSHIP RENEWAL</t>
  </si>
  <si>
    <t>AMERICAS SAP USERS GROUP</t>
  </si>
  <si>
    <t>DUES &amp; SUBSCRIPTIONS-MEMBERSHIPS (911)</t>
  </si>
  <si>
    <t>IT-SFT1249-86-OG-US</t>
  </si>
  <si>
    <t>PR11935951</t>
  </si>
  <si>
    <t>SWC - GLOBALSCAPE EFT MAINTENANCE - (8.1.2025 - 7.31.2026)</t>
  </si>
  <si>
    <t>FORTRA LLC</t>
  </si>
  <si>
    <t>M &amp; S [PRO] - EFT EXPRESS - RENEWAL PAR</t>
  </si>
  <si>
    <t>DOUGHERC</t>
  </si>
  <si>
    <t>M &amp; S [PRO] - EFT SFTP MODULE - RENEWAL</t>
  </si>
  <si>
    <t>PR11827641</t>
  </si>
  <si>
    <t>2025 IBM POWERVM LPM/SRR AUTOMATION TOOL - ENTERPRISE MAINTE</t>
  </si>
  <si>
    <t>2025 IBM POWERVM LPM/SRR AUTOMATION TOOL</t>
  </si>
  <si>
    <t>PR12329031</t>
  </si>
  <si>
    <t>2026 IBM POWERVM LPM/SRR AUTOMATION TOOL - ENTERPRISE MAINTE</t>
  </si>
  <si>
    <t>2026 IBM POWERVM LPM/SRR AUTOMATION TOOL</t>
  </si>
  <si>
    <t>PO</t>
  </si>
  <si>
    <t>Exception Type</t>
  </si>
  <si>
    <t>Month</t>
  </si>
  <si>
    <t>Amount</t>
  </si>
  <si>
    <t>Type</t>
  </si>
  <si>
    <t>2329947</t>
  </si>
  <si>
    <t>MISSING_WBS_AND_PO</t>
  </si>
  <si>
    <t>Undefined</t>
  </si>
  <si>
    <t>Reclass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</si>
</sst>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&quot;$&quot;#,##0.00"/>
    <numFmt numFmtId="167" formatCode="00000"/>
    <numFmt numFmtId="168" formatCode="m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4F4D4A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</font>
    <font>
      <sz val="11"/>
      <name val="Calibri"/>
      <family val="2"/>
      <scheme val="minor"/>
    </font>
    <font>
      <b/>
      <sz val="11"/>
      <color rgb="FFFFFFFF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2"/>
      <color rgb="FF000067"/>
      <name val="Calibri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CCED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0067"/>
        <bgColor rgb="FF000067"/>
      </patternFill>
    </fill>
    <fill>
      <patternFill patternType="solid">
        <fgColor rgb="FFE8F2FF"/>
        <bgColor rgb="FFE8F2FF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44" fontId="1" fillId="0" borderId="0"/>
    <xf numFmtId="0" fontId="6" fillId="0" borderId="0"/>
  </cellStyleXfs>
  <cellXfs count="142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2" fillId="0" borderId="0" xfId="0" applyFont="1"/>
    <xf numFmtId="3" fontId="5" fillId="4" borderId="0" xfId="0" applyNumberFormat="1" applyFont="1" applyFill="1" applyAlignment="1">
      <alignment horizontal="left"/>
    </xf>
    <xf numFmtId="3" fontId="5" fillId="0" borderId="0" xfId="0" applyNumberFormat="1" applyFont="1"/>
    <xf numFmtId="0" fontId="7" fillId="2" borderId="7" xfId="3" applyFont="1" applyFill="1" applyBorder="1" applyAlignment="1">
      <alignment horizontal="left" wrapText="1"/>
    </xf>
    <xf numFmtId="1" fontId="8" fillId="2" borderId="8" xfId="3" applyNumberFormat="1" applyFont="1" applyFill="1" applyBorder="1" applyAlignment="1">
      <alignment horizontal="center" wrapText="1"/>
    </xf>
    <xf numFmtId="164" fontId="8" fillId="2" borderId="8" xfId="3" applyNumberFormat="1" applyFont="1" applyFill="1" applyBorder="1" applyAlignment="1">
      <alignment horizontal="center" wrapText="1"/>
    </xf>
    <xf numFmtId="0" fontId="8" fillId="2" borderId="8" xfId="3" applyFont="1" applyFill="1" applyBorder="1" applyAlignment="1">
      <alignment horizontal="center" wrapText="1"/>
    </xf>
    <xf numFmtId="165" fontId="7" fillId="2" borderId="8" xfId="3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7" fillId="2" borderId="9" xfId="3" applyFont="1" applyFill="1" applyBorder="1" applyAlignment="1">
      <alignment wrapText="1"/>
    </xf>
    <xf numFmtId="165" fontId="7" fillId="2" borderId="1" xfId="3" applyNumberFormat="1" applyFont="1" applyFill="1" applyBorder="1" applyAlignment="1">
      <alignment horizontal="center" wrapText="1"/>
    </xf>
    <xf numFmtId="165" fontId="7" fillId="2" borderId="10" xfId="3" applyNumberFormat="1" applyFont="1" applyFill="1" applyBorder="1" applyAlignment="1">
      <alignment horizontal="center" wrapText="1"/>
    </xf>
    <xf numFmtId="0" fontId="7" fillId="2" borderId="11" xfId="3" applyFont="1" applyFill="1" applyBorder="1" applyAlignment="1">
      <alignment wrapText="1"/>
    </xf>
    <xf numFmtId="0" fontId="0" fillId="3" borderId="0" xfId="0" applyFill="1"/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3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6" fontId="9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6" fontId="7" fillId="2" borderId="8" xfId="3" applyNumberFormat="1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/>
    </xf>
    <xf numFmtId="0" fontId="2" fillId="7" borderId="15" xfId="0" applyFont="1" applyFill="1" applyBorder="1"/>
    <xf numFmtId="166" fontId="2" fillId="7" borderId="16" xfId="0" applyNumberFormat="1" applyFont="1" applyFill="1" applyBorder="1" applyAlignment="1">
      <alignment horizontal="left"/>
    </xf>
    <xf numFmtId="4" fontId="9" fillId="5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0" fontId="0" fillId="3" borderId="13" xfId="0" applyFill="1" applyBorder="1"/>
    <xf numFmtId="0" fontId="0" fillId="3" borderId="18" xfId="0" applyFill="1" applyBorder="1"/>
    <xf numFmtId="14" fontId="0" fillId="3" borderId="18" xfId="0" applyNumberFormat="1" applyFill="1" applyBorder="1"/>
    <xf numFmtId="166" fontId="0" fillId="3" borderId="18" xfId="0" applyNumberFormat="1" applyFill="1" applyBorder="1" applyAlignment="1">
      <alignment horizontal="left"/>
    </xf>
    <xf numFmtId="0" fontId="0" fillId="3" borderId="14" xfId="0" applyFill="1" applyBorder="1"/>
    <xf numFmtId="0" fontId="0" fillId="0" borderId="0" xfId="0" applyAlignment="1">
      <alignment horizontal="right"/>
    </xf>
    <xf numFmtId="0" fontId="10" fillId="0" borderId="14" xfId="0" applyFont="1" applyBorder="1" applyAlignment="1">
      <alignment horizontal="right" vertical="center"/>
    </xf>
    <xf numFmtId="4" fontId="0" fillId="0" borderId="0" xfId="0" applyNumberFormat="1" applyAlignment="1">
      <alignment horizontal="right"/>
    </xf>
    <xf numFmtId="1" fontId="8" fillId="2" borderId="8" xfId="3" applyNumberFormat="1" applyFont="1" applyFill="1" applyBorder="1" applyAlignment="1">
      <alignment horizontal="right" wrapText="1"/>
    </xf>
    <xf numFmtId="0" fontId="0" fillId="3" borderId="18" xfId="0" applyFill="1" applyBorder="1" applyAlignment="1">
      <alignment horizontal="right"/>
    </xf>
    <xf numFmtId="0" fontId="2" fillId="5" borderId="15" xfId="0" applyFont="1" applyFill="1" applyBorder="1"/>
    <xf numFmtId="165" fontId="7" fillId="2" borderId="7" xfId="3" applyNumberFormat="1" applyFont="1" applyFill="1" applyBorder="1" applyAlignment="1">
      <alignment horizontal="center" wrapText="1"/>
    </xf>
    <xf numFmtId="165" fontId="7" fillId="2" borderId="9" xfId="3" applyNumberFormat="1" applyFont="1" applyFill="1" applyBorder="1" applyAlignment="1">
      <alignment horizontal="center" wrapText="1"/>
    </xf>
    <xf numFmtId="165" fontId="7" fillId="2" borderId="11" xfId="3" applyNumberFormat="1" applyFont="1" applyFill="1" applyBorder="1" applyAlignment="1">
      <alignment horizontal="center" wrapText="1"/>
    </xf>
    <xf numFmtId="3" fontId="0" fillId="0" borderId="17" xfId="0" applyNumberFormat="1" applyBorder="1"/>
    <xf numFmtId="3" fontId="0" fillId="3" borderId="18" xfId="0" applyNumberFormat="1" applyFill="1" applyBorder="1"/>
    <xf numFmtId="165" fontId="7" fillId="2" borderId="8" xfId="3" applyNumberFormat="1" applyFont="1" applyFill="1" applyBorder="1" applyAlignment="1">
      <alignment horizontal="center"/>
    </xf>
    <xf numFmtId="0" fontId="0" fillId="8" borderId="0" xfId="0" applyFill="1"/>
    <xf numFmtId="0" fontId="2" fillId="8" borderId="0" xfId="0" applyFont="1" applyFill="1"/>
    <xf numFmtId="0" fontId="0" fillId="5" borderId="0" xfId="0" applyFill="1"/>
    <xf numFmtId="4" fontId="0" fillId="0" borderId="0" xfId="0" applyNumberFormat="1"/>
    <xf numFmtId="4" fontId="4" fillId="9" borderId="0" xfId="0" applyNumberFormat="1" applyFont="1" applyFill="1"/>
    <xf numFmtId="4" fontId="9" fillId="9" borderId="0" xfId="0" applyNumberFormat="1" applyFont="1" applyFill="1" applyAlignment="1">
      <alignment horizontal="center"/>
    </xf>
    <xf numFmtId="166" fontId="0" fillId="0" borderId="0" xfId="0" applyNumberFormat="1"/>
    <xf numFmtId="0" fontId="11" fillId="10" borderId="22" xfId="0" applyFont="1" applyFill="1" applyBorder="1"/>
    <xf numFmtId="0" fontId="11" fillId="10" borderId="23" xfId="0" applyFont="1" applyFill="1" applyBorder="1"/>
    <xf numFmtId="0" fontId="11" fillId="10" borderId="24" xfId="0" applyFont="1" applyFill="1" applyBorder="1"/>
    <xf numFmtId="0" fontId="11" fillId="10" borderId="25" xfId="0" applyFont="1" applyFill="1" applyBorder="1"/>
    <xf numFmtId="0" fontId="12" fillId="0" borderId="24" xfId="0" applyFont="1" applyBorder="1"/>
    <xf numFmtId="0" fontId="12" fillId="0" borderId="25" xfId="0" applyFont="1" applyBorder="1"/>
    <xf numFmtId="14" fontId="12" fillId="0" borderId="25" xfId="0" applyNumberFormat="1" applyFont="1" applyBorder="1"/>
    <xf numFmtId="3" fontId="12" fillId="0" borderId="25" xfId="0" applyNumberFormat="1" applyFont="1" applyBorder="1"/>
    <xf numFmtId="0" fontId="10" fillId="0" borderId="0" xfId="0" applyFont="1" applyAlignment="1">
      <alignment horizontal="right" vertical="center"/>
    </xf>
    <xf numFmtId="0" fontId="0" fillId="0" borderId="20" xfId="0" applyBorder="1"/>
    <xf numFmtId="0" fontId="0" fillId="0" borderId="19" xfId="0" applyBorder="1" applyAlignment="1">
      <alignment horizontal="right" wrapText="1"/>
    </xf>
    <xf numFmtId="14" fontId="0" fillId="0" borderId="19" xfId="0" applyNumberFormat="1" applyBorder="1"/>
    <xf numFmtId="0" fontId="0" fillId="0" borderId="19" xfId="0" applyBorder="1"/>
    <xf numFmtId="166" fontId="0" fillId="0" borderId="19" xfId="0" applyNumberFormat="1" applyBorder="1" applyAlignment="1">
      <alignment horizontal="left"/>
    </xf>
    <xf numFmtId="0" fontId="0" fillId="0" borderId="19" xfId="0" applyBorder="1" applyAlignment="1">
      <alignment wrapText="1"/>
    </xf>
    <xf numFmtId="3" fontId="0" fillId="0" borderId="19" xfId="0" applyNumberFormat="1" applyBorder="1"/>
    <xf numFmtId="0" fontId="0" fillId="0" borderId="21" xfId="0" applyBorder="1"/>
    <xf numFmtId="167" fontId="10" fillId="0" borderId="0" xfId="0" applyNumberFormat="1" applyFont="1" applyAlignment="1">
      <alignment horizontal="left" vertical="center"/>
    </xf>
    <xf numFmtId="0" fontId="10" fillId="0" borderId="13" xfId="0" applyFont="1" applyBorder="1" applyAlignment="1">
      <alignment horizontal="left"/>
    </xf>
    <xf numFmtId="0" fontId="8" fillId="0" borderId="0" xfId="0" applyFont="1"/>
    <xf numFmtId="3" fontId="0" fillId="11" borderId="19" xfId="0" applyNumberFormat="1" applyFill="1" applyBorder="1"/>
    <xf numFmtId="0" fontId="13" fillId="0" borderId="0" xfId="0" applyFont="1"/>
    <xf numFmtId="4" fontId="9" fillId="11" borderId="0" xfId="0" applyNumberFormat="1" applyFont="1" applyFill="1" applyAlignment="1">
      <alignment horizontal="left"/>
    </xf>
    <xf numFmtId="0" fontId="0" fillId="11" borderId="0" xfId="0" applyFill="1"/>
    <xf numFmtId="165" fontId="2" fillId="11" borderId="0" xfId="0" applyNumberFormat="1" applyFont="1" applyFill="1" applyAlignment="1">
      <alignment horizontal="left"/>
    </xf>
    <xf numFmtId="0" fontId="2" fillId="11" borderId="0" xfId="0" applyFont="1" applyFill="1"/>
    <xf numFmtId="4" fontId="4" fillId="11" borderId="0" xfId="0" applyNumberFormat="1" applyFont="1" applyFill="1"/>
    <xf numFmtId="4" fontId="9" fillId="11" borderId="0" xfId="0" applyNumberFormat="1" applyFont="1" applyFill="1"/>
    <xf numFmtId="0" fontId="16" fillId="13" borderId="0" xfId="0" applyFont="1" applyFill="1"/>
    <xf numFmtId="3" fontId="16" fillId="13" borderId="0" xfId="0" applyNumberFormat="1" applyFont="1" applyFill="1" applyAlignment="1">
      <alignment horizontal="left"/>
    </xf>
    <xf numFmtId="0" fontId="17" fillId="12" borderId="15" xfId="0" applyFont="1" applyFill="1" applyBorder="1"/>
    <xf numFmtId="166" fontId="16" fillId="13" borderId="16" xfId="0" applyNumberFormat="1" applyFont="1" applyFill="1" applyBorder="1" applyAlignment="1">
      <alignment horizontal="left"/>
    </xf>
    <xf numFmtId="3" fontId="16" fillId="13" borderId="0" xfId="0" applyNumberFormat="1" applyFont="1" applyFill="1"/>
    <xf numFmtId="0" fontId="15" fillId="12" borderId="7" xfId="3" applyFont="1" applyFill="1" applyBorder="1" applyAlignment="1">
      <alignment horizontal="left" wrapText="1"/>
    </xf>
    <xf numFmtId="1" fontId="15" fillId="12" borderId="8" xfId="3" applyNumberFormat="1" applyFont="1" applyFill="1" applyBorder="1" applyAlignment="1">
      <alignment horizontal="right" wrapText="1"/>
    </xf>
    <xf numFmtId="1" fontId="15" fillId="12" borderId="8" xfId="3" applyNumberFormat="1" applyFont="1" applyFill="1" applyBorder="1" applyAlignment="1">
      <alignment horizontal="center" wrapText="1"/>
    </xf>
    <xf numFmtId="164" fontId="15" fillId="12" borderId="8" xfId="3" applyNumberFormat="1" applyFont="1" applyFill="1" applyBorder="1" applyAlignment="1">
      <alignment horizontal="center" wrapText="1"/>
    </xf>
    <xf numFmtId="0" fontId="15" fillId="12" borderId="8" xfId="3" applyFont="1" applyFill="1" applyBorder="1" applyAlignment="1">
      <alignment horizontal="center" wrapText="1"/>
    </xf>
    <xf numFmtId="166" fontId="15" fillId="12" borderId="8" xfId="3" applyNumberFormat="1" applyFont="1" applyFill="1" applyBorder="1" applyAlignment="1">
      <alignment horizontal="left" wrapText="1"/>
    </xf>
    <xf numFmtId="0" fontId="15" fillId="12" borderId="1" xfId="0" applyFont="1" applyFill="1" applyBorder="1" applyAlignment="1">
      <alignment wrapText="1"/>
    </xf>
    <xf numFmtId="0" fontId="15" fillId="12" borderId="9" xfId="3" applyFont="1" applyFill="1" applyBorder="1" applyAlignment="1">
      <alignment wrapText="1"/>
    </xf>
    <xf numFmtId="165" fontId="15" fillId="12" borderId="7" xfId="3" applyNumberFormat="1" applyFont="1" applyFill="1" applyBorder="1" applyAlignment="1">
      <alignment horizontal="center" wrapText="1"/>
    </xf>
    <xf numFmtId="165" fontId="15" fillId="12" borderId="8" xfId="3" applyNumberFormat="1" applyFont="1" applyFill="1" applyBorder="1" applyAlignment="1">
      <alignment horizontal="center"/>
    </xf>
    <xf numFmtId="165" fontId="15" fillId="12" borderId="8" xfId="3" applyNumberFormat="1" applyFont="1" applyFill="1" applyBorder="1" applyAlignment="1">
      <alignment horizontal="center" wrapText="1"/>
    </xf>
    <xf numFmtId="165" fontId="15" fillId="12" borderId="1" xfId="3" applyNumberFormat="1" applyFont="1" applyFill="1" applyBorder="1" applyAlignment="1">
      <alignment horizontal="center" wrapText="1"/>
    </xf>
    <xf numFmtId="165" fontId="15" fillId="12" borderId="9" xfId="3" applyNumberFormat="1" applyFont="1" applyFill="1" applyBorder="1" applyAlignment="1">
      <alignment horizontal="center" wrapText="1"/>
    </xf>
    <xf numFmtId="165" fontId="15" fillId="12" borderId="11" xfId="3" applyNumberFormat="1" applyFont="1" applyFill="1" applyBorder="1" applyAlignment="1">
      <alignment horizontal="center" wrapText="1"/>
    </xf>
    <xf numFmtId="165" fontId="15" fillId="12" borderId="10" xfId="3" applyNumberFormat="1" applyFont="1" applyFill="1" applyBorder="1" applyAlignment="1">
      <alignment horizontal="center" wrapText="1"/>
    </xf>
    <xf numFmtId="0" fontId="15" fillId="12" borderId="11" xfId="3" applyFont="1" applyFill="1" applyBorder="1" applyAlignment="1">
      <alignment wrapText="1"/>
    </xf>
    <xf numFmtId="3" fontId="0" fillId="13" borderId="19" xfId="0" applyNumberFormat="1" applyFill="1" applyBorder="1"/>
    <xf numFmtId="0" fontId="0" fillId="13" borderId="13" xfId="0" applyFill="1" applyBorder="1"/>
    <xf numFmtId="0" fontId="0" fillId="13" borderId="18" xfId="0" applyFill="1" applyBorder="1" applyAlignment="1">
      <alignment horizontal="right"/>
    </xf>
    <xf numFmtId="14" fontId="0" fillId="13" borderId="18" xfId="0" applyNumberFormat="1" applyFill="1" applyBorder="1"/>
    <xf numFmtId="0" fontId="0" fillId="13" borderId="18" xfId="0" applyFill="1" applyBorder="1"/>
    <xf numFmtId="166" fontId="0" fillId="13" borderId="18" xfId="0" applyNumberFormat="1" applyFill="1" applyBorder="1" applyAlignment="1">
      <alignment horizontal="left"/>
    </xf>
    <xf numFmtId="3" fontId="0" fillId="13" borderId="18" xfId="0" applyNumberFormat="1" applyFill="1" applyBorder="1"/>
    <xf numFmtId="0" fontId="0" fillId="13" borderId="14" xfId="0" applyFill="1" applyBorder="1"/>
    <xf numFmtId="0" fontId="2" fillId="13" borderId="15" xfId="0" applyFont="1" applyFill="1" applyBorder="1"/>
    <xf numFmtId="0" fontId="14" fillId="0" borderId="0" xfId="0" applyFont="1" applyAlignment="1">
      <alignment horizontal="left"/>
    </xf>
    <xf numFmtId="167" fontId="14" fillId="0" borderId="0" xfId="0" applyNumberFormat="1" applyFont="1" applyAlignment="1">
      <alignment horizontal="left" vertical="center"/>
    </xf>
    <xf numFmtId="0" fontId="0" fillId="0" borderId="32" xfId="0" applyBorder="1"/>
    <xf numFmtId="167" fontId="14" fillId="0" borderId="32" xfId="0" applyNumberFormat="1" applyFont="1" applyBorder="1" applyAlignment="1">
      <alignment horizontal="right" vertical="center"/>
    </xf>
    <xf numFmtId="0" fontId="10" fillId="0" borderId="32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9" fillId="12" borderId="31" xfId="0" applyFont="1" applyFill="1" applyBorder="1" applyAlignment="1">
      <alignment horizontal="center" vertical="center" wrapText="1"/>
    </xf>
    <xf numFmtId="3" fontId="16" fillId="13" borderId="26" xfId="0" applyNumberFormat="1" applyFont="1" applyFill="1" applyBorder="1" applyAlignment="1">
      <alignment horizontal="center"/>
    </xf>
    <xf numFmtId="0" fontId="16" fillId="13" borderId="5" xfId="0" applyFont="1" applyFill="1" applyBorder="1"/>
    <xf numFmtId="0" fontId="16" fillId="13" borderId="6" xfId="0" applyFont="1" applyFill="1" applyBorder="1"/>
    <xf numFmtId="168" fontId="17" fillId="12" borderId="28" xfId="0" applyNumberFormat="1" applyFont="1" applyFill="1" applyBorder="1" applyAlignment="1">
      <alignment horizontal="center"/>
    </xf>
    <xf numFmtId="0" fontId="17" fillId="12" borderId="29" xfId="0" applyFont="1" applyFill="1" applyBorder="1"/>
    <xf numFmtId="0" fontId="17" fillId="12" borderId="30" xfId="0" applyFont="1" applyFill="1" applyBorder="1"/>
    <xf numFmtId="0" fontId="18" fillId="0" borderId="3" xfId="0" applyFont="1" applyBorder="1" applyAlignment="1">
      <alignment horizontal="right"/>
    </xf>
    <xf numFmtId="0" fontId="0" fillId="0" borderId="3" xfId="0" applyBorder="1"/>
    <xf numFmtId="0" fontId="18" fillId="0" borderId="2" xfId="0" applyFont="1" applyBorder="1" applyAlignment="1">
      <alignment horizontal="right"/>
    </xf>
    <xf numFmtId="0" fontId="0" fillId="0" borderId="2" xfId="0" applyBorder="1"/>
    <xf numFmtId="3" fontId="2" fillId="2" borderId="26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right"/>
    </xf>
    <xf numFmtId="168" fontId="2" fillId="2" borderId="26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 vertical="center" wrapText="1"/>
    </xf>
    <xf numFmtId="0" fontId="0" fillId="0" borderId="27" xfId="0" applyBorder="1"/>
    <xf numFmtId="0" fontId="2" fillId="0" borderId="3" xfId="0" applyFont="1" applyBorder="1" applyAlignment="1">
      <alignment horizontal="right"/>
    </xf>
    <xf numFmtId="168" fontId="2" fillId="2" borderId="4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</cellXfs>
  <cellStyles count="4">
    <cellStyle name="Currency 2" xfId="2" xr:uid="{00000000-0005-0000-0000-000002000000}"/>
    <cellStyle name="Hyperlink 2" xfId="1" xr:uid="{00000000-0005-0000-0000-000001000000}"/>
    <cellStyle name="Normal" xfId="0" builtinId="0"/>
    <cellStyle name="Normal 2 2" xfId="3" xr:uid="{00000000-0005-0000-0000-000003000000}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67"/>
  </sheetPr>
  <dimension ref="A1:CF33"/>
  <sheetViews>
    <sheetView showGridLines="0" tabSelected="1" zoomScale="80" zoomScaleNormal="80" workbookViewId="0">
      <pane xSplit="12" topLeftCell="M1" activePane="topRight" state="frozen"/>
      <selection pane="topRight" activeCell="C5" sqref="C5"/>
    </sheetView>
  </sheetViews>
  <sheetFormatPr defaultColWidth="9.140625" defaultRowHeight="15" customHeight="1" x14ac:dyDescent="0.25"/>
  <cols>
    <col min="1" max="1" width="25" customWidth="1"/>
    <col min="2" max="2" width="14.7109375" style="38" bestFit="1" customWidth="1"/>
    <col min="3" max="3" width="12.28515625" customWidth="1"/>
    <col min="4" max="4" width="11.5703125" customWidth="1"/>
    <col min="5" max="5" width="14.28515625" customWidth="1"/>
    <col min="6" max="6" width="22.28515625" customWidth="1"/>
    <col min="7" max="8" width="10.85546875" customWidth="1"/>
    <col min="9" max="9" width="12.28515625" customWidth="1"/>
    <col min="10" max="10" width="10.85546875" customWidth="1"/>
    <col min="11" max="11" width="16" customWidth="1"/>
    <col min="12" max="12" width="13.42578125" style="22" customWidth="1"/>
    <col min="13" max="13" width="37.140625" customWidth="1"/>
    <col min="14" max="14" width="12.42578125" customWidth="1"/>
    <col min="15" max="15" width="11.140625" bestFit="1" customWidth="1"/>
    <col min="16" max="16" width="11.28515625" customWidth="1"/>
    <col min="17" max="19" width="8.85546875" customWidth="1"/>
    <col min="20" max="20" width="11.140625" bestFit="1" customWidth="1"/>
    <col min="21" max="21" width="11.28515625" customWidth="1"/>
    <col min="22" max="25" width="8.85546875" customWidth="1"/>
    <col min="26" max="26" width="10.28515625" customWidth="1"/>
    <col min="27" max="30" width="8.85546875" customWidth="1"/>
    <col min="31" max="31" width="11" customWidth="1"/>
    <col min="32" max="35" width="8.85546875" customWidth="1"/>
    <col min="36" max="36" width="11.140625" customWidth="1"/>
    <col min="37" max="40" width="8.85546875" customWidth="1"/>
    <col min="41" max="42" width="10.140625" customWidth="1"/>
    <col min="43" max="45" width="8.85546875" customWidth="1"/>
    <col min="46" max="46" width="11.140625" customWidth="1"/>
    <col min="47" max="50" width="8.85546875" customWidth="1"/>
    <col min="51" max="51" width="11.7109375" customWidth="1"/>
    <col min="52" max="55" width="8.85546875" customWidth="1"/>
    <col min="56" max="56" width="10.5703125" customWidth="1"/>
    <col min="57" max="60" width="8.85546875" customWidth="1"/>
    <col min="61" max="61" width="11" customWidth="1"/>
    <col min="62" max="65" width="8.85546875" customWidth="1"/>
    <col min="66" max="66" width="10.28515625" customWidth="1"/>
    <col min="67" max="70" width="8.85546875" customWidth="1"/>
    <col min="71" max="71" width="9.5703125" customWidth="1"/>
    <col min="72" max="75" width="8.85546875" customWidth="1"/>
    <col min="76" max="76" width="10.28515625" customWidth="1"/>
    <col min="77" max="79" width="8.85546875" customWidth="1"/>
    <col min="80" max="80" width="10.85546875" customWidth="1"/>
    <col min="81" max="81" width="15.5703125" customWidth="1"/>
    <col min="82" max="82" width="16.7109375" customWidth="1"/>
    <col min="84" max="84" width="10.85546875" bestFit="1" customWidth="1"/>
  </cols>
  <sheetData>
    <row r="1" spans="1:84" ht="14.45" customHeight="1" x14ac:dyDescent="0.25">
      <c r="A1" s="121" t="s">
        <v>0</v>
      </c>
      <c r="B1"/>
      <c r="C1" s="28"/>
      <c r="D1" s="79"/>
      <c r="E1" s="80"/>
      <c r="I1" s="27"/>
      <c r="Y1" s="1"/>
      <c r="Z1" s="1"/>
      <c r="AA1" s="1"/>
    </row>
    <row r="2" spans="1:84" ht="14.45" customHeight="1" x14ac:dyDescent="0.25">
      <c r="A2" s="117"/>
      <c r="B2" s="115"/>
      <c r="C2" s="28"/>
      <c r="D2" s="81"/>
      <c r="E2" s="80"/>
      <c r="I2" s="27"/>
      <c r="Y2" s="1"/>
      <c r="Z2" s="1"/>
      <c r="AA2" s="1"/>
      <c r="CC2" s="2"/>
    </row>
    <row r="3" spans="1:84" ht="15" customHeight="1" x14ac:dyDescent="0.25">
      <c r="A3" s="118"/>
      <c r="B3" s="116"/>
      <c r="D3" s="82"/>
      <c r="E3" s="80"/>
    </row>
    <row r="4" spans="1:84" ht="14.45" customHeight="1" x14ac:dyDescent="0.25">
      <c r="A4" s="119"/>
      <c r="B4" s="115"/>
      <c r="D4" s="80"/>
      <c r="E4" s="83"/>
      <c r="F4" s="19"/>
      <c r="G4" s="19"/>
      <c r="H4" s="19"/>
      <c r="I4" s="19"/>
      <c r="J4" s="19"/>
      <c r="K4" s="19"/>
      <c r="L4" s="23"/>
    </row>
    <row r="5" spans="1:84" ht="14.45" customHeight="1" thickBot="1" x14ac:dyDescent="0.3">
      <c r="A5" s="119"/>
      <c r="B5" s="115"/>
      <c r="D5" s="80"/>
      <c r="E5" s="84"/>
      <c r="F5" s="21"/>
      <c r="G5" s="21"/>
      <c r="H5" s="21"/>
      <c r="I5" s="21"/>
      <c r="J5" s="21"/>
      <c r="K5" s="21"/>
      <c r="L5" s="24"/>
      <c r="CC5" s="85" t="s">
        <v>1</v>
      </c>
    </row>
    <row r="6" spans="1:84" ht="18" customHeight="1" thickBot="1" x14ac:dyDescent="0.3">
      <c r="A6" s="120"/>
      <c r="B6" s="115"/>
      <c r="D6" s="20"/>
      <c r="E6" s="21"/>
      <c r="F6" s="21"/>
      <c r="G6" s="21"/>
      <c r="H6" s="21"/>
      <c r="I6" s="21"/>
      <c r="J6" s="21"/>
      <c r="K6" s="21"/>
      <c r="L6" s="24"/>
      <c r="M6" s="130" t="s">
        <v>2</v>
      </c>
      <c r="N6" s="131"/>
      <c r="O6" s="122">
        <f>R10+IF(R10="",Q10,0)+IF(AND(Q10="",R10="")*P10,0)+IF(AND(R10&lt;&gt;"",Q10&lt;&gt;""),S10,0)+O10</f>
        <v>0</v>
      </c>
      <c r="P6" s="123"/>
      <c r="Q6" s="123"/>
      <c r="R6" s="123"/>
      <c r="S6" s="124"/>
      <c r="T6" s="122">
        <f>W10+IF(W10="",V10,0)+IF(AND(V10="",W10="")*U10,0)+IF(AND(W10&lt;&gt;"",V10&lt;&gt;""),X10,0)+T10</f>
        <v>0</v>
      </c>
      <c r="U6" s="123"/>
      <c r="V6" s="123"/>
      <c r="W6" s="123"/>
      <c r="X6" s="124"/>
      <c r="Y6" s="122">
        <f t="array" ref="Y6">SUM(AB10:AB10)+SUM(_xlfn._xlws.FILTER(AA10:AA10,AB10:AB10=""))+SUM(_xlfn._xlws.FILTER(Z10:Z10,(AA10:AA10="")*(AB10:AB10="")))+SUMIFS(AC10:AC10,AB10:AB10,"&lt;&gt;"&amp;"",$V$10:$V$10,"&lt;&gt;"&amp;"")+SUM(Y10:Y10)</f>
        <v>0</v>
      </c>
      <c r="Z6" s="123"/>
      <c r="AA6" s="123"/>
      <c r="AB6" s="123"/>
      <c r="AC6" s="124"/>
      <c r="AD6" s="122">
        <f t="array" ref="AD6">SUM(AG10:AG10)+SUM(_xlfn._xlws.FILTER(AF10:AF10,AG10:AG10=""))+SUM(_xlfn._xlws.FILTER(AE10:AE10,(AF10:AF10="")*(AG10:AG10="")))+SUMIFS(AH10:AH10,AG10:AG10,"&lt;&gt;"&amp;"",$V$10:$V$10,"&lt;&gt;"&amp;"")+SUM(AD10:AD10)</f>
        <v>0</v>
      </c>
      <c r="AE6" s="123"/>
      <c r="AF6" s="123"/>
      <c r="AG6" s="123"/>
      <c r="AH6" s="124"/>
      <c r="AI6" s="122">
        <f t="array" ref="AI6">SUM(AL10:AL10)+SUM(_xlfn._xlws.FILTER(AK10:AK10,AL10:AL10=""))+SUM(_xlfn._xlws.FILTER(AJ10:AJ10,(AK10:AK10="")*(AL10:AL10="")))+SUMIFS(AM10:AM10,AL10:AL10,"&lt;&gt;"&amp;"",$V$10:$V$10,"&lt;&gt;"&amp;"")+SUM(AI10:AI10)</f>
        <v>0</v>
      </c>
      <c r="AJ6" s="123"/>
      <c r="AK6" s="123"/>
      <c r="AL6" s="123"/>
      <c r="AM6" s="124"/>
      <c r="AN6" s="122">
        <f t="array" ref="AN6">SUM(AQ10:AQ10)+SUM(_xlfn._xlws.FILTER(AP10:AP10,AQ10:AQ10=""))+SUM(_xlfn._xlws.FILTER(AO10:AO10,(AP10:AP10="")*(AQ10:AQ10="")))+SUMIFS(AR10:AR10,AQ10:AQ10,"&lt;&gt;"&amp;"",$V$10:$V$10,"&lt;&gt;"&amp;"")+SUM(AN10:AN10)</f>
        <v>0</v>
      </c>
      <c r="AO6" s="123"/>
      <c r="AP6" s="123"/>
      <c r="AQ6" s="123"/>
      <c r="AR6" s="124"/>
      <c r="AS6" s="122">
        <f t="array" ref="AS6">SUM(AV10:AV10)+SUM(_xlfn._xlws.FILTER(AU10:AU10,AV10:AV10=""))+SUM(_xlfn._xlws.FILTER(AT10:AT10,(AU10:AU10="")*(AV10:AV10="")))+SUMIFS(AW10:AW10,AV10:AV10,"&lt;&gt;"&amp;"",$V$10:$V$10,"&lt;&gt;"&amp;"")+SUM(AS10:AS10)</f>
        <v>0</v>
      </c>
      <c r="AT6" s="123"/>
      <c r="AU6" s="123"/>
      <c r="AV6" s="123"/>
      <c r="AW6" s="124"/>
      <c r="AX6" s="122">
        <f t="array" ref="AX6">SUM(BA10:BA10)+SUM(_xlfn._xlws.FILTER(AZ10:AZ10,BA10:BA10=""))+SUM(_xlfn._xlws.FILTER(AY10:AY10,(AZ10:AZ10="")*(BA10:BA10="")))+SUMIFS(BB10:BB10,BA10:BA10,"&lt;&gt;"&amp;"",$V$10:$V$10,"&lt;&gt;"&amp;"")+SUM(AX10:AX10)</f>
        <v>0</v>
      </c>
      <c r="AY6" s="123"/>
      <c r="AZ6" s="123"/>
      <c r="BA6" s="123"/>
      <c r="BB6" s="124"/>
      <c r="BC6" s="122">
        <f t="array" ref="BC6">SUM(BF10:BF10)+SUM(_xlfn._xlws.FILTER(BE10:BE10,BF10:BF10=""))+SUM(_xlfn._xlws.FILTER(BD10:BD10,(BE10:BE10="")*(BF10:BF10="")))+SUMIFS(BG10:BG10,BF10:BF10,"&lt;&gt;"&amp;"",$V$10:$V$10,"&lt;&gt;"&amp;"")+SUM(BC10:BC10)</f>
        <v>0</v>
      </c>
      <c r="BD6" s="123"/>
      <c r="BE6" s="123"/>
      <c r="BF6" s="123"/>
      <c r="BG6" s="124"/>
      <c r="BH6" s="122">
        <f t="array" ref="BH6">SUM(BK10:BK10)+SUM(_xlfn._xlws.FILTER(BJ10:BJ10,BK10:BK10=""))+SUM(_xlfn._xlws.FILTER(BI10:BI10,(BJ10:BJ10="")*(BK10:BK10="")))+SUMIFS(BL10:BL10,BK10:BK10,"&lt;&gt;"&amp;"",$V$10:$V$10,"&lt;&gt;"&amp;"")+SUM(BH10:BH10)</f>
        <v>0</v>
      </c>
      <c r="BI6" s="123"/>
      <c r="BJ6" s="123"/>
      <c r="BK6" s="123"/>
      <c r="BL6" s="124"/>
      <c r="BM6" s="122">
        <f t="array" ref="BM6">SUM(BP10:BP10)+SUM(_xlfn._xlws.FILTER(BO10:BO10,BP10:BP10=""))+SUM(_xlfn._xlws.FILTER(BN10:BN10,(BO10:BO10="")*(BP10:BP10="")))+SUMIFS(BQ10:BQ10,BP10:BP10,"&lt;&gt;"&amp;"",$V$10:$V$10,"&lt;&gt;"&amp;"")+SUM(BM10:BM10)</f>
        <v>0</v>
      </c>
      <c r="BN6" s="123"/>
      <c r="BO6" s="123"/>
      <c r="BP6" s="123"/>
      <c r="BQ6" s="124"/>
      <c r="BR6" s="122">
        <f t="array" ref="BR6">SUM(BU10:BU10)+SUM(_xlfn._xlws.FILTER(BT10:BT10,BU10:BU10=""))+SUM(_xlfn._xlws.FILTER(BS10:BS10,(BT10:BT10="")*(BU10:BU10="")))+SUMIFS(BV10:BV10,BU10:BU10,"&lt;&gt;"&amp;"",$V$10:$V$10,"&lt;&gt;"&amp;"")+SUM(BR10:BR10)</f>
        <v>0</v>
      </c>
      <c r="BS6" s="123"/>
      <c r="BT6" s="123"/>
      <c r="BU6" s="123"/>
      <c r="BV6" s="124"/>
      <c r="BW6" s="122">
        <f t="array" ref="BW6">SUM(BZ10:BZ10)+SUM(_xlfn._xlws.FILTER(BY10:BY10,BZ10:BZ10=""))+SUM(_xlfn._xlws.FILTER(BX10:BX10,(BY10:BY10="")*(BZ10:BZ10="")))+SUMIFS(CA10:CA10,BZ10:BZ10,"&lt;&gt;"&amp;"",$V$10:$V$10,"&lt;&gt;"&amp;"")+SUM(BW10:BW10)</f>
        <v>0</v>
      </c>
      <c r="BX6" s="123"/>
      <c r="BY6" s="123"/>
      <c r="BZ6" s="123"/>
      <c r="CA6" s="124"/>
      <c r="CB6" s="85" t="s">
        <v>3</v>
      </c>
      <c r="CC6" s="86">
        <f>CC8-CB8</f>
        <v>0</v>
      </c>
    </row>
    <row r="7" spans="1:84" ht="18" customHeight="1" thickBot="1" x14ac:dyDescent="0.3">
      <c r="A7" s="5"/>
      <c r="B7" s="40"/>
      <c r="D7" s="20"/>
      <c r="E7" s="21"/>
      <c r="F7" s="21"/>
      <c r="G7" s="21"/>
      <c r="H7" s="21"/>
      <c r="I7" s="21"/>
      <c r="J7" s="21"/>
      <c r="K7" s="87" t="s">
        <v>4</v>
      </c>
      <c r="L7" s="87" t="s">
        <v>5</v>
      </c>
      <c r="M7" s="130" t="s">
        <v>6</v>
      </c>
      <c r="N7" s="131"/>
      <c r="O7" s="122">
        <f t="array" ref="O7">SUM(R10:R10)+SUM(_xlfn._xlws.FILTER(Q10:Q10,R10:R10=""))+SUM(_xlfn._xlws.FILTER(P10:P10,(Q10:Q10="")*(R10:R10="")))</f>
        <v>0</v>
      </c>
      <c r="P7" s="123"/>
      <c r="Q7" s="123"/>
      <c r="R7" s="123"/>
      <c r="S7" s="124"/>
      <c r="T7" s="122">
        <f t="array" ref="T7">SUM(W10:W10)+SUM(_xlfn._xlws.FILTER(V10:V10,W10:W10=""))+SUM(_xlfn._xlws.FILTER(U10:U10,(V10:V10="")*(W10:W10="")))</f>
        <v>0</v>
      </c>
      <c r="U7" s="123"/>
      <c r="V7" s="123"/>
      <c r="W7" s="123"/>
      <c r="X7" s="124"/>
      <c r="Y7" s="122">
        <f t="array" ref="Y7">SUM(AB10:AB10)+SUM(_xlfn._xlws.FILTER(AA10:AA10,AB10:AB10=""))+SUM(_xlfn._xlws.FILTER(Z10:Z10,(AA10:AA10="")*(AB10:AB10="")))</f>
        <v>0</v>
      </c>
      <c r="Z7" s="123"/>
      <c r="AA7" s="123"/>
      <c r="AB7" s="123"/>
      <c r="AC7" s="124"/>
      <c r="AD7" s="122">
        <f t="array" ref="AD7">SUM(AG10:AG10)+SUM(_xlfn._xlws.FILTER(AF10:AF10,AG10:AG10=""))+SUM(_xlfn._xlws.FILTER(AE10:AE10,(AF10:AF10="")*(AG10:AG10="")))</f>
        <v>0</v>
      </c>
      <c r="AE7" s="123"/>
      <c r="AF7" s="123"/>
      <c r="AG7" s="123"/>
      <c r="AH7" s="124"/>
      <c r="AI7" s="122">
        <f t="array" ref="AI7">SUM(AL10:AL10)+SUM(_xlfn._xlws.FILTER(AK10:AK10,AL10:AL10=""))+SUM(_xlfn._xlws.FILTER(AJ10:AJ10,(AK10:AK10="")*(AL10:AL10="")))</f>
        <v>0</v>
      </c>
      <c r="AJ7" s="123"/>
      <c r="AK7" s="123"/>
      <c r="AL7" s="123"/>
      <c r="AM7" s="124"/>
      <c r="AN7" s="122">
        <f t="array" ref="AN7">SUM(AQ10:AQ10)+SUM(_xlfn._xlws.FILTER(AP10:AP10,AQ10:AQ10=""))+SUM(_xlfn._xlws.FILTER(AO10:AO10,(AP10:AP10="")*(AQ10:AQ10="")))</f>
        <v>0</v>
      </c>
      <c r="AO7" s="123"/>
      <c r="AP7" s="123"/>
      <c r="AQ7" s="123"/>
      <c r="AR7" s="124"/>
      <c r="AS7" s="122">
        <f t="array" ref="AS7">SUM(AV10:AV10)+SUM(_xlfn._xlws.FILTER(AU10:AU10,AV10:AV10=""))+SUM(_xlfn._xlws.FILTER(AT10:AT10,(AU10:AU10="")*(AV10:AV10="")))</f>
        <v>0</v>
      </c>
      <c r="AT7" s="123"/>
      <c r="AU7" s="123"/>
      <c r="AV7" s="123"/>
      <c r="AW7" s="124"/>
      <c r="AX7" s="122">
        <f t="array" ref="AX7">SUM(BA10:BA10)+SUM(_xlfn._xlws.FILTER(AZ10:AZ10,BA10:BA10=""))+SUM(_xlfn._xlws.FILTER(AY10:AY10,(AZ10:AZ10="")*(BA10:BA10="")))</f>
        <v>0</v>
      </c>
      <c r="AY7" s="123"/>
      <c r="AZ7" s="123"/>
      <c r="BA7" s="123"/>
      <c r="BB7" s="124"/>
      <c r="BC7" s="122">
        <f t="array" ref="BC7">SUM(BF10:BF10)+SUM(_xlfn._xlws.FILTER(BE10:BE10,BF10:BF10=""))+SUM(_xlfn._xlws.FILTER(BD10:BD10,(BE10:BE10="")*(BF10:BF10="")))</f>
        <v>0</v>
      </c>
      <c r="BD7" s="123"/>
      <c r="BE7" s="123"/>
      <c r="BF7" s="123"/>
      <c r="BG7" s="124"/>
      <c r="BH7" s="122">
        <f t="array" ref="BH7">SUM(BK10:BK10)+SUM(_xlfn._xlws.FILTER(BJ10:BJ10,BK10:BK10=""))+SUM(_xlfn._xlws.FILTER(BI10:BI10,(BJ10:BJ10="")*(BK10:BK10="")))</f>
        <v>0</v>
      </c>
      <c r="BI7" s="123"/>
      <c r="BJ7" s="123"/>
      <c r="BK7" s="123"/>
      <c r="BL7" s="124"/>
      <c r="BM7" s="122">
        <f t="array" ref="BM7">SUM(BP10:BP10)+SUM(_xlfn._xlws.FILTER(BO10:BO10,BP10:BP10=""))+SUM(_xlfn._xlws.FILTER(BN10:BN10,(BO10:BO10="")*(BP10:BP10="")))</f>
        <v>0</v>
      </c>
      <c r="BN7" s="123"/>
      <c r="BO7" s="123"/>
      <c r="BP7" s="123"/>
      <c r="BQ7" s="124"/>
      <c r="BR7" s="122">
        <f t="array" ref="BR7">SUM(BU10:BU10)+SUM(_xlfn._xlws.FILTER(BT10:BT10,BU10:BU10=""))+SUM(_xlfn._xlws.FILTER(BS10:BS10,(BT10:BT10="")*(BU10:BU10="")))</f>
        <v>0</v>
      </c>
      <c r="BS7" s="123"/>
      <c r="BT7" s="123"/>
      <c r="BU7" s="123"/>
      <c r="BV7" s="124"/>
      <c r="BW7" s="122">
        <f t="array" ref="BW7">SUM(BZ10:BZ10)+SUM(_xlfn._xlws.FILTER(BY10:BY10,BZ10:BZ10=""))+SUM(_xlfn._xlws.FILTER(BX10:BX10,(BY10:BY10="")*(BZ10:BZ10="")))</f>
        <v>0</v>
      </c>
      <c r="BX7" s="123"/>
      <c r="BY7" s="123"/>
      <c r="BZ7" s="123"/>
      <c r="CA7" s="124"/>
      <c r="CB7" s="85"/>
      <c r="CC7" s="86"/>
      <c r="CF7" s="56"/>
    </row>
    <row r="8" spans="1:84" ht="18" customHeight="1" thickBot="1" x14ac:dyDescent="0.3">
      <c r="A8" s="5" t="s">
        <v>7</v>
      </c>
      <c r="K8" s="88">
        <f>SUBTOTAL(9,K10:K10)</f>
        <v>0</v>
      </c>
      <c r="L8" s="88">
        <f>SUBTOTAL(9,L10:L10)</f>
        <v>0</v>
      </c>
      <c r="M8" s="128" t="s">
        <v>8</v>
      </c>
      <c r="N8" s="129"/>
      <c r="O8" s="125">
        <v>46022</v>
      </c>
      <c r="P8" s="126"/>
      <c r="Q8" s="126"/>
      <c r="R8" s="126"/>
      <c r="S8" s="127"/>
      <c r="T8" s="125">
        <v>46053</v>
      </c>
      <c r="U8" s="126"/>
      <c r="V8" s="126"/>
      <c r="W8" s="126"/>
      <c r="X8" s="127"/>
      <c r="Y8" s="125" t="s">
        <v>9</v>
      </c>
      <c r="Z8" s="126"/>
      <c r="AA8" s="126"/>
      <c r="AB8" s="126"/>
      <c r="AC8" s="127"/>
      <c r="AD8" s="125">
        <v>46112</v>
      </c>
      <c r="AE8" s="126"/>
      <c r="AF8" s="126"/>
      <c r="AG8" s="126"/>
      <c r="AH8" s="127"/>
      <c r="AI8" s="125">
        <v>46142</v>
      </c>
      <c r="AJ8" s="126"/>
      <c r="AK8" s="126"/>
      <c r="AL8" s="126"/>
      <c r="AM8" s="127"/>
      <c r="AN8" s="125">
        <v>46173</v>
      </c>
      <c r="AO8" s="126"/>
      <c r="AP8" s="126"/>
      <c r="AQ8" s="126"/>
      <c r="AR8" s="127"/>
      <c r="AS8" s="125">
        <v>46203</v>
      </c>
      <c r="AT8" s="126"/>
      <c r="AU8" s="126"/>
      <c r="AV8" s="126"/>
      <c r="AW8" s="127"/>
      <c r="AX8" s="125">
        <v>46234</v>
      </c>
      <c r="AY8" s="126"/>
      <c r="AZ8" s="126"/>
      <c r="BA8" s="126"/>
      <c r="BB8" s="127"/>
      <c r="BC8" s="125">
        <v>46265</v>
      </c>
      <c r="BD8" s="126"/>
      <c r="BE8" s="126"/>
      <c r="BF8" s="126"/>
      <c r="BG8" s="127"/>
      <c r="BH8" s="125">
        <v>46295</v>
      </c>
      <c r="BI8" s="126"/>
      <c r="BJ8" s="126"/>
      <c r="BK8" s="126"/>
      <c r="BL8" s="127"/>
      <c r="BM8" s="125">
        <v>46326</v>
      </c>
      <c r="BN8" s="126"/>
      <c r="BO8" s="126"/>
      <c r="BP8" s="126"/>
      <c r="BQ8" s="127"/>
      <c r="BR8" s="125">
        <v>46356</v>
      </c>
      <c r="BS8" s="126"/>
      <c r="BT8" s="126"/>
      <c r="BU8" s="126"/>
      <c r="BV8" s="127"/>
      <c r="BW8" s="125">
        <v>46387</v>
      </c>
      <c r="BX8" s="126"/>
      <c r="BY8" s="126"/>
      <c r="BZ8" s="126"/>
      <c r="CA8" s="127"/>
      <c r="CB8" s="86">
        <f>SUM(CB10:CB10)</f>
        <v>0</v>
      </c>
      <c r="CC8" s="89"/>
      <c r="CE8" s="2"/>
    </row>
    <row r="9" spans="1:84" ht="43.5" customHeight="1" thickBot="1" x14ac:dyDescent="0.3">
      <c r="A9" s="90" t="s">
        <v>10</v>
      </c>
      <c r="B9" s="91" t="s">
        <v>11</v>
      </c>
      <c r="C9" s="92" t="s">
        <v>12</v>
      </c>
      <c r="D9" s="93" t="s">
        <v>13</v>
      </c>
      <c r="E9" s="94" t="s">
        <v>14</v>
      </c>
      <c r="F9" s="94" t="s">
        <v>15</v>
      </c>
      <c r="G9" s="92" t="s">
        <v>16</v>
      </c>
      <c r="H9" s="92" t="s">
        <v>17</v>
      </c>
      <c r="I9" s="92" t="s">
        <v>19</v>
      </c>
      <c r="J9" s="92" t="s">
        <v>20</v>
      </c>
      <c r="K9" s="92" t="s">
        <v>21</v>
      </c>
      <c r="L9" s="95" t="s">
        <v>22</v>
      </c>
      <c r="M9" s="96" t="s">
        <v>23</v>
      </c>
      <c r="N9" s="97" t="s">
        <v>24</v>
      </c>
      <c r="O9" s="98" t="s">
        <v>25</v>
      </c>
      <c r="P9" s="99" t="s">
        <v>26</v>
      </c>
      <c r="Q9" s="100" t="s">
        <v>27</v>
      </c>
      <c r="R9" s="100" t="s">
        <v>28</v>
      </c>
      <c r="S9" s="101" t="s">
        <v>29</v>
      </c>
      <c r="T9" s="98" t="s">
        <v>30</v>
      </c>
      <c r="U9" s="99" t="s">
        <v>31</v>
      </c>
      <c r="V9" s="100" t="s">
        <v>32</v>
      </c>
      <c r="W9" s="100" t="s">
        <v>33</v>
      </c>
      <c r="X9" s="101" t="s">
        <v>29</v>
      </c>
      <c r="Y9" s="98" t="s">
        <v>34</v>
      </c>
      <c r="Z9" s="100" t="s">
        <v>35</v>
      </c>
      <c r="AA9" s="100" t="s">
        <v>36</v>
      </c>
      <c r="AB9" s="102" t="s">
        <v>37</v>
      </c>
      <c r="AC9" s="103" t="s">
        <v>29</v>
      </c>
      <c r="AD9" s="98" t="s">
        <v>38</v>
      </c>
      <c r="AE9" s="100" t="s">
        <v>39</v>
      </c>
      <c r="AF9" s="100" t="s">
        <v>40</v>
      </c>
      <c r="AG9" s="102" t="s">
        <v>41</v>
      </c>
      <c r="AH9" s="103" t="s">
        <v>29</v>
      </c>
      <c r="AI9" s="98" t="s">
        <v>42</v>
      </c>
      <c r="AJ9" s="100" t="s">
        <v>43</v>
      </c>
      <c r="AK9" s="100" t="s">
        <v>44</v>
      </c>
      <c r="AL9" s="102" t="s">
        <v>45</v>
      </c>
      <c r="AM9" s="103" t="s">
        <v>29</v>
      </c>
      <c r="AN9" s="98" t="s">
        <v>46</v>
      </c>
      <c r="AO9" s="100" t="s">
        <v>47</v>
      </c>
      <c r="AP9" s="100" t="s">
        <v>48</v>
      </c>
      <c r="AQ9" s="102" t="s">
        <v>49</v>
      </c>
      <c r="AR9" s="103" t="s">
        <v>29</v>
      </c>
      <c r="AS9" s="98" t="s">
        <v>50</v>
      </c>
      <c r="AT9" s="100" t="s">
        <v>51</v>
      </c>
      <c r="AU9" s="100" t="s">
        <v>52</v>
      </c>
      <c r="AV9" s="102" t="s">
        <v>53</v>
      </c>
      <c r="AW9" s="103" t="s">
        <v>29</v>
      </c>
      <c r="AX9" s="98" t="s">
        <v>54</v>
      </c>
      <c r="AY9" s="100" t="s">
        <v>55</v>
      </c>
      <c r="AZ9" s="100" t="s">
        <v>56</v>
      </c>
      <c r="BA9" s="102" t="s">
        <v>57</v>
      </c>
      <c r="BB9" s="103" t="s">
        <v>29</v>
      </c>
      <c r="BC9" s="98" t="s">
        <v>58</v>
      </c>
      <c r="BD9" s="100" t="s">
        <v>59</v>
      </c>
      <c r="BE9" s="100" t="s">
        <v>60</v>
      </c>
      <c r="BF9" s="102" t="s">
        <v>61</v>
      </c>
      <c r="BG9" s="103" t="s">
        <v>29</v>
      </c>
      <c r="BH9" s="98" t="s">
        <v>62</v>
      </c>
      <c r="BI9" s="100" t="s">
        <v>63</v>
      </c>
      <c r="BJ9" s="100" t="s">
        <v>64</v>
      </c>
      <c r="BK9" s="102" t="s">
        <v>65</v>
      </c>
      <c r="BL9" s="103" t="s">
        <v>29</v>
      </c>
      <c r="BM9" s="98" t="s">
        <v>66</v>
      </c>
      <c r="BN9" s="100" t="s">
        <v>67</v>
      </c>
      <c r="BO9" s="100" t="s">
        <v>68</v>
      </c>
      <c r="BP9" s="102" t="s">
        <v>69</v>
      </c>
      <c r="BQ9" s="103" t="s">
        <v>29</v>
      </c>
      <c r="BR9" s="98" t="s">
        <v>70</v>
      </c>
      <c r="BS9" s="100" t="s">
        <v>71</v>
      </c>
      <c r="BT9" s="100" t="s">
        <v>72</v>
      </c>
      <c r="BU9" s="102" t="s">
        <v>73</v>
      </c>
      <c r="BV9" s="103" t="s">
        <v>29</v>
      </c>
      <c r="BW9" s="98" t="s">
        <v>74</v>
      </c>
      <c r="BX9" s="100" t="s">
        <v>75</v>
      </c>
      <c r="BY9" s="100" t="s">
        <v>76</v>
      </c>
      <c r="BZ9" s="102" t="s">
        <v>77</v>
      </c>
      <c r="CA9" s="103" t="s">
        <v>29</v>
      </c>
      <c r="CB9" s="104" t="s">
        <v>78</v>
      </c>
      <c r="CC9" s="100" t="s">
        <v>79</v>
      </c>
      <c r="CD9" s="105" t="s">
        <v>80</v>
      </c>
    </row>
    <row r="10" spans="1:84" ht="29.1" customHeight="1" thickBot="1" x14ac:dyDescent="0.3">
      <c r="A10" s="66"/>
      <c r="B10" s="67"/>
      <c r="C10" s="68"/>
      <c r="D10" s="68"/>
      <c r="E10" s="69"/>
      <c r="F10" s="69"/>
      <c r="G10" s="69"/>
      <c r="H10" s="69"/>
      <c r="I10" s="69"/>
      <c r="J10" s="69"/>
      <c r="K10" s="69"/>
      <c r="L10" s="70"/>
      <c r="M10" s="71"/>
      <c r="N10" s="69"/>
      <c r="O10" s="72"/>
      <c r="P10" s="72"/>
      <c r="Q10" s="77"/>
      <c r="R10" s="77"/>
      <c r="S10" s="72"/>
      <c r="T10" s="72"/>
      <c r="U10" s="72"/>
      <c r="V10" s="77"/>
      <c r="W10" s="77"/>
      <c r="X10" s="72"/>
      <c r="Y10" s="77"/>
      <c r="Z10" s="72"/>
      <c r="AA10" s="77"/>
      <c r="AB10" s="77"/>
      <c r="AC10" s="72"/>
      <c r="AD10" s="77"/>
      <c r="AE10" s="72"/>
      <c r="AF10" s="77"/>
      <c r="AG10" s="77"/>
      <c r="AH10" s="72"/>
      <c r="AI10" s="77"/>
      <c r="AJ10" s="72"/>
      <c r="AK10" s="77"/>
      <c r="AL10" s="106"/>
      <c r="AM10" s="72"/>
      <c r="AN10" s="77"/>
      <c r="AO10" s="72"/>
      <c r="AP10" s="77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47"/>
      <c r="CC10" s="72"/>
      <c r="CD10" s="73"/>
    </row>
    <row r="11" spans="1:84" ht="15.75" customHeight="1" thickBot="1" x14ac:dyDescent="0.3">
      <c r="A11" s="107" t="s">
        <v>81</v>
      </c>
      <c r="B11" s="108"/>
      <c r="C11" s="109"/>
      <c r="D11" s="109"/>
      <c r="E11" s="110"/>
      <c r="F11" s="110"/>
      <c r="G11" s="110"/>
      <c r="H11" s="110"/>
      <c r="I11" s="110"/>
      <c r="J11" s="110"/>
      <c r="K11" s="110"/>
      <c r="L11" s="111"/>
      <c r="M11" s="110"/>
      <c r="N11" s="110"/>
      <c r="O11" s="112"/>
      <c r="P11" s="112"/>
      <c r="Q11" s="112"/>
      <c r="R11" s="112"/>
      <c r="S11" s="112" t="e">
        <f>IF(OR(#REF!="",#REF!=""),"",#REF!-#REF!)</f>
        <v>#REF!</v>
      </c>
      <c r="T11" s="112"/>
      <c r="U11" s="112"/>
      <c r="V11" s="112"/>
      <c r="W11" s="112"/>
      <c r="X11" s="112" t="e">
        <f>IF(OR(#REF!="",#REF!=""),"",#REF!-#REF!)</f>
        <v>#REF!</v>
      </c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 t="e">
        <f>IF(OR(#REF!="",#REF!=""),"",#REF!-#REF!)</f>
        <v>#REF!</v>
      </c>
      <c r="AN11" s="112"/>
      <c r="AO11" s="112"/>
      <c r="AP11" s="112"/>
      <c r="AQ11" s="112"/>
      <c r="AR11" s="112" t="e">
        <f>IF(OR(#REF!="",#REF!=""),"",#REF!-#REF!)</f>
        <v>#REF!</v>
      </c>
      <c r="AS11" s="112"/>
      <c r="AT11" s="112"/>
      <c r="AU11" s="112"/>
      <c r="AV11" s="112"/>
      <c r="AW11" s="112" t="e">
        <f>IF(OR(#REF!="",#REF!=""),"",#REF!-#REF!)</f>
        <v>#REF!</v>
      </c>
      <c r="AX11" s="112"/>
      <c r="AY11" s="112"/>
      <c r="AZ11" s="112"/>
      <c r="BA11" s="112"/>
      <c r="BB11" s="112" t="e">
        <f>IF(OR(#REF!="",#REF!=""),"",#REF!-#REF!)</f>
        <v>#REF!</v>
      </c>
      <c r="BC11" s="112"/>
      <c r="BD11" s="112"/>
      <c r="BE11" s="112"/>
      <c r="BF11" s="112"/>
      <c r="BG11" s="112" t="e">
        <f>IF(OR(#REF!="",#REF!=""),"",#REF!-#REF!)</f>
        <v>#REF!</v>
      </c>
      <c r="BH11" s="112"/>
      <c r="BI11" s="112"/>
      <c r="BJ11" s="112"/>
      <c r="BK11" s="112"/>
      <c r="BL11" s="112" t="e">
        <f>IF(OR(#REF!="",#REF!=""),"",#REF!-#REF!)</f>
        <v>#REF!</v>
      </c>
      <c r="BM11" s="112"/>
      <c r="BN11" s="112"/>
      <c r="BO11" s="112"/>
      <c r="BP11" s="112"/>
      <c r="BQ11" s="112" t="e">
        <f>IF(OR(#REF!="",#REF!=""),"",#REF!-#REF!)</f>
        <v>#REF!</v>
      </c>
      <c r="BR11" s="112"/>
      <c r="BS11" s="112"/>
      <c r="BT11" s="112"/>
      <c r="BU11" s="112"/>
      <c r="BV11" s="112" t="e">
        <f>IF(OR(#REF!="",#REF!=""),"",#REF!-#REF!)</f>
        <v>#REF!</v>
      </c>
      <c r="BW11" s="112"/>
      <c r="BX11" s="112"/>
      <c r="BY11" s="112"/>
      <c r="BZ11" s="112"/>
      <c r="CA11" s="112" t="e">
        <f>IF(OR(#REF!="",#REF!=""),"",#REF!-#REF!)</f>
        <v>#REF!</v>
      </c>
      <c r="CB11" s="47" t="e">
        <f>SUM(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)</f>
        <v>#REF!</v>
      </c>
      <c r="CC11" s="112"/>
      <c r="CD11" s="113"/>
    </row>
    <row r="12" spans="1:84" ht="15.75" customHeight="1" thickBot="1" x14ac:dyDescent="0.3">
      <c r="A12" t="s">
        <v>82</v>
      </c>
      <c r="AG12" s="2"/>
    </row>
    <row r="13" spans="1:84" ht="15" customHeight="1" thickBot="1" x14ac:dyDescent="0.3">
      <c r="A13" s="114" t="s">
        <v>83</v>
      </c>
    </row>
    <row r="14" spans="1:84" x14ac:dyDescent="0.25"/>
    <row r="15" spans="1:84" x14ac:dyDescent="0.25"/>
    <row r="16" spans="1:84" x14ac:dyDescent="0.25">
      <c r="A16" s="38"/>
    </row>
    <row r="17" spans="79:79" x14ac:dyDescent="0.25"/>
    <row r="18" spans="79:79" x14ac:dyDescent="0.25"/>
    <row r="19" spans="79:79" x14ac:dyDescent="0.25"/>
    <row r="20" spans="79:79" ht="15" customHeight="1" x14ac:dyDescent="0.25">
      <c r="CA20" s="53"/>
    </row>
    <row r="21" spans="79:79" x14ac:dyDescent="0.25"/>
    <row r="22" spans="79:79" x14ac:dyDescent="0.25"/>
    <row r="23" spans="79:79" x14ac:dyDescent="0.25"/>
    <row r="24" spans="79:79" x14ac:dyDescent="0.25"/>
    <row r="25" spans="79:79" x14ac:dyDescent="0.25"/>
    <row r="26" spans="79:79" x14ac:dyDescent="0.25"/>
    <row r="27" spans="79:79" x14ac:dyDescent="0.25">
      <c r="CA27" s="2"/>
    </row>
    <row r="28" spans="79:79" x14ac:dyDescent="0.25"/>
    <row r="29" spans="79:79" x14ac:dyDescent="0.25"/>
    <row r="30" spans="79:79" x14ac:dyDescent="0.25"/>
    <row r="31" spans="79:79" x14ac:dyDescent="0.25"/>
    <row r="32" spans="79:79" x14ac:dyDescent="0.25"/>
    <row r="33" spans="3:3" ht="15" customHeight="1" x14ac:dyDescent="0.25">
      <c r="C33">
        <v>2</v>
      </c>
    </row>
  </sheetData>
  <autoFilter ref="A9:DJ15" xr:uid="{00000000-0009-0000-0000-000000000000}"/>
  <mergeCells count="42">
    <mergeCell ref="M6:N6"/>
    <mergeCell ref="AX8:BB8"/>
    <mergeCell ref="BH8:BL8"/>
    <mergeCell ref="AS8:AW8"/>
    <mergeCell ref="AI8:AM8"/>
    <mergeCell ref="Y7:AC7"/>
    <mergeCell ref="BH7:BL7"/>
    <mergeCell ref="BC8:BG8"/>
    <mergeCell ref="AN8:AR8"/>
    <mergeCell ref="AN7:AR7"/>
    <mergeCell ref="BM8:BQ8"/>
    <mergeCell ref="O6:S6"/>
    <mergeCell ref="AI7:AM7"/>
    <mergeCell ref="O8:S8"/>
    <mergeCell ref="M8:N8"/>
    <mergeCell ref="AD8:AH8"/>
    <mergeCell ref="T7:X7"/>
    <mergeCell ref="Y8:AC8"/>
    <mergeCell ref="O7:S7"/>
    <mergeCell ref="M7:N7"/>
    <mergeCell ref="Y6:AC6"/>
    <mergeCell ref="T6:X6"/>
    <mergeCell ref="AD7:AH7"/>
    <mergeCell ref="AI6:AM6"/>
    <mergeCell ref="T8:X8"/>
    <mergeCell ref="AD6:AH6"/>
    <mergeCell ref="AN6:AR6"/>
    <mergeCell ref="BW8:CA8"/>
    <mergeCell ref="AS7:AW7"/>
    <mergeCell ref="AS6:AW6"/>
    <mergeCell ref="BC7:BG7"/>
    <mergeCell ref="BM7:BQ7"/>
    <mergeCell ref="BR8:BV8"/>
    <mergeCell ref="BW6:CA6"/>
    <mergeCell ref="BH6:BL6"/>
    <mergeCell ref="BR6:BV6"/>
    <mergeCell ref="BC6:BG6"/>
    <mergeCell ref="BW7:CA7"/>
    <mergeCell ref="AX7:BB7"/>
    <mergeCell ref="BM6:BQ6"/>
    <mergeCell ref="AX6:BB6"/>
    <mergeCell ref="BR7:BV7"/>
  </mergeCells>
  <conditionalFormatting sqref="R10">
    <cfRule type="expression" dxfId="8" priority="1">
      <formula>IF(AND(Q10&gt;0,R10=0),TRUE,FALSE)</formula>
    </cfRule>
  </conditionalFormatting>
  <conditionalFormatting sqref="W10 AB10 AG10 AL10 AQ10 AV10 BA10 BF10 BK10 BP10 BU10 BZ10">
    <cfRule type="expression" dxfId="7" priority="5">
      <formula>IF(AND(V10&gt;0,W10=0),TRUE,FALSE)</formula>
    </cfRule>
  </conditionalFormatting>
  <conditionalFormatting sqref="BZ5 AB10:AD10 AH10:AI10 AM10:AN10 AR10:AS10 AW10:AX10 BB10:BC10 BG10:BH10 BL10:BM10 BQ10:BR10 BV10:BW10 CA10">
    <cfRule type="expression" dxfId="6" priority="6">
      <formula>IF(AND(AA5&lt;&gt;"",AB5="",TODAY()&gt;DATE(YEAR(TODAY()),MONTH(DATEVALUE("1-"&amp;LEFT(#REF!,3)&amp;"-1900")),20)),TRUE,FALSE)</formula>
    </cfRule>
  </conditionalFormatting>
  <conditionalFormatting sqref="CB10">
    <cfRule type="cellIs" dxfId="5" priority="37" operator="greaterThan">
      <formula>90%*#REF!</formula>
    </cfRule>
  </conditionalFormatting>
  <conditionalFormatting sqref="CC6:CC7">
    <cfRule type="expression" dxfId="4" priority="4">
      <formula>IF(CC6&lt;0,TRUE,FALSE)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Z33"/>
  <sheetViews>
    <sheetView showGridLines="0" zoomScale="80" zoomScaleNormal="80" workbookViewId="0">
      <pane xSplit="11" topLeftCell="L1" activePane="topRight" state="frozen"/>
      <selection pane="topRight" activeCell="E23" sqref="E23"/>
    </sheetView>
  </sheetViews>
  <sheetFormatPr defaultColWidth="9.140625" defaultRowHeight="15" customHeight="1" x14ac:dyDescent="0.25"/>
  <cols>
    <col min="1" max="1" width="23.5703125" bestFit="1" customWidth="1"/>
    <col min="2" max="2" width="14.7109375" style="38" bestFit="1" customWidth="1"/>
    <col min="3" max="3" width="12.28515625" customWidth="1"/>
    <col min="4" max="4" width="11.5703125" customWidth="1"/>
    <col min="5" max="5" width="14.28515625" customWidth="1"/>
    <col min="6" max="6" width="22.28515625" customWidth="1"/>
    <col min="7" max="7" width="10.85546875" customWidth="1"/>
    <col min="8" max="8" width="14.140625" customWidth="1"/>
    <col min="9" max="9" width="12.28515625" customWidth="1"/>
    <col min="10" max="10" width="10.85546875" customWidth="1"/>
    <col min="11" max="11" width="13.42578125" style="22" customWidth="1"/>
    <col min="12" max="12" width="37.140625" customWidth="1"/>
    <col min="13" max="13" width="12.42578125" customWidth="1"/>
    <col min="14" max="14" width="11.140625" bestFit="1" customWidth="1"/>
    <col min="15" max="15" width="11.28515625" customWidth="1"/>
    <col min="16" max="19" width="8.85546875" customWidth="1"/>
    <col min="20" max="20" width="10.28515625" customWidth="1"/>
    <col min="21" max="24" width="8.85546875" customWidth="1"/>
    <col min="25" max="25" width="11" customWidth="1"/>
    <col min="26" max="29" width="8.85546875" customWidth="1"/>
    <col min="30" max="30" width="11.140625" customWidth="1"/>
    <col min="31" max="34" width="8.85546875" customWidth="1"/>
    <col min="35" max="36" width="10.140625" customWidth="1"/>
    <col min="37" max="39" width="8.85546875" customWidth="1"/>
    <col min="40" max="40" width="11.140625" customWidth="1"/>
    <col min="41" max="44" width="8.85546875" customWidth="1"/>
    <col min="45" max="45" width="11.7109375" customWidth="1"/>
    <col min="46" max="49" width="8.85546875" customWidth="1"/>
    <col min="50" max="50" width="10.5703125" customWidth="1"/>
    <col min="51" max="54" width="8.85546875" customWidth="1"/>
    <col min="55" max="55" width="11" customWidth="1"/>
    <col min="56" max="59" width="8.85546875" customWidth="1"/>
    <col min="60" max="60" width="10.28515625" customWidth="1"/>
    <col min="61" max="64" width="8.85546875" customWidth="1"/>
    <col min="65" max="65" width="9.5703125" customWidth="1"/>
    <col min="66" max="69" width="8.85546875" customWidth="1"/>
    <col min="70" max="70" width="10.28515625" customWidth="1"/>
    <col min="71" max="73" width="8.85546875" customWidth="1"/>
    <col min="74" max="74" width="10.85546875" customWidth="1"/>
    <col min="75" max="75" width="15.5703125" customWidth="1"/>
    <col min="76" max="76" width="16.7109375" customWidth="1"/>
    <col min="78" max="78" width="10.85546875" bestFit="1" customWidth="1"/>
  </cols>
  <sheetData>
    <row r="1" spans="1:78" ht="14.45" customHeight="1" x14ac:dyDescent="0.25">
      <c r="A1" s="137" t="s">
        <v>84</v>
      </c>
      <c r="B1" s="138"/>
      <c r="C1" s="28"/>
      <c r="D1" s="31" t="s">
        <v>85</v>
      </c>
      <c r="E1" s="52"/>
      <c r="H1" s="26"/>
      <c r="I1" s="27"/>
      <c r="S1" s="1"/>
      <c r="T1" s="1"/>
      <c r="U1" s="1"/>
    </row>
    <row r="2" spans="1:78" ht="14.45" customHeight="1" x14ac:dyDescent="0.25">
      <c r="A2" s="75">
        <v>2329947</v>
      </c>
      <c r="B2" s="39">
        <v>1400</v>
      </c>
      <c r="C2" s="28"/>
      <c r="D2" s="32" t="s">
        <v>86</v>
      </c>
      <c r="E2" s="18"/>
      <c r="H2" s="26"/>
      <c r="I2" s="27"/>
      <c r="S2" s="1"/>
      <c r="T2" s="1"/>
      <c r="U2" s="1"/>
      <c r="BW2" s="2"/>
    </row>
    <row r="3" spans="1:78" ht="15" customHeight="1" x14ac:dyDescent="0.25">
      <c r="A3" s="74"/>
      <c r="B3" s="65"/>
      <c r="D3" s="51" t="s">
        <v>87</v>
      </c>
      <c r="E3" s="50"/>
    </row>
    <row r="4" spans="1:78" ht="14.45" customHeight="1" x14ac:dyDescent="0.25">
      <c r="A4" s="26"/>
      <c r="B4" s="65"/>
      <c r="D4" s="54" t="s">
        <v>88</v>
      </c>
      <c r="E4" s="55"/>
      <c r="F4" s="19"/>
      <c r="G4" s="19"/>
      <c r="H4" s="19"/>
      <c r="I4" s="19"/>
      <c r="J4" s="19"/>
      <c r="K4" s="23"/>
    </row>
    <row r="5" spans="1:78" ht="14.45" customHeight="1" x14ac:dyDescent="0.25">
      <c r="A5" s="26"/>
      <c r="B5" s="65"/>
      <c r="E5" s="20"/>
      <c r="F5" s="21"/>
      <c r="G5" s="21"/>
      <c r="H5" s="21"/>
      <c r="I5" s="21"/>
      <c r="J5" s="21"/>
      <c r="K5" s="24"/>
      <c r="BW5" s="18" t="s">
        <v>1</v>
      </c>
    </row>
    <row r="6" spans="1:78" ht="15.6" customHeight="1" x14ac:dyDescent="0.25">
      <c r="A6" s="26"/>
      <c r="B6" s="65"/>
      <c r="D6" s="20"/>
      <c r="E6" s="21"/>
      <c r="F6" s="21"/>
      <c r="G6" s="21"/>
      <c r="H6" s="21"/>
      <c r="I6" s="21"/>
      <c r="J6" s="21"/>
      <c r="K6" s="24"/>
      <c r="L6" s="141" t="s">
        <v>2</v>
      </c>
      <c r="M6" s="131"/>
      <c r="N6" s="132">
        <f t="array" ref="N6">SUM(Q10:Q17)+SUM(_xlfn._xlws.FILTER(P10:P17,Q10:Q17=""))+SUM(_xlfn._xlws.FILTER(O10:O17,(P10:P17="")*(Q10:Q17="")))+SUMIFS(R10:R17,Q10:Q17,"&lt;&gt;"&amp;"",$P$10:$P$17,"&lt;&gt;"&amp;"")+SUM(N10:N17)</f>
        <v>0</v>
      </c>
      <c r="O6" s="133"/>
      <c r="P6" s="133"/>
      <c r="Q6" s="133"/>
      <c r="R6" s="134"/>
      <c r="S6" s="132">
        <f t="array" ref="S6">SUM(V10:V17)+SUM(_xlfn._xlws.FILTER(U10:U17,V10:V17=""))+SUM(_xlfn._xlws.FILTER(T10:T17,(U10:U17="")*(V10:V17="")))+SUMIFS(W10:W17,V10:V17,"&lt;&gt;"&amp;"",$P$10:$P$17,"&lt;&gt;"&amp;"")+SUM(S10:S17)</f>
        <v>0</v>
      </c>
      <c r="T6" s="133"/>
      <c r="U6" s="133"/>
      <c r="V6" s="133"/>
      <c r="W6" s="134"/>
      <c r="X6" s="132">
        <f t="array" ref="X6">SUM(AA10:AA17)+SUM(_xlfn._xlws.FILTER(Z10:Z17,AA10:AA17=""))+SUM(_xlfn._xlws.FILTER(Y10:Y17,(Z10:Z17="")*(AA10:AA17="")))+SUMIFS(AB10:AB17,AA10:AA17,"&lt;&gt;"&amp;"",$P$10:$P$17,"&lt;&gt;"&amp;"")+SUM(X10:X17)</f>
        <v>0</v>
      </c>
      <c r="Y6" s="133"/>
      <c r="Z6" s="133"/>
      <c r="AA6" s="133"/>
      <c r="AB6" s="134"/>
      <c r="AC6" s="132">
        <f t="array" ref="AC6">SUM(AF10:AF17)+SUM(_xlfn._xlws.FILTER(AE10:AE17,AF10:AF17=""))+SUM(_xlfn._xlws.FILTER(AD10:AD17,(AE10:AE17="")*(AF10:AF17="")))+SUMIFS(AG10:AG17,AF10:AF17,"&lt;&gt;"&amp;"",$P$10:$P$17,"&lt;&gt;"&amp;"")+SUM(AC10:AC17)</f>
        <v>0</v>
      </c>
      <c r="AD6" s="133"/>
      <c r="AE6" s="133"/>
      <c r="AF6" s="133"/>
      <c r="AG6" s="134"/>
      <c r="AH6" s="132">
        <f t="array" ref="AH6">SUM(AK10:AK17)+SUM(_xlfn._xlws.FILTER(AJ10:AJ17,AK10:AK17=""))+SUM(_xlfn._xlws.FILTER(AI10:AI17,(AJ10:AJ17="")*(AK10:AK17="")))+SUMIFS(AL10:AL17,AK10:AK17,"&lt;&gt;"&amp;"",$P$10:$P$17,"&lt;&gt;"&amp;"")+SUM(AH10:AH17)</f>
        <v>0</v>
      </c>
      <c r="AI6" s="133"/>
      <c r="AJ6" s="133"/>
      <c r="AK6" s="133"/>
      <c r="AL6" s="134"/>
      <c r="AM6" s="132">
        <f t="array" ref="AM6">SUM(AP10:AP17)+SUM(_xlfn._xlws.FILTER(AO10:AO17,AP10:AP17=""))+SUM(_xlfn._xlws.FILTER(AN10:AN17,(AO10:AO17="")*(AP10:AP17="")))+SUMIFS(AQ10:AQ17,AP10:AP17,"&lt;&gt;"&amp;"",$P$10:$P$17,"&lt;&gt;"&amp;"")+SUM(AM10:AM17)</f>
        <v>0</v>
      </c>
      <c r="AN6" s="133"/>
      <c r="AO6" s="133"/>
      <c r="AP6" s="133"/>
      <c r="AQ6" s="134"/>
      <c r="AR6" s="132">
        <f t="array" ref="AR6">SUM(AU10:AU17)+SUM(_xlfn._xlws.FILTER(AT10:AT17,AU10:AU17=""))+SUM(_xlfn._xlws.FILTER(AS10:AS17,(AT10:AT17="")*(AU10:AU17="")))+SUMIFS(AV10:AV17,AU10:AU17,"&lt;&gt;"&amp;"",$P$10:$P$17,"&lt;&gt;"&amp;"")+SUM(AR10:AR17)</f>
        <v>0</v>
      </c>
      <c r="AS6" s="133"/>
      <c r="AT6" s="133"/>
      <c r="AU6" s="133"/>
      <c r="AV6" s="134"/>
      <c r="AW6" s="132">
        <f t="array" ref="AW6">SUM(AZ10:AZ17)+SUM(_xlfn._xlws.FILTER(AY10:AY17,AZ10:AZ17=""))+SUM(_xlfn._xlws.FILTER(AX10:AX17,(AY10:AY17="")*(AZ10:AZ17="")))+SUMIFS(BA10:BA17,AZ10:AZ17,"&lt;&gt;"&amp;"",$P$10:$P$17,"&lt;&gt;"&amp;"")+SUM(AW10:AW17)</f>
        <v>0</v>
      </c>
      <c r="AX6" s="133"/>
      <c r="AY6" s="133"/>
      <c r="AZ6" s="133"/>
      <c r="BA6" s="134"/>
      <c r="BB6" s="132">
        <f t="array" ref="BB6">SUM(BE10:BE17)+SUM(_xlfn._xlws.FILTER(BD10:BD17,BE10:BE17=""))+SUM(_xlfn._xlws.FILTER(BC10:BC17,(BD10:BD17="")*(BE10:BE17="")))+SUMIFS(BF10:BF17,BE10:BE17,"&lt;&gt;"&amp;"",$P$10:$P$17,"&lt;&gt;"&amp;"")+SUM(BB10:BB17)</f>
        <v>0</v>
      </c>
      <c r="BC6" s="133"/>
      <c r="BD6" s="133"/>
      <c r="BE6" s="133"/>
      <c r="BF6" s="134"/>
      <c r="BG6" s="132">
        <f t="array" ref="BG6">SUM(BJ10:BJ17)+SUM(_xlfn._xlws.FILTER(BI10:BI17,BJ10:BJ17=""))+SUM(_xlfn._xlws.FILTER(BH10:BH17,(BI10:BI17="")*(BJ10:BJ17="")))+SUMIFS(BK10:BK17,BJ10:BJ17,"&lt;&gt;"&amp;"",$P$10:$P$17,"&lt;&gt;"&amp;"")+SUM(BG10:BG17)</f>
        <v>0</v>
      </c>
      <c r="BH6" s="133"/>
      <c r="BI6" s="133"/>
      <c r="BJ6" s="133"/>
      <c r="BK6" s="134"/>
      <c r="BL6" s="132">
        <f t="array" ref="BL6">SUM(BO10:BO17)+SUM(_xlfn._xlws.FILTER(BN10:BN17,BO10:BO17=""))+SUM(_xlfn._xlws.FILTER(BM10:BM17,(BN10:BN17="")*(BO10:BO17="")))+SUMIFS(BP10:BP17,BO10:BO17,"&lt;&gt;"&amp;"",$P$10:$P$17,"&lt;&gt;"&amp;"")+SUM(BL10:BL17)</f>
        <v>0</v>
      </c>
      <c r="BM6" s="133"/>
      <c r="BN6" s="133"/>
      <c r="BO6" s="133"/>
      <c r="BP6" s="134"/>
      <c r="BQ6" s="132">
        <f t="array" ref="BQ6">SUM(BT10:BT17)+SUM(_xlfn._xlws.FILTER(BS10:BS17,BT10:BT17=""))+SUM(_xlfn._xlws.FILTER(BR10:BR17,(BS10:BS17="")*(BT10:BT17="")))+SUMIFS(BU10:BU17,BT10:BT17,"&lt;&gt;"&amp;"",$P$10:$P$17,"&lt;&gt;"&amp;"")+SUM(BQ10:BQ17)</f>
        <v>0</v>
      </c>
      <c r="BR6" s="133"/>
      <c r="BS6" s="133"/>
      <c r="BT6" s="133"/>
      <c r="BU6" s="134"/>
      <c r="BV6" s="3" t="s">
        <v>3</v>
      </c>
      <c r="BW6" s="4">
        <f>BW8-BV8</f>
        <v>0</v>
      </c>
    </row>
    <row r="7" spans="1:78" ht="15.75" customHeight="1" x14ac:dyDescent="0.25">
      <c r="A7" s="5"/>
      <c r="B7" s="40"/>
      <c r="D7" s="20"/>
      <c r="E7" s="21"/>
      <c r="F7" s="21"/>
      <c r="G7" s="21"/>
      <c r="H7" s="21"/>
      <c r="I7" s="21"/>
      <c r="J7" s="21"/>
      <c r="K7" s="29" t="s">
        <v>5</v>
      </c>
      <c r="L7" s="135" t="s">
        <v>6</v>
      </c>
      <c r="M7" s="131"/>
      <c r="N7" s="132">
        <f t="array" ref="N7">SUM(Q10:Q17)+SUM(_xlfn._xlws.FILTER(P10:P17,Q10:Q17=""))+SUM(_xlfn._xlws.FILTER(O10:O17,(P10:P17="")*(Q10:Q17="")))</f>
        <v>0</v>
      </c>
      <c r="O7" s="133"/>
      <c r="P7" s="133"/>
      <c r="Q7" s="133"/>
      <c r="R7" s="134"/>
      <c r="S7" s="132">
        <f t="array" ref="S7">SUM(V10:V17)+SUM(_xlfn._xlws.FILTER(U10:U17,V10:V17=""))+SUM(_xlfn._xlws.FILTER(T10:T17,(U10:U17="")*(V10:V17="")))</f>
        <v>0</v>
      </c>
      <c r="T7" s="133"/>
      <c r="U7" s="133"/>
      <c r="V7" s="133"/>
      <c r="W7" s="134"/>
      <c r="X7" s="132">
        <f t="array" ref="X7">SUM(AA10:AA17)+SUM(_xlfn._xlws.FILTER(Z10:Z17,AA10:AA17=""))+SUM(_xlfn._xlws.FILTER(Y10:Y17,(Z10:Z17="")*(AA10:AA17="")))</f>
        <v>0</v>
      </c>
      <c r="Y7" s="133"/>
      <c r="Z7" s="133"/>
      <c r="AA7" s="133"/>
      <c r="AB7" s="134"/>
      <c r="AC7" s="132">
        <f t="array" ref="AC7">SUM(AF10:AF17)+SUM(_xlfn._xlws.FILTER(AE10:AE17,AF10:AF17=""))+SUM(_xlfn._xlws.FILTER(AD10:AD17,(AE10:AE17="")*(AF10:AF17="")))</f>
        <v>0</v>
      </c>
      <c r="AD7" s="133"/>
      <c r="AE7" s="133"/>
      <c r="AF7" s="133"/>
      <c r="AG7" s="134"/>
      <c r="AH7" s="132">
        <f t="array" ref="AH7">SUM(AK10:AK17)+SUM(_xlfn._xlws.FILTER(AJ10:AJ17,AK10:AK17=""))+SUM(_xlfn._xlws.FILTER(AI10:AI17,(AJ10:AJ17="")*(AK10:AK17="")))</f>
        <v>0</v>
      </c>
      <c r="AI7" s="133"/>
      <c r="AJ7" s="133"/>
      <c r="AK7" s="133"/>
      <c r="AL7" s="134"/>
      <c r="AM7" s="132">
        <f t="array" ref="AM7">SUM(AP10:AP17)+SUM(_xlfn._xlws.FILTER(AO10:AO17,AP10:AP17=""))+SUM(_xlfn._xlws.FILTER(AN10:AN17,(AO10:AO17="")*(AP10:AP17="")))</f>
        <v>0</v>
      </c>
      <c r="AN7" s="133"/>
      <c r="AO7" s="133"/>
      <c r="AP7" s="133"/>
      <c r="AQ7" s="134"/>
      <c r="AR7" s="132">
        <f t="array" ref="AR7">SUM(AU10:AU17)+SUM(_xlfn._xlws.FILTER(AT10:AT17,AU10:AU17=""))+SUM(_xlfn._xlws.FILTER(AS10:AS17,(AT10:AT17="")*(AU10:AU17="")))</f>
        <v>0</v>
      </c>
      <c r="AS7" s="133"/>
      <c r="AT7" s="133"/>
      <c r="AU7" s="133"/>
      <c r="AV7" s="134"/>
      <c r="AW7" s="132">
        <f t="array" ref="AW7">SUM(AZ10:AZ17)+SUM(_xlfn._xlws.FILTER(AY10:AY17,AZ10:AZ17=""))+SUM(_xlfn._xlws.FILTER(AX10:AX17,(AY10:AY17="")*(AZ10:AZ17="")))</f>
        <v>0</v>
      </c>
      <c r="AX7" s="133"/>
      <c r="AY7" s="133"/>
      <c r="AZ7" s="133"/>
      <c r="BA7" s="134"/>
      <c r="BB7" s="132">
        <f t="array" ref="BB7">SUM(BE10:BE17)+SUM(_xlfn._xlws.FILTER(BD10:BD17,BE10:BE17=""))+SUM(_xlfn._xlws.FILTER(BC10:BC17,(BD10:BD17="")*(BE10:BE17="")))</f>
        <v>0</v>
      </c>
      <c r="BC7" s="133"/>
      <c r="BD7" s="133"/>
      <c r="BE7" s="133"/>
      <c r="BF7" s="134"/>
      <c r="BG7" s="132">
        <f t="array" ref="BG7">SUM(BJ10:BJ17)+SUM(_xlfn._xlws.FILTER(BI10:BI17,BJ10:BJ17=""))+SUM(_xlfn._xlws.FILTER(BH10:BH17,(BI10:BI17="")*(BJ10:BJ17="")))</f>
        <v>0</v>
      </c>
      <c r="BH7" s="133"/>
      <c r="BI7" s="133"/>
      <c r="BJ7" s="133"/>
      <c r="BK7" s="134"/>
      <c r="BL7" s="132">
        <f t="array" ref="BL7">SUM(BO10:BO17)+SUM(_xlfn._xlws.FILTER(BN10:BN17,BO10:BO17=""))+SUM(_xlfn._xlws.FILTER(BM10:BM17,(BN10:BN17="")*(BO10:BO17="")))</f>
        <v>0</v>
      </c>
      <c r="BM7" s="133"/>
      <c r="BN7" s="133"/>
      <c r="BO7" s="133"/>
      <c r="BP7" s="134"/>
      <c r="BQ7" s="132">
        <f t="array" ref="BQ7">SUM(BT10:BT17)+SUM(_xlfn._xlws.FILTER(BS10:BS17,BT10:BT17=""))+SUM(_xlfn._xlws.FILTER(BR10:BR17,(BS10:BS17="")*(BT10:BT17="")))</f>
        <v>0</v>
      </c>
      <c r="BR7" s="133"/>
      <c r="BS7" s="133"/>
      <c r="BT7" s="133"/>
      <c r="BU7" s="134"/>
      <c r="BV7" s="3"/>
      <c r="BW7" s="4"/>
      <c r="BZ7" s="56"/>
    </row>
    <row r="8" spans="1:78" ht="15.6" customHeight="1" x14ac:dyDescent="0.25">
      <c r="A8" s="5" t="s">
        <v>7</v>
      </c>
      <c r="K8" s="30">
        <f>SUBTOTAL(9,K10:K20)</f>
        <v>1826544</v>
      </c>
      <c r="L8" s="139" t="s">
        <v>8</v>
      </c>
      <c r="M8" s="129"/>
      <c r="N8" s="140">
        <v>46053</v>
      </c>
      <c r="O8" s="133"/>
      <c r="P8" s="133"/>
      <c r="Q8" s="133"/>
      <c r="R8" s="133"/>
      <c r="S8" s="136" t="s">
        <v>9</v>
      </c>
      <c r="T8" s="133"/>
      <c r="U8" s="133"/>
      <c r="V8" s="133"/>
      <c r="W8" s="134"/>
      <c r="X8" s="136">
        <v>46112</v>
      </c>
      <c r="Y8" s="133"/>
      <c r="Z8" s="133"/>
      <c r="AA8" s="133"/>
      <c r="AB8" s="134"/>
      <c r="AC8" s="136">
        <v>46142</v>
      </c>
      <c r="AD8" s="133"/>
      <c r="AE8" s="133"/>
      <c r="AF8" s="133"/>
      <c r="AG8" s="134"/>
      <c r="AH8" s="136">
        <v>46173</v>
      </c>
      <c r="AI8" s="133"/>
      <c r="AJ8" s="133"/>
      <c r="AK8" s="133"/>
      <c r="AL8" s="134"/>
      <c r="AM8" s="136">
        <v>46203</v>
      </c>
      <c r="AN8" s="133"/>
      <c r="AO8" s="133"/>
      <c r="AP8" s="133"/>
      <c r="AQ8" s="134"/>
      <c r="AR8" s="136">
        <v>46234</v>
      </c>
      <c r="AS8" s="133"/>
      <c r="AT8" s="133"/>
      <c r="AU8" s="133"/>
      <c r="AV8" s="134"/>
      <c r="AW8" s="136">
        <v>46265</v>
      </c>
      <c r="AX8" s="133"/>
      <c r="AY8" s="133"/>
      <c r="AZ8" s="133"/>
      <c r="BA8" s="134"/>
      <c r="BB8" s="136">
        <v>46295</v>
      </c>
      <c r="BC8" s="133"/>
      <c r="BD8" s="133"/>
      <c r="BE8" s="133"/>
      <c r="BF8" s="134"/>
      <c r="BG8" s="136">
        <v>46326</v>
      </c>
      <c r="BH8" s="133"/>
      <c r="BI8" s="133"/>
      <c r="BJ8" s="133"/>
      <c r="BK8" s="134"/>
      <c r="BL8" s="136">
        <v>46356</v>
      </c>
      <c r="BM8" s="133"/>
      <c r="BN8" s="133"/>
      <c r="BO8" s="133"/>
      <c r="BP8" s="134"/>
      <c r="BQ8" s="136">
        <v>46387</v>
      </c>
      <c r="BR8" s="133"/>
      <c r="BS8" s="133"/>
      <c r="BT8" s="133"/>
      <c r="BU8" s="134"/>
      <c r="BV8" s="6">
        <f>SUM(BV10:BV17)</f>
        <v>0</v>
      </c>
      <c r="BW8" s="7"/>
      <c r="BY8" s="2"/>
    </row>
    <row r="9" spans="1:78" ht="43.5" customHeight="1" x14ac:dyDescent="0.25">
      <c r="A9" s="8" t="s">
        <v>10</v>
      </c>
      <c r="B9" s="41" t="s">
        <v>89</v>
      </c>
      <c r="C9" s="9" t="s">
        <v>12</v>
      </c>
      <c r="D9" s="10" t="s">
        <v>13</v>
      </c>
      <c r="E9" s="11" t="s">
        <v>14</v>
      </c>
      <c r="F9" s="11" t="s">
        <v>15</v>
      </c>
      <c r="G9" s="9" t="s">
        <v>16</v>
      </c>
      <c r="H9" s="9" t="s">
        <v>18</v>
      </c>
      <c r="I9" s="9" t="s">
        <v>19</v>
      </c>
      <c r="J9" s="9" t="s">
        <v>20</v>
      </c>
      <c r="K9" s="25" t="s">
        <v>90</v>
      </c>
      <c r="L9" s="13" t="s">
        <v>91</v>
      </c>
      <c r="M9" s="14" t="s">
        <v>24</v>
      </c>
      <c r="N9" s="44" t="s">
        <v>92</v>
      </c>
      <c r="O9" s="49" t="s">
        <v>31</v>
      </c>
      <c r="P9" s="12" t="s">
        <v>32</v>
      </c>
      <c r="Q9" s="12" t="s">
        <v>33</v>
      </c>
      <c r="R9" s="15" t="s">
        <v>29</v>
      </c>
      <c r="S9" s="44" t="s">
        <v>34</v>
      </c>
      <c r="T9" s="12" t="s">
        <v>35</v>
      </c>
      <c r="U9" s="12" t="s">
        <v>36</v>
      </c>
      <c r="V9" s="45" t="s">
        <v>37</v>
      </c>
      <c r="W9" s="46" t="s">
        <v>29</v>
      </c>
      <c r="X9" s="44" t="s">
        <v>38</v>
      </c>
      <c r="Y9" s="12" t="s">
        <v>39</v>
      </c>
      <c r="Z9" s="12" t="s">
        <v>40</v>
      </c>
      <c r="AA9" s="45" t="s">
        <v>41</v>
      </c>
      <c r="AB9" s="46" t="s">
        <v>29</v>
      </c>
      <c r="AC9" s="44" t="s">
        <v>42</v>
      </c>
      <c r="AD9" s="12" t="s">
        <v>43</v>
      </c>
      <c r="AE9" s="12" t="s">
        <v>44</v>
      </c>
      <c r="AF9" s="45" t="s">
        <v>45</v>
      </c>
      <c r="AG9" s="46" t="s">
        <v>29</v>
      </c>
      <c r="AH9" s="44" t="s">
        <v>46</v>
      </c>
      <c r="AI9" s="12" t="s">
        <v>47</v>
      </c>
      <c r="AJ9" s="12" t="s">
        <v>48</v>
      </c>
      <c r="AK9" s="45" t="s">
        <v>49</v>
      </c>
      <c r="AL9" s="46" t="s">
        <v>29</v>
      </c>
      <c r="AM9" s="44" t="s">
        <v>50</v>
      </c>
      <c r="AN9" s="12" t="s">
        <v>51</v>
      </c>
      <c r="AO9" s="12" t="s">
        <v>52</v>
      </c>
      <c r="AP9" s="45" t="s">
        <v>53</v>
      </c>
      <c r="AQ9" s="46" t="s">
        <v>29</v>
      </c>
      <c r="AR9" s="44" t="s">
        <v>54</v>
      </c>
      <c r="AS9" s="12" t="s">
        <v>55</v>
      </c>
      <c r="AT9" s="12" t="s">
        <v>56</v>
      </c>
      <c r="AU9" s="45" t="s">
        <v>57</v>
      </c>
      <c r="AV9" s="46" t="s">
        <v>29</v>
      </c>
      <c r="AW9" s="44" t="s">
        <v>58</v>
      </c>
      <c r="AX9" s="12" t="s">
        <v>59</v>
      </c>
      <c r="AY9" s="12" t="s">
        <v>60</v>
      </c>
      <c r="AZ9" s="45" t="s">
        <v>61</v>
      </c>
      <c r="BA9" s="46" t="s">
        <v>29</v>
      </c>
      <c r="BB9" s="44" t="s">
        <v>62</v>
      </c>
      <c r="BC9" s="12" t="s">
        <v>63</v>
      </c>
      <c r="BD9" s="12" t="s">
        <v>64</v>
      </c>
      <c r="BE9" s="45" t="s">
        <v>65</v>
      </c>
      <c r="BF9" s="46" t="s">
        <v>29</v>
      </c>
      <c r="BG9" s="44" t="s">
        <v>66</v>
      </c>
      <c r="BH9" s="12" t="s">
        <v>67</v>
      </c>
      <c r="BI9" s="12" t="s">
        <v>68</v>
      </c>
      <c r="BJ9" s="45" t="s">
        <v>69</v>
      </c>
      <c r="BK9" s="46" t="s">
        <v>29</v>
      </c>
      <c r="BL9" s="44" t="s">
        <v>70</v>
      </c>
      <c r="BM9" s="12" t="s">
        <v>71</v>
      </c>
      <c r="BN9" s="12" t="s">
        <v>72</v>
      </c>
      <c r="BO9" s="45" t="s">
        <v>73</v>
      </c>
      <c r="BP9" s="46" t="s">
        <v>29</v>
      </c>
      <c r="BQ9" s="44" t="s">
        <v>74</v>
      </c>
      <c r="BR9" s="12" t="s">
        <v>75</v>
      </c>
      <c r="BS9" s="12" t="s">
        <v>76</v>
      </c>
      <c r="BT9" s="45" t="s">
        <v>77</v>
      </c>
      <c r="BU9" s="46" t="s">
        <v>29</v>
      </c>
      <c r="BV9" s="16" t="s">
        <v>78</v>
      </c>
      <c r="BW9" s="12" t="s">
        <v>79</v>
      </c>
      <c r="BX9" s="17" t="s">
        <v>80</v>
      </c>
    </row>
    <row r="10" spans="1:78" ht="29.1" customHeight="1" x14ac:dyDescent="0.25">
      <c r="A10" s="66" t="s">
        <v>93</v>
      </c>
      <c r="B10" s="67">
        <v>9501158807</v>
      </c>
      <c r="C10" s="68">
        <v>46023</v>
      </c>
      <c r="D10" s="68">
        <v>46387</v>
      </c>
      <c r="E10" s="69" t="s">
        <v>94</v>
      </c>
      <c r="F10" s="69" t="s">
        <v>95</v>
      </c>
      <c r="G10" s="69">
        <v>41010000</v>
      </c>
      <c r="H10" s="69">
        <v>1400</v>
      </c>
      <c r="I10" s="69" t="s">
        <v>96</v>
      </c>
      <c r="J10" s="69">
        <v>2329947</v>
      </c>
      <c r="K10" s="70">
        <v>316000</v>
      </c>
      <c r="L10" s="71" t="s">
        <v>97</v>
      </c>
      <c r="M10" s="69" t="s">
        <v>98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47"/>
      <c r="BW10" s="72"/>
      <c r="BX10" s="73"/>
    </row>
    <row r="11" spans="1:78" ht="29.1" customHeight="1" x14ac:dyDescent="0.25">
      <c r="A11" s="66" t="s">
        <v>93</v>
      </c>
      <c r="B11" s="67">
        <v>9501164195</v>
      </c>
      <c r="C11" s="68">
        <v>46023</v>
      </c>
      <c r="D11" s="68">
        <v>46387</v>
      </c>
      <c r="E11" s="69" t="s">
        <v>94</v>
      </c>
      <c r="F11" s="69" t="s">
        <v>95</v>
      </c>
      <c r="G11" s="69">
        <v>41010000</v>
      </c>
      <c r="H11" s="69">
        <v>1400</v>
      </c>
      <c r="I11" s="69" t="s">
        <v>96</v>
      </c>
      <c r="J11" s="69">
        <v>2329947</v>
      </c>
      <c r="K11" s="70">
        <v>316000</v>
      </c>
      <c r="L11" s="71" t="s">
        <v>99</v>
      </c>
      <c r="M11" s="69" t="s">
        <v>98</v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47"/>
      <c r="BW11" s="72"/>
      <c r="BX11" s="73"/>
    </row>
    <row r="12" spans="1:78" ht="29.1" customHeight="1" x14ac:dyDescent="0.25">
      <c r="A12" s="66" t="s">
        <v>93</v>
      </c>
      <c r="B12" s="67">
        <v>9501164196</v>
      </c>
      <c r="C12" s="68">
        <v>46023</v>
      </c>
      <c r="D12" s="68">
        <v>46387</v>
      </c>
      <c r="E12" s="69" t="s">
        <v>94</v>
      </c>
      <c r="F12" s="69" t="s">
        <v>95</v>
      </c>
      <c r="G12" s="69">
        <v>41010000</v>
      </c>
      <c r="H12" s="69">
        <v>1400</v>
      </c>
      <c r="I12" s="69" t="s">
        <v>96</v>
      </c>
      <c r="J12" s="69">
        <v>2329947</v>
      </c>
      <c r="K12" s="70">
        <v>316000</v>
      </c>
      <c r="L12" s="71" t="s">
        <v>100</v>
      </c>
      <c r="M12" s="69" t="s">
        <v>98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47"/>
      <c r="BW12" s="72"/>
      <c r="BX12" s="73"/>
    </row>
    <row r="13" spans="1:78" ht="29.1" customHeight="1" x14ac:dyDescent="0.25">
      <c r="A13" s="66" t="s">
        <v>93</v>
      </c>
      <c r="B13" s="67">
        <v>9501155959</v>
      </c>
      <c r="C13" s="68">
        <v>46023</v>
      </c>
      <c r="D13" s="68">
        <v>46295</v>
      </c>
      <c r="E13" s="69" t="s">
        <v>94</v>
      </c>
      <c r="F13" s="69" t="s">
        <v>95</v>
      </c>
      <c r="G13" s="69">
        <v>41010000</v>
      </c>
      <c r="H13" s="69">
        <v>1400</v>
      </c>
      <c r="I13" s="69" t="s">
        <v>96</v>
      </c>
      <c r="J13" s="69">
        <v>2329947</v>
      </c>
      <c r="K13" s="70">
        <v>242688</v>
      </c>
      <c r="L13" s="71" t="s">
        <v>101</v>
      </c>
      <c r="M13" s="69" t="s">
        <v>98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47"/>
      <c r="BW13" s="72"/>
      <c r="BX13" s="73"/>
    </row>
    <row r="14" spans="1:78" ht="29.1" customHeight="1" x14ac:dyDescent="0.25">
      <c r="A14" s="66" t="s">
        <v>93</v>
      </c>
      <c r="B14" s="67">
        <v>9501155961</v>
      </c>
      <c r="C14" s="68">
        <v>46023</v>
      </c>
      <c r="D14" s="68">
        <v>46295</v>
      </c>
      <c r="E14" s="69" t="s">
        <v>94</v>
      </c>
      <c r="F14" s="69" t="s">
        <v>95</v>
      </c>
      <c r="G14" s="69">
        <v>41010000</v>
      </c>
      <c r="H14" s="69">
        <v>1400</v>
      </c>
      <c r="I14" s="69" t="s">
        <v>96</v>
      </c>
      <c r="J14" s="69">
        <v>2329947</v>
      </c>
      <c r="K14" s="70">
        <v>242688</v>
      </c>
      <c r="L14" s="71" t="s">
        <v>102</v>
      </c>
      <c r="M14" s="69" t="s">
        <v>98</v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47"/>
      <c r="BW14" s="72"/>
      <c r="BX14" s="73"/>
    </row>
    <row r="15" spans="1:78" ht="29.1" customHeight="1" x14ac:dyDescent="0.25">
      <c r="A15" s="66" t="s">
        <v>93</v>
      </c>
      <c r="B15" s="67">
        <v>9501164193</v>
      </c>
      <c r="C15" s="68">
        <v>46023</v>
      </c>
      <c r="D15" s="68">
        <v>46295</v>
      </c>
      <c r="E15" s="69" t="s">
        <v>94</v>
      </c>
      <c r="F15" s="69" t="s">
        <v>95</v>
      </c>
      <c r="G15" s="69">
        <v>41010000</v>
      </c>
      <c r="H15" s="69">
        <v>1400</v>
      </c>
      <c r="I15" s="69" t="s">
        <v>96</v>
      </c>
      <c r="J15" s="69">
        <v>2329947</v>
      </c>
      <c r="K15" s="70">
        <v>242688</v>
      </c>
      <c r="L15" s="71" t="s">
        <v>103</v>
      </c>
      <c r="M15" s="69" t="s">
        <v>98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47"/>
      <c r="BW15" s="72"/>
      <c r="BX15" s="73"/>
    </row>
    <row r="16" spans="1:78" ht="29.1" customHeight="1" x14ac:dyDescent="0.25">
      <c r="A16" s="66" t="s">
        <v>93</v>
      </c>
      <c r="B16" s="67">
        <v>9501276544</v>
      </c>
      <c r="C16" s="68">
        <v>46174</v>
      </c>
      <c r="D16" s="68">
        <v>47208</v>
      </c>
      <c r="E16" s="69" t="s">
        <v>104</v>
      </c>
      <c r="F16" s="69" t="s">
        <v>95</v>
      </c>
      <c r="G16" s="69">
        <v>41010000</v>
      </c>
      <c r="H16" s="69">
        <v>1400</v>
      </c>
      <c r="I16" s="69" t="s">
        <v>96</v>
      </c>
      <c r="J16" s="69">
        <v>2329947</v>
      </c>
      <c r="K16" s="70">
        <v>150480</v>
      </c>
      <c r="L16" s="71" t="s">
        <v>105</v>
      </c>
      <c r="M16" s="69" t="s">
        <v>98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47"/>
      <c r="BW16" s="72"/>
      <c r="BX16" s="73"/>
    </row>
    <row r="17" spans="1:76" s="18" customFormat="1" ht="14.45" customHeight="1" x14ac:dyDescent="0.25">
      <c r="A17" s="33" t="s">
        <v>81</v>
      </c>
      <c r="B17" s="42"/>
      <c r="C17" s="35"/>
      <c r="D17" s="35"/>
      <c r="E17" s="34"/>
      <c r="F17" s="34"/>
      <c r="G17" s="34"/>
      <c r="H17" s="34"/>
      <c r="I17" s="34"/>
      <c r="J17" s="34"/>
      <c r="K17" s="36"/>
      <c r="L17" s="34"/>
      <c r="M17" s="34"/>
      <c r="N17" s="48"/>
      <c r="O17" s="48"/>
      <c r="P17" s="48"/>
      <c r="Q17" s="48"/>
      <c r="R17" s="48" t="str">
        <f>IF(OR(P17="",Q17=""),"",P17-Q17)</f>
        <v/>
      </c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 t="str">
        <f>IF(OR(AE17="",AF17=""),"",AE17-AF17)</f>
        <v/>
      </c>
      <c r="AH17" s="48"/>
      <c r="AI17" s="48"/>
      <c r="AJ17" s="48"/>
      <c r="AK17" s="48"/>
      <c r="AL17" s="48" t="str">
        <f>IF(OR(AJ17="",AK17=""),"",AJ17-AK17)</f>
        <v/>
      </c>
      <c r="AM17" s="48"/>
      <c r="AN17" s="48"/>
      <c r="AO17" s="48"/>
      <c r="AP17" s="48"/>
      <c r="AQ17" s="48" t="str">
        <f>IF(OR(AO17="",AP17=""),"",AO17-AP17)</f>
        <v/>
      </c>
      <c r="AR17" s="48"/>
      <c r="AS17" s="48"/>
      <c r="AT17" s="48"/>
      <c r="AU17" s="48"/>
      <c r="AV17" s="48" t="str">
        <f>IF(OR(AT17="",AU17=""),"",AT17-AU17)</f>
        <v/>
      </c>
      <c r="AW17" s="48"/>
      <c r="AX17" s="48"/>
      <c r="AY17" s="48"/>
      <c r="AZ17" s="48"/>
      <c r="BA17" s="48" t="str">
        <f>IF(OR(AY17="",AZ17=""),"",AY17-AZ17)</f>
        <v/>
      </c>
      <c r="BB17" s="48"/>
      <c r="BC17" s="48"/>
      <c r="BD17" s="48"/>
      <c r="BE17" s="48"/>
      <c r="BF17" s="48" t="str">
        <f>IF(OR(BD17="",BE17=""),"",BD17-BE17)</f>
        <v/>
      </c>
      <c r="BG17" s="48"/>
      <c r="BH17" s="48"/>
      <c r="BI17" s="48"/>
      <c r="BJ17" s="48"/>
      <c r="BK17" s="48" t="str">
        <f>IF(OR(BI17="",BJ17=""),"",BI17-BJ17)</f>
        <v/>
      </c>
      <c r="BL17" s="48"/>
      <c r="BM17" s="48"/>
      <c r="BN17" s="48"/>
      <c r="BO17" s="48"/>
      <c r="BP17" s="48" t="str">
        <f>IF(OR(BN17="",BO17=""),"",BN17-BO17)</f>
        <v/>
      </c>
      <c r="BQ17" s="48"/>
      <c r="BR17" s="48"/>
      <c r="BS17" s="48"/>
      <c r="BT17" s="48"/>
      <c r="BU17" s="48" t="str">
        <f>IF(OR(BS17="",BT17=""),"",BS17-BT17)</f>
        <v/>
      </c>
      <c r="BV17" s="47">
        <f>SUM(IF(Q17&lt;&gt;"",Q17,IF(P17&lt;&gt;"",P17,O17)),IF(V17&lt;&gt;"",V17,IF(U17&lt;&gt;"",U17,T17)),IF(AA17&lt;&gt;"",AA17,IF(Z17&lt;&gt;"",Z17,Y17)),IF(AF17&lt;&gt;"",AF17,IF(AE17&lt;&gt;"",AE17,AD17)),IF(AK17&lt;&gt;"",AK17,IF(AJ17&lt;&gt;"",AJ17,AI17)),IF(AP17&lt;&gt;"",AP17,IF(AO17&lt;&gt;"",AO17,AN17)),IF(AU17&lt;&gt;"",AU17,IF(AT17&lt;&gt;"",AT17,AS17)),IF(AZ17&lt;&gt;"",AZ17,IF(AY17&lt;&gt;"",AY17,AX17)),IF(BE17&lt;&gt;"",BE17,IF(BD17&lt;&gt;"",BD17,BC17)),IF(BJ17&lt;&gt;"",BJ17,IF(BI17&lt;&gt;"",BI17,BH17)),IF(BO17&lt;&gt;"",BO17,IF(BN17&lt;&gt;"",BN17,BM17)),IF(BT17&lt;&gt;"",BT17,IF(BS17&lt;&gt;"",BS17,BR17)))</f>
        <v>0</v>
      </c>
      <c r="BW17" s="48"/>
      <c r="BX17" s="37"/>
    </row>
    <row r="18" spans="1:76" ht="14.45" customHeight="1" x14ac:dyDescent="0.25">
      <c r="A18" t="s">
        <v>82</v>
      </c>
      <c r="AA18" s="2"/>
    </row>
    <row r="19" spans="1:76" ht="15" customHeight="1" x14ac:dyDescent="0.25">
      <c r="A19" s="43" t="s">
        <v>83</v>
      </c>
    </row>
    <row r="20" spans="1:76" ht="15" customHeight="1" x14ac:dyDescent="0.25">
      <c r="A20" t="s">
        <v>106</v>
      </c>
    </row>
    <row r="21" spans="1:76" ht="15" customHeight="1" x14ac:dyDescent="0.25">
      <c r="A21" t="s">
        <v>107</v>
      </c>
    </row>
    <row r="22" spans="1:76" ht="15" customHeight="1" x14ac:dyDescent="0.25">
      <c r="A22" s="38"/>
    </row>
    <row r="26" spans="1:76" ht="15" customHeight="1" x14ac:dyDescent="0.25">
      <c r="BU26" s="53"/>
    </row>
    <row r="33" spans="73:73" ht="15" customHeight="1" x14ac:dyDescent="0.25">
      <c r="BU33" s="2"/>
    </row>
  </sheetData>
  <autoFilter ref="A9:DD21" xr:uid="{00000000-0009-0000-0000-000001000000}"/>
  <mergeCells count="40">
    <mergeCell ref="L6:M6"/>
    <mergeCell ref="BQ8:BU8"/>
    <mergeCell ref="AM6:AQ6"/>
    <mergeCell ref="BG7:BK7"/>
    <mergeCell ref="N6:R6"/>
    <mergeCell ref="AH7:AL7"/>
    <mergeCell ref="BQ7:BU7"/>
    <mergeCell ref="X6:AB6"/>
    <mergeCell ref="BG6:BK6"/>
    <mergeCell ref="AR6:AV6"/>
    <mergeCell ref="BL7:BP7"/>
    <mergeCell ref="S6:W6"/>
    <mergeCell ref="BB6:BF6"/>
    <mergeCell ref="AC6:AG6"/>
    <mergeCell ref="AM7:AQ7"/>
    <mergeCell ref="BL8:BP8"/>
    <mergeCell ref="A1:B1"/>
    <mergeCell ref="BQ6:BU6"/>
    <mergeCell ref="X8:AB8"/>
    <mergeCell ref="BG8:BK8"/>
    <mergeCell ref="AH8:AL8"/>
    <mergeCell ref="AR8:AV8"/>
    <mergeCell ref="X7:AB7"/>
    <mergeCell ref="S8:W8"/>
    <mergeCell ref="BB8:BF8"/>
    <mergeCell ref="S7:W7"/>
    <mergeCell ref="BL6:BP6"/>
    <mergeCell ref="AW6:BA6"/>
    <mergeCell ref="L8:M8"/>
    <mergeCell ref="AC8:AG8"/>
    <mergeCell ref="N8:R8"/>
    <mergeCell ref="AH6:AL6"/>
    <mergeCell ref="BB7:BF7"/>
    <mergeCell ref="AW7:BA7"/>
    <mergeCell ref="L7:M7"/>
    <mergeCell ref="AM8:AQ8"/>
    <mergeCell ref="AW8:BA8"/>
    <mergeCell ref="AR7:AV7"/>
    <mergeCell ref="AC7:AG7"/>
    <mergeCell ref="N7:R7"/>
  </mergeCells>
  <conditionalFormatting sqref="Q10:Q17 V10:V17 AA10:AA17 AF10:AF17 AK10:AK17 AP10:AP17 AU10:AU17 AZ10:AZ17 BE10:BE17 BJ10:BJ17 BO10:BO17 BT10:BT17">
    <cfRule type="expression" dxfId="3" priority="2">
      <formula>IF(AND(P10&gt;0,Q10=0),TRUE,FALSE)</formula>
    </cfRule>
  </conditionalFormatting>
  <conditionalFormatting sqref="BT5 V10:X17 AB10:AC17 AG10:AH17 AL10:AM17 AQ10:AR17 AV10:AW17 BA10:BB17 BF10:BG17 BK10:BL17 BP10:BQ17 BU10:BU17">
    <cfRule type="expression" dxfId="2" priority="3">
      <formula>IF(AND(U5&lt;&gt;"",V5="",TODAY()&gt;DATE(YEAR(TODAY()),MONTH(DATEVALUE("1-"&amp;LEFT(#REF!,3)&amp;"-1900")),20)),TRUE,FALSE)</formula>
    </cfRule>
  </conditionalFormatting>
  <conditionalFormatting sqref="BV10:BV17">
    <cfRule type="cellIs" dxfId="1" priority="4" operator="greaterThan">
      <formula>90%*#REF!</formula>
    </cfRule>
  </conditionalFormatting>
  <conditionalFormatting sqref="BW6:BW7">
    <cfRule type="expression" dxfId="0" priority="1">
      <formula>IF(BW6&lt;0,TRUE,FALSE)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5"/>
  <sheetViews>
    <sheetView topLeftCell="A26" workbookViewId="0">
      <selection activeCell="AF3" sqref="AF3"/>
    </sheetView>
  </sheetViews>
  <sheetFormatPr defaultColWidth="9.140625" defaultRowHeight="15" x14ac:dyDescent="0.25"/>
  <cols>
    <col min="1" max="1" width="12" bestFit="1" customWidth="1"/>
    <col min="2" max="2" width="0" hidden="1"/>
    <col min="3" max="3" width="12.5703125" customWidth="1"/>
    <col min="5" max="5" width="27.42578125" customWidth="1"/>
    <col min="6" max="6" width="30.140625" bestFit="1" customWidth="1"/>
    <col min="9" max="9" width="9.140625" customWidth="1"/>
    <col min="10" max="10" width="48.28515625" hidden="1" customWidth="1"/>
    <col min="11" max="13" width="0" hidden="1"/>
    <col min="14" max="14" width="9.140625" customWidth="1"/>
    <col min="15" max="15" width="9.140625" hidden="1" customWidth="1"/>
    <col min="16" max="16" width="17.42578125" hidden="1" customWidth="1"/>
    <col min="17" max="17" width="9.140625" hidden="1" customWidth="1"/>
    <col min="18" max="18" width="9.140625" customWidth="1"/>
    <col min="19" max="21" width="9.140625" hidden="1" customWidth="1"/>
    <col min="22" max="22" width="10.85546875" customWidth="1"/>
    <col min="23" max="23" width="17.42578125" bestFit="1" customWidth="1"/>
    <col min="24" max="27" width="0" hidden="1"/>
    <col min="28" max="28" width="12.5703125" hidden="1" customWidth="1"/>
    <col min="29" max="31" width="0" hidden="1"/>
    <col min="33" max="33" width="0" hidden="1"/>
    <col min="36" max="36" width="0" hidden="1"/>
  </cols>
  <sheetData>
    <row r="1" spans="1:36" x14ac:dyDescent="0.25">
      <c r="A1" s="57" t="s">
        <v>108</v>
      </c>
      <c r="B1" s="58" t="s">
        <v>108</v>
      </c>
      <c r="C1" s="58" t="s">
        <v>108</v>
      </c>
      <c r="D1" s="58" t="s">
        <v>108</v>
      </c>
      <c r="E1" s="58" t="s">
        <v>108</v>
      </c>
      <c r="F1" s="58" t="s">
        <v>108</v>
      </c>
      <c r="G1" s="58" t="s">
        <v>108</v>
      </c>
      <c r="H1" s="58" t="s">
        <v>108</v>
      </c>
      <c r="I1" s="58" t="s">
        <v>108</v>
      </c>
      <c r="J1" s="58" t="s">
        <v>108</v>
      </c>
      <c r="K1" s="58" t="s">
        <v>108</v>
      </c>
      <c r="L1" s="58" t="s">
        <v>108</v>
      </c>
      <c r="M1" s="58" t="s">
        <v>108</v>
      </c>
      <c r="N1" s="58" t="s">
        <v>108</v>
      </c>
      <c r="O1" s="58" t="s">
        <v>108</v>
      </c>
      <c r="P1" s="58" t="s">
        <v>108</v>
      </c>
      <c r="Q1" s="58" t="s">
        <v>108</v>
      </c>
      <c r="R1" s="58" t="s">
        <v>108</v>
      </c>
      <c r="S1" s="58" t="s">
        <v>108</v>
      </c>
      <c r="T1" s="58" t="s">
        <v>108</v>
      </c>
      <c r="U1" s="58" t="s">
        <v>108</v>
      </c>
      <c r="V1" s="58" t="s">
        <v>108</v>
      </c>
      <c r="W1" s="58" t="s">
        <v>108</v>
      </c>
      <c r="X1" s="58" t="s">
        <v>108</v>
      </c>
      <c r="Y1" s="58" t="s">
        <v>108</v>
      </c>
      <c r="Z1" s="58" t="s">
        <v>108</v>
      </c>
      <c r="AA1" s="58" t="s">
        <v>109</v>
      </c>
      <c r="AB1" s="58" t="s">
        <v>110</v>
      </c>
      <c r="AC1" s="58" t="s">
        <v>111</v>
      </c>
      <c r="AD1" s="58" t="s">
        <v>112</v>
      </c>
      <c r="AE1" s="58" t="s">
        <v>113</v>
      </c>
      <c r="AF1" s="58" t="s">
        <v>114</v>
      </c>
      <c r="AG1" s="58" t="s">
        <v>115</v>
      </c>
      <c r="AH1" s="58" t="s">
        <v>116</v>
      </c>
      <c r="AI1" s="58" t="s">
        <v>117</v>
      </c>
      <c r="AJ1" s="58" t="s">
        <v>118</v>
      </c>
    </row>
    <row r="2" spans="1:36" x14ac:dyDescent="0.25">
      <c r="A2" s="59" t="s">
        <v>119</v>
      </c>
      <c r="B2" s="60" t="s">
        <v>120</v>
      </c>
      <c r="C2" s="60" t="s">
        <v>121</v>
      </c>
      <c r="D2" s="60" t="s">
        <v>24</v>
      </c>
      <c r="E2" s="60" t="s">
        <v>122</v>
      </c>
      <c r="F2" s="60" t="s">
        <v>123</v>
      </c>
      <c r="G2" s="60" t="s">
        <v>123</v>
      </c>
      <c r="H2" s="60" t="s">
        <v>20</v>
      </c>
      <c r="I2" s="60" t="s">
        <v>16</v>
      </c>
      <c r="J2" s="60" t="s">
        <v>16</v>
      </c>
      <c r="K2" s="60" t="s">
        <v>124</v>
      </c>
      <c r="L2" s="60" t="s">
        <v>125</v>
      </c>
      <c r="M2" s="60" t="s">
        <v>126</v>
      </c>
      <c r="N2" s="60" t="s">
        <v>127</v>
      </c>
      <c r="O2" s="60" t="s">
        <v>128</v>
      </c>
      <c r="P2" s="60" t="s">
        <v>129</v>
      </c>
      <c r="Q2" s="60" t="s">
        <v>129</v>
      </c>
      <c r="R2" s="60" t="s">
        <v>130</v>
      </c>
      <c r="S2" s="60" t="s">
        <v>131</v>
      </c>
      <c r="T2" s="60" t="s">
        <v>132</v>
      </c>
      <c r="U2" s="60" t="s">
        <v>133</v>
      </c>
      <c r="V2" s="60" t="s">
        <v>134</v>
      </c>
      <c r="W2" s="60" t="s">
        <v>135</v>
      </c>
      <c r="X2" s="60" t="s">
        <v>136</v>
      </c>
      <c r="Y2" s="60" t="s">
        <v>137</v>
      </c>
      <c r="Z2" s="60" t="s">
        <v>138</v>
      </c>
      <c r="AA2" s="60" t="s">
        <v>108</v>
      </c>
      <c r="AB2" s="60" t="s">
        <v>108</v>
      </c>
      <c r="AC2" s="60" t="s">
        <v>108</v>
      </c>
      <c r="AD2" s="60" t="s">
        <v>108</v>
      </c>
      <c r="AE2" s="60" t="s">
        <v>108</v>
      </c>
      <c r="AF2" s="60" t="s">
        <v>139</v>
      </c>
      <c r="AG2" s="60" t="s">
        <v>139</v>
      </c>
      <c r="AH2" s="60" t="s">
        <v>139</v>
      </c>
      <c r="AI2" s="60" t="s">
        <v>139</v>
      </c>
      <c r="AJ2" s="60" t="s">
        <v>108</v>
      </c>
    </row>
    <row r="3" spans="1:36" x14ac:dyDescent="0.25">
      <c r="A3" s="61">
        <v>9501146043</v>
      </c>
      <c r="B3" s="62" t="s">
        <v>140</v>
      </c>
      <c r="C3" s="63">
        <v>46000</v>
      </c>
      <c r="D3" s="62" t="s">
        <v>141</v>
      </c>
      <c r="E3" s="62" t="s">
        <v>142</v>
      </c>
      <c r="F3" s="62" t="s">
        <v>143</v>
      </c>
      <c r="G3" s="62">
        <v>2009348</v>
      </c>
      <c r="H3" s="62">
        <v>2329614</v>
      </c>
      <c r="I3" s="62">
        <v>61010000</v>
      </c>
      <c r="J3" s="62" t="s">
        <v>144</v>
      </c>
      <c r="K3" s="62">
        <v>1</v>
      </c>
      <c r="L3" s="62" t="s">
        <v>145</v>
      </c>
      <c r="M3" s="62">
        <v>1400</v>
      </c>
      <c r="N3" s="62" t="s">
        <v>146</v>
      </c>
      <c r="O3" s="62" t="s">
        <v>147</v>
      </c>
      <c r="P3" s="62" t="s">
        <v>96</v>
      </c>
      <c r="Q3" s="62" t="s">
        <v>148</v>
      </c>
      <c r="R3" s="62" t="s">
        <v>149</v>
      </c>
      <c r="S3" s="62" t="s">
        <v>150</v>
      </c>
      <c r="T3" s="62" t="s">
        <v>150</v>
      </c>
      <c r="U3" s="62" t="s">
        <v>150</v>
      </c>
      <c r="V3" s="63">
        <v>46023</v>
      </c>
      <c r="W3" s="63">
        <v>47118</v>
      </c>
      <c r="X3" s="62" t="s">
        <v>151</v>
      </c>
      <c r="Y3" s="62" t="s">
        <v>151</v>
      </c>
      <c r="Z3" s="62" t="s">
        <v>152</v>
      </c>
      <c r="AA3" s="62" t="s">
        <v>108</v>
      </c>
      <c r="AB3" s="63">
        <v>46001</v>
      </c>
      <c r="AC3" s="62" t="s">
        <v>153</v>
      </c>
      <c r="AD3" s="62" t="s">
        <v>154</v>
      </c>
      <c r="AE3" s="62" t="s">
        <v>153</v>
      </c>
      <c r="AF3" s="64">
        <v>976860</v>
      </c>
      <c r="AG3" s="64">
        <v>976860</v>
      </c>
      <c r="AH3" s="64">
        <v>976860</v>
      </c>
      <c r="AI3" s="62">
        <v>0</v>
      </c>
      <c r="AJ3" s="62">
        <v>163</v>
      </c>
    </row>
    <row r="4" spans="1:36" x14ac:dyDescent="0.25">
      <c r="A4" s="61">
        <v>9501140459</v>
      </c>
      <c r="B4" s="62" t="s">
        <v>155</v>
      </c>
      <c r="C4" s="63">
        <v>45994</v>
      </c>
      <c r="D4" s="62" t="s">
        <v>141</v>
      </c>
      <c r="E4" s="62" t="s">
        <v>156</v>
      </c>
      <c r="F4" s="62" t="s">
        <v>157</v>
      </c>
      <c r="G4" s="62">
        <v>917809</v>
      </c>
      <c r="H4" s="62">
        <v>2329614</v>
      </c>
      <c r="I4" s="62">
        <v>61030000</v>
      </c>
      <c r="J4" s="62" t="s">
        <v>158</v>
      </c>
      <c r="K4" s="62">
        <v>1</v>
      </c>
      <c r="L4" s="62" t="s">
        <v>159</v>
      </c>
      <c r="M4" s="62">
        <v>1400</v>
      </c>
      <c r="N4" s="62" t="s">
        <v>160</v>
      </c>
      <c r="O4" s="62" t="s">
        <v>147</v>
      </c>
      <c r="P4" s="62" t="s">
        <v>96</v>
      </c>
      <c r="Q4" s="62" t="s">
        <v>148</v>
      </c>
      <c r="R4" s="62" t="s">
        <v>150</v>
      </c>
      <c r="S4" s="62" t="s">
        <v>150</v>
      </c>
      <c r="T4" s="62" t="s">
        <v>150</v>
      </c>
      <c r="U4" s="62" t="s">
        <v>150</v>
      </c>
      <c r="V4" s="63">
        <v>46023</v>
      </c>
      <c r="W4" s="63">
        <v>46387</v>
      </c>
      <c r="X4" s="62" t="s">
        <v>151</v>
      </c>
      <c r="Y4" s="62" t="s">
        <v>151</v>
      </c>
      <c r="Z4" s="62" t="s">
        <v>152</v>
      </c>
      <c r="AA4" s="62" t="s">
        <v>108</v>
      </c>
      <c r="AB4" s="63">
        <v>46007</v>
      </c>
      <c r="AC4" s="62" t="s">
        <v>153</v>
      </c>
      <c r="AD4" s="62" t="s">
        <v>154</v>
      </c>
      <c r="AE4" s="62" t="s">
        <v>153</v>
      </c>
      <c r="AF4" s="64">
        <v>737278</v>
      </c>
      <c r="AG4" s="64">
        <v>737278</v>
      </c>
      <c r="AH4" s="64">
        <v>783581</v>
      </c>
      <c r="AI4" s="64">
        <v>-46303</v>
      </c>
      <c r="AJ4" s="62">
        <v>190</v>
      </c>
    </row>
    <row r="5" spans="1:36" x14ac:dyDescent="0.25">
      <c r="A5" s="61">
        <v>9501140459</v>
      </c>
      <c r="B5" s="62" t="s">
        <v>155</v>
      </c>
      <c r="C5" s="63">
        <v>45994</v>
      </c>
      <c r="D5" s="62" t="s">
        <v>141</v>
      </c>
      <c r="E5" s="62" t="s">
        <v>156</v>
      </c>
      <c r="F5" s="62" t="s">
        <v>157</v>
      </c>
      <c r="G5" s="62">
        <v>917809</v>
      </c>
      <c r="H5" s="62">
        <v>2329614</v>
      </c>
      <c r="I5" s="62">
        <v>61011000</v>
      </c>
      <c r="J5" s="62" t="s">
        <v>161</v>
      </c>
      <c r="K5" s="62">
        <v>2</v>
      </c>
      <c r="L5" s="62" t="s">
        <v>159</v>
      </c>
      <c r="M5" s="62">
        <v>1400</v>
      </c>
      <c r="N5" s="62" t="s">
        <v>162</v>
      </c>
      <c r="O5" s="62" t="s">
        <v>147</v>
      </c>
      <c r="P5" s="62" t="s">
        <v>96</v>
      </c>
      <c r="Q5" s="62" t="s">
        <v>148</v>
      </c>
      <c r="R5" s="62" t="s">
        <v>150</v>
      </c>
      <c r="S5" s="62" t="s">
        <v>150</v>
      </c>
      <c r="T5" s="62" t="s">
        <v>150</v>
      </c>
      <c r="U5" s="62" t="s">
        <v>150</v>
      </c>
      <c r="V5" s="63">
        <v>46023</v>
      </c>
      <c r="W5" s="63">
        <v>46387</v>
      </c>
      <c r="X5" s="62" t="s">
        <v>151</v>
      </c>
      <c r="Y5" s="62" t="s">
        <v>151</v>
      </c>
      <c r="Z5" s="62" t="s">
        <v>152</v>
      </c>
      <c r="AA5" s="62" t="s">
        <v>108</v>
      </c>
      <c r="AB5" s="63">
        <v>46007</v>
      </c>
      <c r="AC5" s="62" t="s">
        <v>153</v>
      </c>
      <c r="AD5" s="62" t="s">
        <v>154</v>
      </c>
      <c r="AE5" s="62" t="s">
        <v>153</v>
      </c>
      <c r="AF5" s="64">
        <v>38361</v>
      </c>
      <c r="AG5" s="64">
        <v>38361</v>
      </c>
      <c r="AH5" s="64">
        <v>40903</v>
      </c>
      <c r="AI5" s="64">
        <v>-2541</v>
      </c>
      <c r="AJ5" s="62">
        <v>190</v>
      </c>
    </row>
    <row r="6" spans="1:36" x14ac:dyDescent="0.25">
      <c r="A6" s="61">
        <v>9501140551</v>
      </c>
      <c r="B6" s="62" t="s">
        <v>163</v>
      </c>
      <c r="C6" s="63">
        <v>45994</v>
      </c>
      <c r="D6" s="62" t="s">
        <v>141</v>
      </c>
      <c r="E6" s="62" t="s">
        <v>164</v>
      </c>
      <c r="F6" s="62" t="s">
        <v>157</v>
      </c>
      <c r="G6" s="62">
        <v>917809</v>
      </c>
      <c r="H6" s="62">
        <v>2329614</v>
      </c>
      <c r="I6" s="62">
        <v>61030000</v>
      </c>
      <c r="J6" s="62" t="s">
        <v>158</v>
      </c>
      <c r="K6" s="62">
        <v>1</v>
      </c>
      <c r="L6" s="62" t="s">
        <v>165</v>
      </c>
      <c r="M6" s="62">
        <v>1400</v>
      </c>
      <c r="N6" s="62" t="s">
        <v>166</v>
      </c>
      <c r="O6" s="62" t="s">
        <v>147</v>
      </c>
      <c r="P6" s="62" t="s">
        <v>96</v>
      </c>
      <c r="Q6" s="62" t="s">
        <v>148</v>
      </c>
      <c r="R6" s="62" t="s">
        <v>150</v>
      </c>
      <c r="S6" s="62" t="s">
        <v>150</v>
      </c>
      <c r="T6" s="62" t="s">
        <v>150</v>
      </c>
      <c r="U6" s="62" t="s">
        <v>150</v>
      </c>
      <c r="V6" s="63">
        <v>46023</v>
      </c>
      <c r="W6" s="63">
        <v>46387</v>
      </c>
      <c r="X6" s="62" t="s">
        <v>151</v>
      </c>
      <c r="Y6" s="62" t="s">
        <v>151</v>
      </c>
      <c r="Z6" s="62" t="s">
        <v>152</v>
      </c>
      <c r="AA6" s="62" t="s">
        <v>108</v>
      </c>
      <c r="AB6" s="63">
        <v>46007</v>
      </c>
      <c r="AC6" s="62" t="s">
        <v>153</v>
      </c>
      <c r="AD6" s="62" t="s">
        <v>154</v>
      </c>
      <c r="AE6" s="62" t="s">
        <v>153</v>
      </c>
      <c r="AF6" s="64">
        <v>749253</v>
      </c>
      <c r="AG6" s="64">
        <v>749253</v>
      </c>
      <c r="AH6" s="64">
        <v>749253</v>
      </c>
      <c r="AI6" s="62">
        <v>0</v>
      </c>
      <c r="AJ6" s="62">
        <v>190</v>
      </c>
    </row>
    <row r="7" spans="1:36" x14ac:dyDescent="0.25">
      <c r="A7" s="61">
        <v>9501140551</v>
      </c>
      <c r="B7" s="62" t="s">
        <v>163</v>
      </c>
      <c r="C7" s="63">
        <v>45994</v>
      </c>
      <c r="D7" s="62" t="s">
        <v>141</v>
      </c>
      <c r="E7" s="62" t="s">
        <v>164</v>
      </c>
      <c r="F7" s="62" t="s">
        <v>157</v>
      </c>
      <c r="G7" s="62">
        <v>917809</v>
      </c>
      <c r="H7" s="62">
        <v>2329614</v>
      </c>
      <c r="I7" s="62">
        <v>61011000</v>
      </c>
      <c r="J7" s="62" t="s">
        <v>161</v>
      </c>
      <c r="K7" s="62">
        <v>2</v>
      </c>
      <c r="L7" s="62" t="s">
        <v>165</v>
      </c>
      <c r="M7" s="62">
        <v>1400</v>
      </c>
      <c r="N7" s="62" t="s">
        <v>167</v>
      </c>
      <c r="O7" s="62" t="s">
        <v>147</v>
      </c>
      <c r="P7" s="62" t="s">
        <v>96</v>
      </c>
      <c r="Q7" s="62" t="s">
        <v>148</v>
      </c>
      <c r="R7" s="62" t="s">
        <v>150</v>
      </c>
      <c r="S7" s="62" t="s">
        <v>150</v>
      </c>
      <c r="T7" s="62" t="s">
        <v>150</v>
      </c>
      <c r="U7" s="62" t="s">
        <v>150</v>
      </c>
      <c r="V7" s="63">
        <v>46023</v>
      </c>
      <c r="W7" s="63">
        <v>46387</v>
      </c>
      <c r="X7" s="62" t="s">
        <v>151</v>
      </c>
      <c r="Y7" s="62" t="s">
        <v>151</v>
      </c>
      <c r="Z7" s="62" t="s">
        <v>152</v>
      </c>
      <c r="AA7" s="62" t="s">
        <v>108</v>
      </c>
      <c r="AB7" s="63">
        <v>46007</v>
      </c>
      <c r="AC7" s="62" t="s">
        <v>153</v>
      </c>
      <c r="AD7" s="62" t="s">
        <v>154</v>
      </c>
      <c r="AE7" s="62" t="s">
        <v>153</v>
      </c>
      <c r="AF7" s="64">
        <v>26386</v>
      </c>
      <c r="AG7" s="64">
        <v>26386</v>
      </c>
      <c r="AH7" s="64">
        <v>26386</v>
      </c>
      <c r="AI7" s="62">
        <v>0</v>
      </c>
      <c r="AJ7" s="62">
        <v>190</v>
      </c>
    </row>
    <row r="8" spans="1:36" x14ac:dyDescent="0.25">
      <c r="A8" s="61">
        <v>9501143253</v>
      </c>
      <c r="B8" s="62" t="s">
        <v>168</v>
      </c>
      <c r="C8" s="63">
        <v>45996</v>
      </c>
      <c r="D8" s="62" t="s">
        <v>98</v>
      </c>
      <c r="E8" s="62" t="s">
        <v>169</v>
      </c>
      <c r="F8" s="62" t="s">
        <v>104</v>
      </c>
      <c r="G8" s="62">
        <v>106725</v>
      </c>
      <c r="H8" s="62">
        <v>2329614</v>
      </c>
      <c r="I8" s="62">
        <v>41010100</v>
      </c>
      <c r="J8" s="62" t="s">
        <v>170</v>
      </c>
      <c r="K8" s="62">
        <v>1</v>
      </c>
      <c r="L8" s="62" t="s">
        <v>169</v>
      </c>
      <c r="M8" s="62">
        <v>1400</v>
      </c>
      <c r="N8" s="62" t="s">
        <v>171</v>
      </c>
      <c r="O8" s="62" t="s">
        <v>147</v>
      </c>
      <c r="P8" s="62" t="s">
        <v>96</v>
      </c>
      <c r="Q8" s="62" t="s">
        <v>148</v>
      </c>
      <c r="R8" s="62" t="s">
        <v>150</v>
      </c>
      <c r="S8" s="62" t="s">
        <v>150</v>
      </c>
      <c r="T8" s="62" t="s">
        <v>150</v>
      </c>
      <c r="U8" s="62" t="s">
        <v>150</v>
      </c>
      <c r="V8" s="63">
        <v>46023</v>
      </c>
      <c r="W8" s="63">
        <v>46387</v>
      </c>
      <c r="X8" s="62" t="s">
        <v>151</v>
      </c>
      <c r="Y8" s="62" t="s">
        <v>151</v>
      </c>
      <c r="Z8" s="62" t="s">
        <v>152</v>
      </c>
      <c r="AA8" s="62" t="s">
        <v>108</v>
      </c>
      <c r="AB8" s="63">
        <v>46174</v>
      </c>
      <c r="AC8" s="62" t="s">
        <v>153</v>
      </c>
      <c r="AD8" s="62" t="s">
        <v>154</v>
      </c>
      <c r="AE8" s="62" t="s">
        <v>153</v>
      </c>
      <c r="AF8" s="64">
        <v>357000</v>
      </c>
      <c r="AG8" s="64">
        <v>357000</v>
      </c>
      <c r="AH8" s="64">
        <v>149055</v>
      </c>
      <c r="AI8" s="64">
        <v>207945</v>
      </c>
      <c r="AJ8" s="62">
        <v>166</v>
      </c>
    </row>
    <row r="9" spans="1:36" x14ac:dyDescent="0.25">
      <c r="A9" s="61">
        <v>9501158807</v>
      </c>
      <c r="B9" s="62" t="s">
        <v>172</v>
      </c>
      <c r="C9" s="63">
        <v>46013</v>
      </c>
      <c r="D9" s="62" t="s">
        <v>98</v>
      </c>
      <c r="E9" s="62" t="s">
        <v>97</v>
      </c>
      <c r="F9" s="62" t="s">
        <v>94</v>
      </c>
      <c r="G9" s="62">
        <v>616491</v>
      </c>
      <c r="H9" s="62">
        <v>2329947</v>
      </c>
      <c r="I9" s="62">
        <v>41010000</v>
      </c>
      <c r="J9" s="62" t="s">
        <v>173</v>
      </c>
      <c r="K9" s="62">
        <v>1</v>
      </c>
      <c r="L9" s="62" t="s">
        <v>174</v>
      </c>
      <c r="M9" s="62">
        <v>1400</v>
      </c>
      <c r="N9" s="62" t="s">
        <v>95</v>
      </c>
      <c r="O9" s="62" t="s">
        <v>147</v>
      </c>
      <c r="P9" s="62" t="s">
        <v>96</v>
      </c>
      <c r="Q9" s="62" t="s">
        <v>148</v>
      </c>
      <c r="R9" s="62" t="s">
        <v>149</v>
      </c>
      <c r="S9" s="62" t="s">
        <v>150</v>
      </c>
      <c r="T9" s="62" t="s">
        <v>150</v>
      </c>
      <c r="U9" s="62" t="s">
        <v>150</v>
      </c>
      <c r="V9" s="63">
        <v>46023</v>
      </c>
      <c r="W9" s="63">
        <v>46387</v>
      </c>
      <c r="X9" s="62" t="s">
        <v>151</v>
      </c>
      <c r="Y9" s="62" t="s">
        <v>151</v>
      </c>
      <c r="Z9" s="62" t="s">
        <v>152</v>
      </c>
      <c r="AA9" s="62" t="s">
        <v>108</v>
      </c>
      <c r="AB9" s="63">
        <v>46154</v>
      </c>
      <c r="AC9" s="62" t="s">
        <v>153</v>
      </c>
      <c r="AD9" s="62" t="s">
        <v>154</v>
      </c>
      <c r="AE9" s="62" t="s">
        <v>153</v>
      </c>
      <c r="AF9" s="64">
        <v>316000</v>
      </c>
      <c r="AG9" s="64">
        <v>316000</v>
      </c>
      <c r="AH9" s="64">
        <v>105549</v>
      </c>
      <c r="AI9" s="64">
        <v>210451</v>
      </c>
      <c r="AJ9" s="62">
        <v>166</v>
      </c>
    </row>
    <row r="10" spans="1:36" x14ac:dyDescent="0.25">
      <c r="A10" s="61">
        <v>9501164195</v>
      </c>
      <c r="B10" s="62" t="s">
        <v>175</v>
      </c>
      <c r="C10" s="63">
        <v>46028</v>
      </c>
      <c r="D10" s="62" t="s">
        <v>98</v>
      </c>
      <c r="E10" s="62" t="s">
        <v>99</v>
      </c>
      <c r="F10" s="62" t="s">
        <v>94</v>
      </c>
      <c r="G10" s="62">
        <v>616491</v>
      </c>
      <c r="H10" s="62">
        <v>2329947</v>
      </c>
      <c r="I10" s="62">
        <v>41010000</v>
      </c>
      <c r="J10" s="62" t="s">
        <v>173</v>
      </c>
      <c r="K10" s="62">
        <v>1</v>
      </c>
      <c r="L10" s="62" t="s">
        <v>174</v>
      </c>
      <c r="M10" s="62">
        <v>1400</v>
      </c>
      <c r="N10" s="62" t="s">
        <v>95</v>
      </c>
      <c r="O10" s="62" t="s">
        <v>147</v>
      </c>
      <c r="P10" s="62" t="s">
        <v>96</v>
      </c>
      <c r="Q10" s="62" t="s">
        <v>148</v>
      </c>
      <c r="R10" s="62" t="s">
        <v>149</v>
      </c>
      <c r="S10" s="62" t="s">
        <v>150</v>
      </c>
      <c r="T10" s="62" t="s">
        <v>150</v>
      </c>
      <c r="U10" s="62" t="s">
        <v>150</v>
      </c>
      <c r="V10" s="63">
        <v>46023</v>
      </c>
      <c r="W10" s="63">
        <v>46387</v>
      </c>
      <c r="X10" s="62" t="s">
        <v>151</v>
      </c>
      <c r="Y10" s="62" t="s">
        <v>151</v>
      </c>
      <c r="Z10" s="62" t="s">
        <v>152</v>
      </c>
      <c r="AA10" s="62" t="s">
        <v>108</v>
      </c>
      <c r="AB10" s="63">
        <v>46154</v>
      </c>
      <c r="AC10" s="62" t="s">
        <v>153</v>
      </c>
      <c r="AD10" s="62" t="s">
        <v>154</v>
      </c>
      <c r="AE10" s="62" t="s">
        <v>153</v>
      </c>
      <c r="AF10" s="64">
        <v>316000</v>
      </c>
      <c r="AG10" s="64">
        <v>316000</v>
      </c>
      <c r="AH10" s="64">
        <v>105549</v>
      </c>
      <c r="AI10" s="64">
        <v>210451</v>
      </c>
      <c r="AJ10" s="62">
        <v>166</v>
      </c>
    </row>
    <row r="11" spans="1:36" x14ac:dyDescent="0.25">
      <c r="A11" s="61">
        <v>9501164196</v>
      </c>
      <c r="B11" s="62" t="s">
        <v>176</v>
      </c>
      <c r="C11" s="63">
        <v>46028</v>
      </c>
      <c r="D11" s="62" t="s">
        <v>98</v>
      </c>
      <c r="E11" s="62" t="s">
        <v>100</v>
      </c>
      <c r="F11" s="62" t="s">
        <v>94</v>
      </c>
      <c r="G11" s="62">
        <v>616491</v>
      </c>
      <c r="H11" s="62">
        <v>2329947</v>
      </c>
      <c r="I11" s="62">
        <v>41010000</v>
      </c>
      <c r="J11" s="62" t="s">
        <v>173</v>
      </c>
      <c r="K11" s="62">
        <v>1</v>
      </c>
      <c r="L11" s="62" t="s">
        <v>174</v>
      </c>
      <c r="M11" s="62">
        <v>1400</v>
      </c>
      <c r="N11" s="62" t="s">
        <v>95</v>
      </c>
      <c r="O11" s="62" t="s">
        <v>147</v>
      </c>
      <c r="P11" s="62" t="s">
        <v>96</v>
      </c>
      <c r="Q11" s="62" t="s">
        <v>148</v>
      </c>
      <c r="R11" s="62" t="s">
        <v>149</v>
      </c>
      <c r="S11" s="62" t="s">
        <v>150</v>
      </c>
      <c r="T11" s="62" t="s">
        <v>150</v>
      </c>
      <c r="U11" s="62" t="s">
        <v>150</v>
      </c>
      <c r="V11" s="63">
        <v>46023</v>
      </c>
      <c r="W11" s="63">
        <v>46387</v>
      </c>
      <c r="X11" s="62" t="s">
        <v>151</v>
      </c>
      <c r="Y11" s="62" t="s">
        <v>151</v>
      </c>
      <c r="Z11" s="62" t="s">
        <v>152</v>
      </c>
      <c r="AA11" s="62" t="s">
        <v>108</v>
      </c>
      <c r="AB11" s="63">
        <v>46154</v>
      </c>
      <c r="AC11" s="62" t="s">
        <v>153</v>
      </c>
      <c r="AD11" s="62" t="s">
        <v>154</v>
      </c>
      <c r="AE11" s="62" t="s">
        <v>153</v>
      </c>
      <c r="AF11" s="64">
        <v>316000</v>
      </c>
      <c r="AG11" s="64">
        <v>316000</v>
      </c>
      <c r="AH11" s="64">
        <v>105549</v>
      </c>
      <c r="AI11" s="64">
        <v>210451</v>
      </c>
      <c r="AJ11" s="62">
        <v>166</v>
      </c>
    </row>
    <row r="12" spans="1:36" x14ac:dyDescent="0.25">
      <c r="A12" s="61">
        <v>9501133010</v>
      </c>
      <c r="B12" s="62" t="s">
        <v>177</v>
      </c>
      <c r="C12" s="63">
        <v>45987</v>
      </c>
      <c r="D12" s="62" t="s">
        <v>98</v>
      </c>
      <c r="E12" s="62" t="s">
        <v>178</v>
      </c>
      <c r="F12" s="62" t="s">
        <v>104</v>
      </c>
      <c r="G12" s="62">
        <v>106725</v>
      </c>
      <c r="H12" s="62">
        <v>2329614</v>
      </c>
      <c r="I12" s="62">
        <v>79110000</v>
      </c>
      <c r="J12" s="62" t="s">
        <v>179</v>
      </c>
      <c r="K12" s="62">
        <v>1</v>
      </c>
      <c r="L12" s="62" t="s">
        <v>178</v>
      </c>
      <c r="M12" s="62">
        <v>1400</v>
      </c>
      <c r="N12" s="62" t="s">
        <v>180</v>
      </c>
      <c r="O12" s="62" t="s">
        <v>147</v>
      </c>
      <c r="P12" s="62" t="s">
        <v>96</v>
      </c>
      <c r="Q12" s="62" t="s">
        <v>148</v>
      </c>
      <c r="R12" s="62" t="s">
        <v>149</v>
      </c>
      <c r="S12" s="62" t="s">
        <v>150</v>
      </c>
      <c r="T12" s="62" t="s">
        <v>150</v>
      </c>
      <c r="U12" s="62" t="s">
        <v>150</v>
      </c>
      <c r="V12" s="63">
        <v>46023</v>
      </c>
      <c r="W12" s="63">
        <v>46387</v>
      </c>
      <c r="X12" s="62" t="s">
        <v>151</v>
      </c>
      <c r="Y12" s="62" t="s">
        <v>151</v>
      </c>
      <c r="Z12" s="62" t="s">
        <v>152</v>
      </c>
      <c r="AA12" s="62" t="s">
        <v>108</v>
      </c>
      <c r="AB12" s="63">
        <v>46134</v>
      </c>
      <c r="AC12" s="62" t="s">
        <v>153</v>
      </c>
      <c r="AD12" s="62" t="s">
        <v>154</v>
      </c>
      <c r="AE12" s="62" t="s">
        <v>153</v>
      </c>
      <c r="AF12" s="64">
        <v>282299</v>
      </c>
      <c r="AG12" s="64">
        <v>282299</v>
      </c>
      <c r="AH12" s="64">
        <v>160447</v>
      </c>
      <c r="AI12" s="64">
        <v>121851</v>
      </c>
      <c r="AJ12" s="62">
        <v>184</v>
      </c>
    </row>
    <row r="13" spans="1:36" x14ac:dyDescent="0.25">
      <c r="A13" s="61">
        <v>9501143257</v>
      </c>
      <c r="B13" s="62" t="s">
        <v>181</v>
      </c>
      <c r="C13" s="63">
        <v>45996</v>
      </c>
      <c r="D13" s="62" t="s">
        <v>141</v>
      </c>
      <c r="E13" s="62" t="s">
        <v>182</v>
      </c>
      <c r="F13" s="62" t="s">
        <v>183</v>
      </c>
      <c r="G13" s="62">
        <v>806494</v>
      </c>
      <c r="H13" s="62">
        <v>2329614</v>
      </c>
      <c r="I13" s="62">
        <v>61011000</v>
      </c>
      <c r="J13" s="62" t="s">
        <v>161</v>
      </c>
      <c r="K13" s="62">
        <v>1</v>
      </c>
      <c r="L13" s="62" t="s">
        <v>184</v>
      </c>
      <c r="M13" s="62">
        <v>1400</v>
      </c>
      <c r="N13" s="62" t="s">
        <v>185</v>
      </c>
      <c r="O13" s="62" t="s">
        <v>147</v>
      </c>
      <c r="P13" s="62" t="s">
        <v>96</v>
      </c>
      <c r="Q13" s="62" t="s">
        <v>148</v>
      </c>
      <c r="R13" s="62" t="s">
        <v>149</v>
      </c>
      <c r="S13" s="62" t="s">
        <v>150</v>
      </c>
      <c r="T13" s="62" t="s">
        <v>150</v>
      </c>
      <c r="U13" s="62" t="s">
        <v>150</v>
      </c>
      <c r="V13" s="63">
        <v>45968</v>
      </c>
      <c r="W13" s="63">
        <v>46387</v>
      </c>
      <c r="X13" s="62" t="s">
        <v>186</v>
      </c>
      <c r="Y13" s="62" t="s">
        <v>151</v>
      </c>
      <c r="Z13" s="62" t="s">
        <v>152</v>
      </c>
      <c r="AA13" s="62" t="s">
        <v>108</v>
      </c>
      <c r="AB13" s="63">
        <v>46008</v>
      </c>
      <c r="AC13" s="62" t="s">
        <v>187</v>
      </c>
      <c r="AD13" s="62" t="s">
        <v>188</v>
      </c>
      <c r="AE13" s="62" t="s">
        <v>187</v>
      </c>
      <c r="AF13" s="64">
        <v>280371</v>
      </c>
      <c r="AG13" s="64">
        <v>280371</v>
      </c>
      <c r="AH13" s="64">
        <v>297193</v>
      </c>
      <c r="AI13" s="64">
        <v>-16822</v>
      </c>
      <c r="AJ13" s="62">
        <v>175</v>
      </c>
    </row>
    <row r="14" spans="1:36" x14ac:dyDescent="0.25">
      <c r="A14" s="61">
        <v>9501133994</v>
      </c>
      <c r="B14" s="62" t="s">
        <v>189</v>
      </c>
      <c r="C14" s="63">
        <v>45988</v>
      </c>
      <c r="D14" s="62" t="s">
        <v>98</v>
      </c>
      <c r="E14" s="62" t="s">
        <v>190</v>
      </c>
      <c r="F14" s="62" t="s">
        <v>104</v>
      </c>
      <c r="G14" s="62">
        <v>106725</v>
      </c>
      <c r="H14" s="62">
        <v>2329614</v>
      </c>
      <c r="I14" s="62">
        <v>79110000</v>
      </c>
      <c r="J14" s="62" t="s">
        <v>179</v>
      </c>
      <c r="K14" s="62">
        <v>1</v>
      </c>
      <c r="L14" s="62" t="s">
        <v>190</v>
      </c>
      <c r="M14" s="62">
        <v>1400</v>
      </c>
      <c r="N14" s="62" t="s">
        <v>191</v>
      </c>
      <c r="O14" s="62" t="s">
        <v>147</v>
      </c>
      <c r="P14" s="62" t="s">
        <v>96</v>
      </c>
      <c r="Q14" s="62" t="s">
        <v>148</v>
      </c>
      <c r="R14" s="62" t="s">
        <v>149</v>
      </c>
      <c r="S14" s="62" t="s">
        <v>150</v>
      </c>
      <c r="T14" s="62" t="s">
        <v>150</v>
      </c>
      <c r="U14" s="62" t="s">
        <v>150</v>
      </c>
      <c r="V14" s="63">
        <v>46023</v>
      </c>
      <c r="W14" s="63">
        <v>46387</v>
      </c>
      <c r="X14" s="62" t="s">
        <v>151</v>
      </c>
      <c r="Y14" s="62" t="s">
        <v>151</v>
      </c>
      <c r="Z14" s="62" t="s">
        <v>152</v>
      </c>
      <c r="AA14" s="62" t="s">
        <v>108</v>
      </c>
      <c r="AB14" s="63">
        <v>46133</v>
      </c>
      <c r="AC14" s="62" t="s">
        <v>153</v>
      </c>
      <c r="AD14" s="62" t="s">
        <v>154</v>
      </c>
      <c r="AE14" s="62" t="s">
        <v>153</v>
      </c>
      <c r="AF14" s="64">
        <v>263062</v>
      </c>
      <c r="AG14" s="64">
        <v>263062</v>
      </c>
      <c r="AH14" s="64">
        <v>141396</v>
      </c>
      <c r="AI14" s="64">
        <v>121666</v>
      </c>
      <c r="AJ14" s="62">
        <v>184</v>
      </c>
    </row>
    <row r="15" spans="1:36" x14ac:dyDescent="0.25">
      <c r="A15" s="61">
        <v>9501132929</v>
      </c>
      <c r="B15" s="62" t="s">
        <v>192</v>
      </c>
      <c r="C15" s="63">
        <v>45987</v>
      </c>
      <c r="D15" s="62" t="s">
        <v>98</v>
      </c>
      <c r="E15" s="62" t="s">
        <v>193</v>
      </c>
      <c r="F15" s="62" t="s">
        <v>194</v>
      </c>
      <c r="G15" s="62">
        <v>821463</v>
      </c>
      <c r="H15" s="62">
        <v>2329614</v>
      </c>
      <c r="I15" s="62">
        <v>41010100</v>
      </c>
      <c r="J15" s="62" t="s">
        <v>170</v>
      </c>
      <c r="K15" s="62">
        <v>1</v>
      </c>
      <c r="L15" s="62" t="s">
        <v>195</v>
      </c>
      <c r="M15" s="62">
        <v>1400</v>
      </c>
      <c r="N15" s="62" t="s">
        <v>196</v>
      </c>
      <c r="O15" s="62" t="s">
        <v>147</v>
      </c>
      <c r="P15" s="62" t="s">
        <v>96</v>
      </c>
      <c r="Q15" s="62" t="s">
        <v>148</v>
      </c>
      <c r="R15" s="62" t="s">
        <v>149</v>
      </c>
      <c r="S15" s="62" t="s">
        <v>150</v>
      </c>
      <c r="T15" s="62" t="s">
        <v>150</v>
      </c>
      <c r="U15" s="62" t="s">
        <v>150</v>
      </c>
      <c r="V15" s="63">
        <v>46023</v>
      </c>
      <c r="W15" s="63">
        <v>46387</v>
      </c>
      <c r="X15" s="62" t="s">
        <v>151</v>
      </c>
      <c r="Y15" s="62" t="s">
        <v>151</v>
      </c>
      <c r="Z15" s="62" t="s">
        <v>152</v>
      </c>
      <c r="AA15" s="62" t="s">
        <v>108</v>
      </c>
      <c r="AB15" s="63">
        <v>46150</v>
      </c>
      <c r="AC15" s="62" t="s">
        <v>153</v>
      </c>
      <c r="AD15" s="62" t="s">
        <v>154</v>
      </c>
      <c r="AE15" s="62" t="s">
        <v>153</v>
      </c>
      <c r="AF15" s="64">
        <v>260000</v>
      </c>
      <c r="AG15" s="64">
        <v>260000</v>
      </c>
      <c r="AH15" s="64">
        <v>86235</v>
      </c>
      <c r="AI15" s="64">
        <v>173765</v>
      </c>
      <c r="AJ15" s="62">
        <v>173</v>
      </c>
    </row>
    <row r="16" spans="1:36" x14ac:dyDescent="0.25">
      <c r="A16" s="61">
        <v>9501132931</v>
      </c>
      <c r="B16" s="62" t="s">
        <v>197</v>
      </c>
      <c r="C16" s="63">
        <v>45987</v>
      </c>
      <c r="D16" s="62" t="s">
        <v>98</v>
      </c>
      <c r="E16" s="62" t="s">
        <v>198</v>
      </c>
      <c r="F16" s="62" t="s">
        <v>194</v>
      </c>
      <c r="G16" s="62">
        <v>821463</v>
      </c>
      <c r="H16" s="62">
        <v>2329614</v>
      </c>
      <c r="I16" s="62">
        <v>41010100</v>
      </c>
      <c r="J16" s="62" t="s">
        <v>170</v>
      </c>
      <c r="K16" s="62">
        <v>1</v>
      </c>
      <c r="L16" s="62" t="s">
        <v>195</v>
      </c>
      <c r="M16" s="62">
        <v>1400</v>
      </c>
      <c r="N16" s="62" t="s">
        <v>196</v>
      </c>
      <c r="O16" s="62" t="s">
        <v>147</v>
      </c>
      <c r="P16" s="62" t="s">
        <v>96</v>
      </c>
      <c r="Q16" s="62" t="s">
        <v>148</v>
      </c>
      <c r="R16" s="62" t="s">
        <v>149</v>
      </c>
      <c r="S16" s="62" t="s">
        <v>150</v>
      </c>
      <c r="T16" s="62" t="s">
        <v>150</v>
      </c>
      <c r="U16" s="62" t="s">
        <v>150</v>
      </c>
      <c r="V16" s="63">
        <v>46023</v>
      </c>
      <c r="W16" s="63">
        <v>46387</v>
      </c>
      <c r="X16" s="62" t="s">
        <v>151</v>
      </c>
      <c r="Y16" s="62" t="s">
        <v>151</v>
      </c>
      <c r="Z16" s="62" t="s">
        <v>152</v>
      </c>
      <c r="AA16" s="62" t="s">
        <v>108</v>
      </c>
      <c r="AB16" s="63">
        <v>46153</v>
      </c>
      <c r="AC16" s="62" t="s">
        <v>153</v>
      </c>
      <c r="AD16" s="62" t="s">
        <v>154</v>
      </c>
      <c r="AE16" s="62" t="s">
        <v>153</v>
      </c>
      <c r="AF16" s="64">
        <v>260000</v>
      </c>
      <c r="AG16" s="64">
        <v>260000</v>
      </c>
      <c r="AH16" s="64">
        <v>79853</v>
      </c>
      <c r="AI16" s="64">
        <v>180147</v>
      </c>
      <c r="AJ16" s="62">
        <v>173</v>
      </c>
    </row>
    <row r="17" spans="1:36" x14ac:dyDescent="0.25">
      <c r="A17" s="61">
        <v>9501155959</v>
      </c>
      <c r="B17" s="62" t="s">
        <v>199</v>
      </c>
      <c r="C17" s="63">
        <v>46009</v>
      </c>
      <c r="D17" s="62" t="s">
        <v>98</v>
      </c>
      <c r="E17" s="62" t="s">
        <v>101</v>
      </c>
      <c r="F17" s="62" t="s">
        <v>94</v>
      </c>
      <c r="G17" s="62">
        <v>616491</v>
      </c>
      <c r="H17" s="62">
        <v>2329947</v>
      </c>
      <c r="I17" s="62">
        <v>41010000</v>
      </c>
      <c r="J17" s="62" t="s">
        <v>173</v>
      </c>
      <c r="K17" s="62">
        <v>1</v>
      </c>
      <c r="L17" s="62" t="s">
        <v>200</v>
      </c>
      <c r="M17" s="62">
        <v>1400</v>
      </c>
      <c r="N17" s="62" t="s">
        <v>95</v>
      </c>
      <c r="O17" s="62" t="s">
        <v>147</v>
      </c>
      <c r="P17" s="62" t="s">
        <v>96</v>
      </c>
      <c r="Q17" s="62" t="s">
        <v>148</v>
      </c>
      <c r="R17" s="62" t="s">
        <v>149</v>
      </c>
      <c r="S17" s="62" t="s">
        <v>150</v>
      </c>
      <c r="T17" s="62" t="s">
        <v>150</v>
      </c>
      <c r="U17" s="62" t="s">
        <v>150</v>
      </c>
      <c r="V17" s="63">
        <v>46023</v>
      </c>
      <c r="W17" s="63">
        <v>46295</v>
      </c>
      <c r="X17" s="62" t="s">
        <v>151</v>
      </c>
      <c r="Y17" s="62" t="s">
        <v>151</v>
      </c>
      <c r="Z17" s="62" t="s">
        <v>152</v>
      </c>
      <c r="AA17" s="62" t="s">
        <v>108</v>
      </c>
      <c r="AB17" s="63">
        <v>46154</v>
      </c>
      <c r="AC17" s="62" t="s">
        <v>153</v>
      </c>
      <c r="AD17" s="62" t="s">
        <v>154</v>
      </c>
      <c r="AE17" s="62" t="s">
        <v>153</v>
      </c>
      <c r="AF17" s="64">
        <v>242688</v>
      </c>
      <c r="AG17" s="64">
        <v>242688</v>
      </c>
      <c r="AH17" s="64">
        <v>103861</v>
      </c>
      <c r="AI17" s="64">
        <v>138827</v>
      </c>
      <c r="AJ17" s="62">
        <v>166</v>
      </c>
    </row>
    <row r="18" spans="1:36" x14ac:dyDescent="0.25">
      <c r="A18" s="61">
        <v>9501155961</v>
      </c>
      <c r="B18" s="62" t="s">
        <v>201</v>
      </c>
      <c r="C18" s="63">
        <v>46009</v>
      </c>
      <c r="D18" s="62" t="s">
        <v>98</v>
      </c>
      <c r="E18" s="62" t="s">
        <v>102</v>
      </c>
      <c r="F18" s="62" t="s">
        <v>94</v>
      </c>
      <c r="G18" s="62">
        <v>616491</v>
      </c>
      <c r="H18" s="62">
        <v>2329947</v>
      </c>
      <c r="I18" s="62">
        <v>41010000</v>
      </c>
      <c r="J18" s="62" t="s">
        <v>173</v>
      </c>
      <c r="K18" s="62">
        <v>1</v>
      </c>
      <c r="L18" s="62" t="s">
        <v>202</v>
      </c>
      <c r="M18" s="62">
        <v>1400</v>
      </c>
      <c r="N18" s="62" t="s">
        <v>95</v>
      </c>
      <c r="O18" s="62" t="s">
        <v>147</v>
      </c>
      <c r="P18" s="62" t="s">
        <v>96</v>
      </c>
      <c r="Q18" s="62" t="s">
        <v>148</v>
      </c>
      <c r="R18" s="62" t="s">
        <v>149</v>
      </c>
      <c r="S18" s="62" t="s">
        <v>150</v>
      </c>
      <c r="T18" s="62" t="s">
        <v>150</v>
      </c>
      <c r="U18" s="62" t="s">
        <v>150</v>
      </c>
      <c r="V18" s="63">
        <v>46023</v>
      </c>
      <c r="W18" s="63">
        <v>46295</v>
      </c>
      <c r="X18" s="62" t="s">
        <v>151</v>
      </c>
      <c r="Y18" s="62" t="s">
        <v>151</v>
      </c>
      <c r="Z18" s="62" t="s">
        <v>152</v>
      </c>
      <c r="AA18" s="62" t="s">
        <v>108</v>
      </c>
      <c r="AB18" s="63">
        <v>46154</v>
      </c>
      <c r="AC18" s="62" t="s">
        <v>153</v>
      </c>
      <c r="AD18" s="62" t="s">
        <v>154</v>
      </c>
      <c r="AE18" s="62" t="s">
        <v>153</v>
      </c>
      <c r="AF18" s="64">
        <v>242688</v>
      </c>
      <c r="AG18" s="64">
        <v>242688</v>
      </c>
      <c r="AH18" s="64">
        <v>103861</v>
      </c>
      <c r="AI18" s="64">
        <v>138827</v>
      </c>
      <c r="AJ18" s="62">
        <v>166</v>
      </c>
    </row>
    <row r="19" spans="1:36" x14ac:dyDescent="0.25">
      <c r="A19" s="61">
        <v>9501164193</v>
      </c>
      <c r="B19" s="62" t="s">
        <v>203</v>
      </c>
      <c r="C19" s="63">
        <v>46028</v>
      </c>
      <c r="D19" s="62" t="s">
        <v>98</v>
      </c>
      <c r="E19" s="62" t="s">
        <v>103</v>
      </c>
      <c r="F19" s="62" t="s">
        <v>94</v>
      </c>
      <c r="G19" s="62">
        <v>616491</v>
      </c>
      <c r="H19" s="62">
        <v>2329947</v>
      </c>
      <c r="I19" s="62">
        <v>41010000</v>
      </c>
      <c r="J19" s="62" t="s">
        <v>173</v>
      </c>
      <c r="K19" s="62">
        <v>1</v>
      </c>
      <c r="L19" s="62" t="s">
        <v>204</v>
      </c>
      <c r="M19" s="62">
        <v>1400</v>
      </c>
      <c r="N19" s="62" t="s">
        <v>95</v>
      </c>
      <c r="O19" s="62" t="s">
        <v>147</v>
      </c>
      <c r="P19" s="62" t="s">
        <v>96</v>
      </c>
      <c r="Q19" s="62" t="s">
        <v>148</v>
      </c>
      <c r="R19" s="62" t="s">
        <v>149</v>
      </c>
      <c r="S19" s="62" t="s">
        <v>150</v>
      </c>
      <c r="T19" s="62" t="s">
        <v>150</v>
      </c>
      <c r="U19" s="62" t="s">
        <v>150</v>
      </c>
      <c r="V19" s="63">
        <v>46023</v>
      </c>
      <c r="W19" s="63">
        <v>46295</v>
      </c>
      <c r="X19" s="62" t="s">
        <v>151</v>
      </c>
      <c r="Y19" s="62" t="s">
        <v>151</v>
      </c>
      <c r="Z19" s="62" t="s">
        <v>152</v>
      </c>
      <c r="AA19" s="62" t="s">
        <v>108</v>
      </c>
      <c r="AB19" s="63">
        <v>46154</v>
      </c>
      <c r="AC19" s="62" t="s">
        <v>153</v>
      </c>
      <c r="AD19" s="62" t="s">
        <v>154</v>
      </c>
      <c r="AE19" s="62" t="s">
        <v>153</v>
      </c>
      <c r="AF19" s="64">
        <v>242688</v>
      </c>
      <c r="AG19" s="64">
        <v>242688</v>
      </c>
      <c r="AH19" s="64">
        <v>103861</v>
      </c>
      <c r="AI19" s="64">
        <v>138827</v>
      </c>
      <c r="AJ19" s="62">
        <v>163</v>
      </c>
    </row>
    <row r="20" spans="1:36" x14ac:dyDescent="0.25">
      <c r="A20" s="61">
        <v>9501132561</v>
      </c>
      <c r="B20" s="62" t="s">
        <v>205</v>
      </c>
      <c r="C20" s="63">
        <v>45987</v>
      </c>
      <c r="D20" s="62" t="s">
        <v>98</v>
      </c>
      <c r="E20" s="62" t="s">
        <v>206</v>
      </c>
      <c r="F20" s="62" t="s">
        <v>104</v>
      </c>
      <c r="G20" s="62">
        <v>106725</v>
      </c>
      <c r="H20" s="62">
        <v>2329614</v>
      </c>
      <c r="I20" s="62">
        <v>61011000</v>
      </c>
      <c r="J20" s="62" t="s">
        <v>161</v>
      </c>
      <c r="K20" s="62">
        <v>1</v>
      </c>
      <c r="L20" s="62" t="s">
        <v>207</v>
      </c>
      <c r="M20" s="62">
        <v>1400</v>
      </c>
      <c r="N20" s="62" t="s">
        <v>208</v>
      </c>
      <c r="O20" s="62" t="s">
        <v>147</v>
      </c>
      <c r="P20" s="62" t="s">
        <v>96</v>
      </c>
      <c r="Q20" s="62" t="s">
        <v>148</v>
      </c>
      <c r="R20" s="62" t="s">
        <v>149</v>
      </c>
      <c r="S20" s="62" t="s">
        <v>150</v>
      </c>
      <c r="T20" s="62" t="s">
        <v>150</v>
      </c>
      <c r="U20" s="62" t="s">
        <v>150</v>
      </c>
      <c r="V20" s="63">
        <v>46023</v>
      </c>
      <c r="W20" s="63">
        <v>46387</v>
      </c>
      <c r="X20" s="62" t="s">
        <v>151</v>
      </c>
      <c r="Y20" s="62" t="s">
        <v>151</v>
      </c>
      <c r="Z20" s="62" t="s">
        <v>152</v>
      </c>
      <c r="AA20" s="62" t="s">
        <v>108</v>
      </c>
      <c r="AB20" s="63">
        <v>46139</v>
      </c>
      <c r="AC20" s="62" t="s">
        <v>153</v>
      </c>
      <c r="AD20" s="62" t="s">
        <v>154</v>
      </c>
      <c r="AE20" s="62" t="s">
        <v>153</v>
      </c>
      <c r="AF20" s="64">
        <v>175846</v>
      </c>
      <c r="AG20" s="64">
        <v>175846</v>
      </c>
      <c r="AH20" s="64">
        <v>93748</v>
      </c>
      <c r="AI20" s="64">
        <v>82098</v>
      </c>
      <c r="AJ20" s="62">
        <v>184</v>
      </c>
    </row>
    <row r="21" spans="1:36" x14ac:dyDescent="0.25">
      <c r="A21" s="61">
        <v>9501276544</v>
      </c>
      <c r="B21" s="62" t="s">
        <v>209</v>
      </c>
      <c r="C21" s="63">
        <v>46169</v>
      </c>
      <c r="D21" s="62" t="s">
        <v>98</v>
      </c>
      <c r="E21" s="62" t="s">
        <v>105</v>
      </c>
      <c r="F21" s="62" t="s">
        <v>104</v>
      </c>
      <c r="G21" s="62">
        <v>106725</v>
      </c>
      <c r="H21" s="62">
        <v>2329947</v>
      </c>
      <c r="I21" s="62">
        <v>41010000</v>
      </c>
      <c r="J21" s="62" t="s">
        <v>173</v>
      </c>
      <c r="K21" s="62">
        <v>1</v>
      </c>
      <c r="L21" s="62" t="s">
        <v>210</v>
      </c>
      <c r="M21" s="62">
        <v>1400</v>
      </c>
      <c r="N21" s="62" t="s">
        <v>95</v>
      </c>
      <c r="O21" s="62" t="s">
        <v>147</v>
      </c>
      <c r="P21" s="62" t="s">
        <v>96</v>
      </c>
      <c r="Q21" s="62" t="s">
        <v>148</v>
      </c>
      <c r="R21" s="62" t="s">
        <v>149</v>
      </c>
      <c r="S21" s="62" t="s">
        <v>211</v>
      </c>
      <c r="T21" s="62" t="s">
        <v>211</v>
      </c>
      <c r="U21" s="62" t="s">
        <v>211</v>
      </c>
      <c r="V21" s="63">
        <v>46174</v>
      </c>
      <c r="W21" s="63">
        <v>47208</v>
      </c>
      <c r="X21" s="62" t="s">
        <v>151</v>
      </c>
      <c r="Y21" s="62" t="s">
        <v>151</v>
      </c>
      <c r="Z21" s="62" t="s">
        <v>152</v>
      </c>
      <c r="AA21" s="62" t="s">
        <v>108</v>
      </c>
      <c r="AB21" s="62" t="s">
        <v>108</v>
      </c>
      <c r="AC21" s="62" t="s">
        <v>153</v>
      </c>
      <c r="AD21" s="62" t="s">
        <v>154</v>
      </c>
      <c r="AE21" s="62" t="s">
        <v>153</v>
      </c>
      <c r="AF21" s="64">
        <v>150480</v>
      </c>
      <c r="AG21" s="64">
        <v>150480</v>
      </c>
      <c r="AH21" s="62">
        <v>0</v>
      </c>
      <c r="AI21" s="64">
        <v>150480</v>
      </c>
      <c r="AJ21" s="62">
        <v>2</v>
      </c>
    </row>
    <row r="22" spans="1:36" x14ac:dyDescent="0.25">
      <c r="A22" s="61">
        <v>9501131788</v>
      </c>
      <c r="B22" s="62" t="s">
        <v>212</v>
      </c>
      <c r="C22" s="63">
        <v>45986</v>
      </c>
      <c r="D22" s="62" t="s">
        <v>98</v>
      </c>
      <c r="E22" s="62" t="s">
        <v>213</v>
      </c>
      <c r="F22" s="62" t="s">
        <v>104</v>
      </c>
      <c r="G22" s="62">
        <v>106725</v>
      </c>
      <c r="H22" s="62">
        <v>2329614</v>
      </c>
      <c r="I22" s="62">
        <v>61011000</v>
      </c>
      <c r="J22" s="62" t="s">
        <v>161</v>
      </c>
      <c r="K22" s="62">
        <v>1</v>
      </c>
      <c r="L22" s="62" t="s">
        <v>207</v>
      </c>
      <c r="M22" s="62">
        <v>1400</v>
      </c>
      <c r="N22" s="62" t="s">
        <v>208</v>
      </c>
      <c r="O22" s="62" t="s">
        <v>147</v>
      </c>
      <c r="P22" s="62" t="s">
        <v>96</v>
      </c>
      <c r="Q22" s="62" t="s">
        <v>148</v>
      </c>
      <c r="R22" s="62" t="s">
        <v>149</v>
      </c>
      <c r="S22" s="62" t="s">
        <v>150</v>
      </c>
      <c r="T22" s="62" t="s">
        <v>150</v>
      </c>
      <c r="U22" s="62" t="s">
        <v>150</v>
      </c>
      <c r="V22" s="63">
        <v>46023</v>
      </c>
      <c r="W22" s="63">
        <v>46387</v>
      </c>
      <c r="X22" s="62" t="s">
        <v>151</v>
      </c>
      <c r="Y22" s="62" t="s">
        <v>151</v>
      </c>
      <c r="Z22" s="62" t="s">
        <v>152</v>
      </c>
      <c r="AA22" s="62" t="s">
        <v>108</v>
      </c>
      <c r="AB22" s="63">
        <v>46134</v>
      </c>
      <c r="AC22" s="62" t="s">
        <v>153</v>
      </c>
      <c r="AD22" s="62" t="s">
        <v>154</v>
      </c>
      <c r="AE22" s="62" t="s">
        <v>153</v>
      </c>
      <c r="AF22" s="64">
        <v>127999</v>
      </c>
      <c r="AG22" s="64">
        <v>127999</v>
      </c>
      <c r="AH22" s="64">
        <v>82667</v>
      </c>
      <c r="AI22" s="64">
        <v>45332</v>
      </c>
      <c r="AJ22" s="62">
        <v>184</v>
      </c>
    </row>
    <row r="23" spans="1:36" x14ac:dyDescent="0.25">
      <c r="A23" s="61">
        <v>9501159599</v>
      </c>
      <c r="B23" s="62" t="s">
        <v>214</v>
      </c>
      <c r="C23" s="63">
        <v>46014</v>
      </c>
      <c r="D23" s="62" t="s">
        <v>141</v>
      </c>
      <c r="E23" s="62" t="s">
        <v>215</v>
      </c>
      <c r="F23" s="62" t="s">
        <v>216</v>
      </c>
      <c r="G23" s="62">
        <v>109940</v>
      </c>
      <c r="H23" s="62">
        <v>2329614</v>
      </c>
      <c r="I23" s="62">
        <v>61011000</v>
      </c>
      <c r="J23" s="62" t="s">
        <v>161</v>
      </c>
      <c r="K23" s="62">
        <v>1</v>
      </c>
      <c r="L23" s="62" t="s">
        <v>217</v>
      </c>
      <c r="M23" s="62">
        <v>1400</v>
      </c>
      <c r="N23" s="62" t="s">
        <v>218</v>
      </c>
      <c r="O23" s="62" t="s">
        <v>147</v>
      </c>
      <c r="P23" s="62" t="s">
        <v>96</v>
      </c>
      <c r="Q23" s="62" t="s">
        <v>148</v>
      </c>
      <c r="R23" s="62" t="s">
        <v>219</v>
      </c>
      <c r="S23" s="62" t="s">
        <v>150</v>
      </c>
      <c r="T23" s="62" t="s">
        <v>150</v>
      </c>
      <c r="U23" s="62" t="s">
        <v>220</v>
      </c>
      <c r="V23" s="63">
        <v>46081</v>
      </c>
      <c r="W23" s="63">
        <v>46445</v>
      </c>
      <c r="X23" s="62" t="s">
        <v>186</v>
      </c>
      <c r="Y23" s="62" t="s">
        <v>151</v>
      </c>
      <c r="Z23" s="62" t="s">
        <v>152</v>
      </c>
      <c r="AA23" s="62" t="s">
        <v>108</v>
      </c>
      <c r="AB23" s="63">
        <v>46052</v>
      </c>
      <c r="AC23" s="62" t="s">
        <v>153</v>
      </c>
      <c r="AD23" s="62" t="s">
        <v>154</v>
      </c>
      <c r="AE23" s="62" t="s">
        <v>153</v>
      </c>
      <c r="AF23" s="64">
        <v>55716</v>
      </c>
      <c r="AG23" s="64">
        <v>55716</v>
      </c>
      <c r="AH23" s="64">
        <v>55716</v>
      </c>
      <c r="AI23" s="62">
        <v>0</v>
      </c>
      <c r="AJ23" s="62">
        <v>-269</v>
      </c>
    </row>
    <row r="24" spans="1:36" x14ac:dyDescent="0.25">
      <c r="A24" s="61">
        <v>9501155336</v>
      </c>
      <c r="B24" s="62" t="s">
        <v>221</v>
      </c>
      <c r="C24" s="63">
        <v>46009</v>
      </c>
      <c r="D24" s="62" t="s">
        <v>98</v>
      </c>
      <c r="E24" s="62" t="s">
        <v>222</v>
      </c>
      <c r="F24" s="62" t="s">
        <v>104</v>
      </c>
      <c r="G24" s="62">
        <v>106725</v>
      </c>
      <c r="H24" s="62">
        <v>2329614</v>
      </c>
      <c r="I24" s="62">
        <v>41010100</v>
      </c>
      <c r="J24" s="62" t="s">
        <v>170</v>
      </c>
      <c r="K24" s="62">
        <v>1</v>
      </c>
      <c r="L24" s="62" t="s">
        <v>222</v>
      </c>
      <c r="M24" s="62">
        <v>1400</v>
      </c>
      <c r="N24" s="62" t="s">
        <v>223</v>
      </c>
      <c r="O24" s="62" t="s">
        <v>147</v>
      </c>
      <c r="P24" s="62" t="s">
        <v>96</v>
      </c>
      <c r="Q24" s="62" t="s">
        <v>148</v>
      </c>
      <c r="R24" s="62" t="s">
        <v>149</v>
      </c>
      <c r="S24" s="62" t="s">
        <v>150</v>
      </c>
      <c r="T24" s="62" t="s">
        <v>150</v>
      </c>
      <c r="U24" s="62" t="s">
        <v>150</v>
      </c>
      <c r="V24" s="63">
        <v>45992</v>
      </c>
      <c r="W24" s="63">
        <v>46357</v>
      </c>
      <c r="X24" s="62" t="s">
        <v>151</v>
      </c>
      <c r="Y24" s="62" t="s">
        <v>151</v>
      </c>
      <c r="Z24" s="62" t="s">
        <v>152</v>
      </c>
      <c r="AA24" s="62" t="s">
        <v>108</v>
      </c>
      <c r="AB24" s="63">
        <v>46142</v>
      </c>
      <c r="AC24" s="62" t="s">
        <v>153</v>
      </c>
      <c r="AD24" s="62" t="s">
        <v>154</v>
      </c>
      <c r="AE24" s="62" t="s">
        <v>153</v>
      </c>
      <c r="AF24" s="64">
        <v>49000</v>
      </c>
      <c r="AG24" s="64">
        <v>49000</v>
      </c>
      <c r="AH24" s="62">
        <v>387</v>
      </c>
      <c r="AI24" s="64">
        <v>48613</v>
      </c>
      <c r="AJ24" s="62">
        <v>166</v>
      </c>
    </row>
    <row r="25" spans="1:36" x14ac:dyDescent="0.25">
      <c r="A25" s="61">
        <v>9501130232</v>
      </c>
      <c r="B25" s="62" t="s">
        <v>224</v>
      </c>
      <c r="C25" s="63">
        <v>45985</v>
      </c>
      <c r="D25" s="62" t="s">
        <v>141</v>
      </c>
      <c r="E25" s="62" t="s">
        <v>225</v>
      </c>
      <c r="F25" s="62" t="s">
        <v>226</v>
      </c>
      <c r="G25" s="62">
        <v>1694662</v>
      </c>
      <c r="H25" s="62">
        <v>2329614</v>
      </c>
      <c r="I25" s="62">
        <v>61011000</v>
      </c>
      <c r="J25" s="62" t="s">
        <v>161</v>
      </c>
      <c r="K25" s="62">
        <v>1</v>
      </c>
      <c r="L25" s="62" t="s">
        <v>227</v>
      </c>
      <c r="M25" s="62">
        <v>1400</v>
      </c>
      <c r="N25" s="62" t="s">
        <v>228</v>
      </c>
      <c r="O25" s="62" t="s">
        <v>147</v>
      </c>
      <c r="P25" s="62" t="s">
        <v>96</v>
      </c>
      <c r="Q25" s="62" t="s">
        <v>148</v>
      </c>
      <c r="R25" s="62" t="s">
        <v>149</v>
      </c>
      <c r="S25" s="62" t="s">
        <v>150</v>
      </c>
      <c r="T25" s="62" t="s">
        <v>150</v>
      </c>
      <c r="U25" s="62" t="s">
        <v>229</v>
      </c>
      <c r="V25" s="63">
        <v>45981</v>
      </c>
      <c r="W25" s="63">
        <v>46752</v>
      </c>
      <c r="X25" s="62" t="s">
        <v>151</v>
      </c>
      <c r="Y25" s="62" t="s">
        <v>151</v>
      </c>
      <c r="Z25" s="62" t="s">
        <v>152</v>
      </c>
      <c r="AA25" s="62" t="s">
        <v>108</v>
      </c>
      <c r="AB25" s="63">
        <v>45987</v>
      </c>
      <c r="AC25" s="62" t="s">
        <v>153</v>
      </c>
      <c r="AD25" s="62" t="s">
        <v>154</v>
      </c>
      <c r="AE25" s="62" t="s">
        <v>153</v>
      </c>
      <c r="AF25" s="64">
        <v>42773</v>
      </c>
      <c r="AG25" s="64">
        <v>42773</v>
      </c>
      <c r="AH25" s="64">
        <v>42773</v>
      </c>
      <c r="AI25" s="62">
        <v>0</v>
      </c>
      <c r="AJ25" s="62">
        <v>194</v>
      </c>
    </row>
    <row r="26" spans="1:36" x14ac:dyDescent="0.25">
      <c r="A26" s="61">
        <v>9501153160</v>
      </c>
      <c r="B26" s="62" t="s">
        <v>230</v>
      </c>
      <c r="C26" s="63">
        <v>46007</v>
      </c>
      <c r="D26" s="62" t="s">
        <v>98</v>
      </c>
      <c r="E26" s="62" t="s">
        <v>231</v>
      </c>
      <c r="F26" s="62" t="s">
        <v>104</v>
      </c>
      <c r="G26" s="62">
        <v>106725</v>
      </c>
      <c r="H26" s="62">
        <v>2329614</v>
      </c>
      <c r="I26" s="62">
        <v>41010100</v>
      </c>
      <c r="J26" s="62" t="s">
        <v>170</v>
      </c>
      <c r="K26" s="62">
        <v>1</v>
      </c>
      <c r="L26" s="62" t="s">
        <v>231</v>
      </c>
      <c r="M26" s="62">
        <v>1400</v>
      </c>
      <c r="N26" s="62" t="s">
        <v>232</v>
      </c>
      <c r="O26" s="62" t="s">
        <v>147</v>
      </c>
      <c r="P26" s="62" t="s">
        <v>96</v>
      </c>
      <c r="Q26" s="62" t="s">
        <v>148</v>
      </c>
      <c r="R26" s="62" t="s">
        <v>149</v>
      </c>
      <c r="S26" s="62" t="s">
        <v>150</v>
      </c>
      <c r="T26" s="62" t="s">
        <v>150</v>
      </c>
      <c r="U26" s="62" t="s">
        <v>150</v>
      </c>
      <c r="V26" s="63">
        <v>46023</v>
      </c>
      <c r="W26" s="63">
        <v>46387</v>
      </c>
      <c r="X26" s="62" t="s">
        <v>151</v>
      </c>
      <c r="Y26" s="62" t="s">
        <v>151</v>
      </c>
      <c r="Z26" s="62" t="s">
        <v>152</v>
      </c>
      <c r="AA26" s="62" t="s">
        <v>108</v>
      </c>
      <c r="AB26" s="62" t="s">
        <v>108</v>
      </c>
      <c r="AC26" s="62" t="s">
        <v>153</v>
      </c>
      <c r="AD26" s="62" t="s">
        <v>154</v>
      </c>
      <c r="AE26" s="62" t="s">
        <v>153</v>
      </c>
      <c r="AF26" s="64">
        <v>19725</v>
      </c>
      <c r="AG26" s="64">
        <v>19725</v>
      </c>
      <c r="AH26" s="62">
        <v>0</v>
      </c>
      <c r="AI26" s="64">
        <v>19725</v>
      </c>
      <c r="AJ26" s="62">
        <v>166</v>
      </c>
    </row>
    <row r="27" spans="1:36" x14ac:dyDescent="0.25">
      <c r="A27" s="61">
        <v>9500983473</v>
      </c>
      <c r="B27" s="62" t="s">
        <v>233</v>
      </c>
      <c r="C27" s="63">
        <v>45807</v>
      </c>
      <c r="D27" s="62" t="s">
        <v>141</v>
      </c>
      <c r="E27" s="62" t="s">
        <v>234</v>
      </c>
      <c r="F27" s="62" t="s">
        <v>235</v>
      </c>
      <c r="G27" s="62">
        <v>1787251</v>
      </c>
      <c r="H27" s="62">
        <v>2329614</v>
      </c>
      <c r="I27" s="62">
        <v>61011000</v>
      </c>
      <c r="J27" s="62" t="s">
        <v>161</v>
      </c>
      <c r="K27" s="62">
        <v>1</v>
      </c>
      <c r="L27" s="62" t="s">
        <v>236</v>
      </c>
      <c r="M27" s="62">
        <v>1400</v>
      </c>
      <c r="N27" s="62">
        <v>0</v>
      </c>
      <c r="O27" s="62" t="s">
        <v>147</v>
      </c>
      <c r="P27" s="62" t="s">
        <v>96</v>
      </c>
      <c r="Q27" s="62" t="s">
        <v>148</v>
      </c>
      <c r="R27" s="62" t="s">
        <v>237</v>
      </c>
      <c r="S27" s="62" t="s">
        <v>238</v>
      </c>
      <c r="T27" s="62" t="s">
        <v>238</v>
      </c>
      <c r="U27" s="62" t="s">
        <v>220</v>
      </c>
      <c r="V27" s="63">
        <v>45826</v>
      </c>
      <c r="W27" s="63">
        <v>46922</v>
      </c>
      <c r="X27" s="62" t="s">
        <v>186</v>
      </c>
      <c r="Y27" s="62" t="s">
        <v>151</v>
      </c>
      <c r="Z27" s="62" t="s">
        <v>152</v>
      </c>
      <c r="AA27" s="62" t="s">
        <v>108</v>
      </c>
      <c r="AB27" s="63">
        <v>45812</v>
      </c>
      <c r="AC27" s="62" t="s">
        <v>239</v>
      </c>
      <c r="AD27" s="62" t="s">
        <v>188</v>
      </c>
      <c r="AE27" s="62" t="s">
        <v>239</v>
      </c>
      <c r="AF27" s="64">
        <v>18000</v>
      </c>
      <c r="AG27" s="64">
        <v>18000</v>
      </c>
      <c r="AH27" s="64">
        <v>18000</v>
      </c>
      <c r="AI27" s="62">
        <v>0</v>
      </c>
      <c r="AJ27" s="62">
        <v>-746</v>
      </c>
    </row>
    <row r="28" spans="1:36" x14ac:dyDescent="0.25">
      <c r="A28" s="61">
        <v>9501116519</v>
      </c>
      <c r="B28" s="62" t="s">
        <v>240</v>
      </c>
      <c r="C28" s="63">
        <v>45972</v>
      </c>
      <c r="D28" s="62" t="s">
        <v>141</v>
      </c>
      <c r="E28" s="62" t="s">
        <v>241</v>
      </c>
      <c r="F28" s="62" t="s">
        <v>104</v>
      </c>
      <c r="G28" s="62">
        <v>106725</v>
      </c>
      <c r="H28" s="62">
        <v>2329614</v>
      </c>
      <c r="I28" s="62">
        <v>61011000</v>
      </c>
      <c r="J28" s="62" t="s">
        <v>161</v>
      </c>
      <c r="K28" s="62">
        <v>1</v>
      </c>
      <c r="L28" s="62" t="s">
        <v>242</v>
      </c>
      <c r="M28" s="62">
        <v>1400</v>
      </c>
      <c r="N28" s="62" t="s">
        <v>243</v>
      </c>
      <c r="O28" s="62" t="s">
        <v>147</v>
      </c>
      <c r="P28" s="62" t="s">
        <v>96</v>
      </c>
      <c r="Q28" s="62" t="s">
        <v>148</v>
      </c>
      <c r="R28" s="62" t="s">
        <v>149</v>
      </c>
      <c r="S28" s="62" t="s">
        <v>150</v>
      </c>
      <c r="T28" s="62" t="s">
        <v>150</v>
      </c>
      <c r="U28" s="62" t="s">
        <v>150</v>
      </c>
      <c r="V28" s="63">
        <v>45968</v>
      </c>
      <c r="W28" s="63">
        <v>46387</v>
      </c>
      <c r="X28" s="62" t="s">
        <v>151</v>
      </c>
      <c r="Y28" s="62" t="s">
        <v>151</v>
      </c>
      <c r="Z28" s="62" t="s">
        <v>152</v>
      </c>
      <c r="AA28" s="62" t="s">
        <v>108</v>
      </c>
      <c r="AB28" s="63">
        <v>46004</v>
      </c>
      <c r="AC28" s="62" t="s">
        <v>153</v>
      </c>
      <c r="AD28" s="62" t="s">
        <v>154</v>
      </c>
      <c r="AE28" s="62" t="s">
        <v>153</v>
      </c>
      <c r="AF28" s="64">
        <v>13352</v>
      </c>
      <c r="AG28" s="64">
        <v>13352</v>
      </c>
      <c r="AH28" s="64">
        <v>14353</v>
      </c>
      <c r="AI28" s="64">
        <v>-1001</v>
      </c>
      <c r="AJ28" s="62">
        <v>201</v>
      </c>
    </row>
    <row r="29" spans="1:36" x14ac:dyDescent="0.25">
      <c r="A29" s="61">
        <v>9501114816</v>
      </c>
      <c r="B29" s="62" t="s">
        <v>244</v>
      </c>
      <c r="C29" s="63">
        <v>45971</v>
      </c>
      <c r="D29" s="62" t="s">
        <v>141</v>
      </c>
      <c r="E29" s="62" t="s">
        <v>245</v>
      </c>
      <c r="F29" s="62" t="s">
        <v>246</v>
      </c>
      <c r="G29" s="62">
        <v>847687</v>
      </c>
      <c r="H29" s="62">
        <v>2329614</v>
      </c>
      <c r="I29" s="62">
        <v>40010000</v>
      </c>
      <c r="J29" s="62" t="s">
        <v>247</v>
      </c>
      <c r="K29" s="62">
        <v>1</v>
      </c>
      <c r="L29" s="62" t="s">
        <v>245</v>
      </c>
      <c r="M29" s="62">
        <v>1400</v>
      </c>
      <c r="N29" s="62" t="s">
        <v>248</v>
      </c>
      <c r="O29" s="62" t="s">
        <v>147</v>
      </c>
      <c r="P29" s="62" t="s">
        <v>96</v>
      </c>
      <c r="Q29" s="62" t="s">
        <v>148</v>
      </c>
      <c r="R29" s="62" t="s">
        <v>149</v>
      </c>
      <c r="S29" s="62" t="s">
        <v>150</v>
      </c>
      <c r="T29" s="62" t="s">
        <v>150</v>
      </c>
      <c r="U29" s="62" t="s">
        <v>150</v>
      </c>
      <c r="V29" s="63">
        <v>45962</v>
      </c>
      <c r="W29" s="63">
        <v>46387</v>
      </c>
      <c r="X29" s="62" t="s">
        <v>151</v>
      </c>
      <c r="Y29" s="62" t="s">
        <v>151</v>
      </c>
      <c r="Z29" s="62" t="s">
        <v>152</v>
      </c>
      <c r="AA29" s="62" t="s">
        <v>108</v>
      </c>
      <c r="AB29" s="63">
        <v>46049</v>
      </c>
      <c r="AC29" s="62" t="s">
        <v>153</v>
      </c>
      <c r="AD29" s="62" t="s">
        <v>154</v>
      </c>
      <c r="AE29" s="62" t="s">
        <v>153</v>
      </c>
      <c r="AF29" s="64">
        <v>11125</v>
      </c>
      <c r="AG29" s="64">
        <v>11125</v>
      </c>
      <c r="AH29" s="64">
        <v>11125</v>
      </c>
      <c r="AI29" s="62">
        <v>0</v>
      </c>
      <c r="AJ29" s="62">
        <v>201</v>
      </c>
    </row>
    <row r="30" spans="1:36" x14ac:dyDescent="0.25">
      <c r="A30" s="61">
        <v>9501034356</v>
      </c>
      <c r="B30" s="62" t="s">
        <v>249</v>
      </c>
      <c r="C30" s="63">
        <v>45873</v>
      </c>
      <c r="D30" s="62" t="s">
        <v>141</v>
      </c>
      <c r="E30" s="62" t="s">
        <v>250</v>
      </c>
      <c r="F30" s="62" t="s">
        <v>251</v>
      </c>
      <c r="G30" s="62">
        <v>1601611</v>
      </c>
      <c r="H30" s="62">
        <v>2329614</v>
      </c>
      <c r="I30" s="62">
        <v>61011000</v>
      </c>
      <c r="J30" s="62" t="s">
        <v>161</v>
      </c>
      <c r="K30" s="62">
        <v>4</v>
      </c>
      <c r="L30" s="62" t="s">
        <v>252</v>
      </c>
      <c r="M30" s="62">
        <v>1400</v>
      </c>
      <c r="N30" s="62">
        <v>0</v>
      </c>
      <c r="O30" s="62" t="s">
        <v>147</v>
      </c>
      <c r="P30" s="62" t="s">
        <v>96</v>
      </c>
      <c r="Q30" s="62" t="s">
        <v>148</v>
      </c>
      <c r="R30" s="62" t="s">
        <v>219</v>
      </c>
      <c r="S30" s="62" t="s">
        <v>253</v>
      </c>
      <c r="T30" s="62" t="s">
        <v>253</v>
      </c>
      <c r="U30" s="62" t="s">
        <v>220</v>
      </c>
      <c r="V30" s="63">
        <v>45870</v>
      </c>
      <c r="W30" s="63">
        <v>46234</v>
      </c>
      <c r="X30" s="62" t="s">
        <v>186</v>
      </c>
      <c r="Y30" s="62" t="s">
        <v>151</v>
      </c>
      <c r="Z30" s="62" t="s">
        <v>152</v>
      </c>
      <c r="AA30" s="62" t="s">
        <v>108</v>
      </c>
      <c r="AB30" s="63">
        <v>45877</v>
      </c>
      <c r="AC30" s="62" t="s">
        <v>153</v>
      </c>
      <c r="AD30" s="62" t="s">
        <v>154</v>
      </c>
      <c r="AE30" s="62" t="s">
        <v>153</v>
      </c>
      <c r="AF30" s="64">
        <v>1479</v>
      </c>
      <c r="AG30" s="64">
        <v>1479</v>
      </c>
      <c r="AH30" s="64">
        <v>1577</v>
      </c>
      <c r="AI30" s="62">
        <v>-98</v>
      </c>
      <c r="AJ30" s="62">
        <v>296</v>
      </c>
    </row>
    <row r="31" spans="1:36" x14ac:dyDescent="0.25">
      <c r="A31" s="61">
        <v>9501034356</v>
      </c>
      <c r="B31" s="62" t="s">
        <v>249</v>
      </c>
      <c r="C31" s="63">
        <v>45873</v>
      </c>
      <c r="D31" s="62" t="s">
        <v>141</v>
      </c>
      <c r="E31" s="62" t="s">
        <v>250</v>
      </c>
      <c r="F31" s="62" t="s">
        <v>251</v>
      </c>
      <c r="G31" s="62">
        <v>1601611</v>
      </c>
      <c r="H31" s="62">
        <v>2329614</v>
      </c>
      <c r="I31" s="62">
        <v>61011000</v>
      </c>
      <c r="J31" s="62" t="s">
        <v>161</v>
      </c>
      <c r="K31" s="62">
        <v>1</v>
      </c>
      <c r="L31" s="62" t="s">
        <v>252</v>
      </c>
      <c r="M31" s="62">
        <v>1400</v>
      </c>
      <c r="N31" s="62">
        <v>0</v>
      </c>
      <c r="O31" s="62" t="s">
        <v>147</v>
      </c>
      <c r="P31" s="62" t="s">
        <v>96</v>
      </c>
      <c r="Q31" s="62" t="s">
        <v>148</v>
      </c>
      <c r="R31" s="62" t="s">
        <v>219</v>
      </c>
      <c r="S31" s="62" t="s">
        <v>253</v>
      </c>
      <c r="T31" s="62" t="s">
        <v>253</v>
      </c>
      <c r="U31" s="62" t="s">
        <v>220</v>
      </c>
      <c r="V31" s="63">
        <v>45870</v>
      </c>
      <c r="W31" s="63">
        <v>46234</v>
      </c>
      <c r="X31" s="62" t="s">
        <v>186</v>
      </c>
      <c r="Y31" s="62" t="s">
        <v>151</v>
      </c>
      <c r="Z31" s="62" t="s">
        <v>152</v>
      </c>
      <c r="AA31" s="62" t="s">
        <v>108</v>
      </c>
      <c r="AB31" s="63">
        <v>45877</v>
      </c>
      <c r="AC31" s="62" t="s">
        <v>153</v>
      </c>
      <c r="AD31" s="62" t="s">
        <v>154</v>
      </c>
      <c r="AE31" s="62" t="s">
        <v>153</v>
      </c>
      <c r="AF31" s="64">
        <v>1479</v>
      </c>
      <c r="AG31" s="64">
        <v>1479</v>
      </c>
      <c r="AH31" s="64">
        <v>1577</v>
      </c>
      <c r="AI31" s="62">
        <v>-98</v>
      </c>
      <c r="AJ31" s="62">
        <v>296</v>
      </c>
    </row>
    <row r="32" spans="1:36" x14ac:dyDescent="0.25">
      <c r="A32" s="61">
        <v>9501034356</v>
      </c>
      <c r="B32" s="62" t="s">
        <v>249</v>
      </c>
      <c r="C32" s="63">
        <v>45873</v>
      </c>
      <c r="D32" s="62" t="s">
        <v>141</v>
      </c>
      <c r="E32" s="62" t="s">
        <v>250</v>
      </c>
      <c r="F32" s="62" t="s">
        <v>251</v>
      </c>
      <c r="G32" s="62">
        <v>1601611</v>
      </c>
      <c r="H32" s="62">
        <v>2329614</v>
      </c>
      <c r="I32" s="62">
        <v>61011000</v>
      </c>
      <c r="J32" s="62" t="s">
        <v>161</v>
      </c>
      <c r="K32" s="62">
        <v>3</v>
      </c>
      <c r="L32" s="62" t="s">
        <v>254</v>
      </c>
      <c r="M32" s="62">
        <v>1400</v>
      </c>
      <c r="N32" s="62">
        <v>0</v>
      </c>
      <c r="O32" s="62" t="s">
        <v>147</v>
      </c>
      <c r="P32" s="62" t="s">
        <v>96</v>
      </c>
      <c r="Q32" s="62" t="s">
        <v>148</v>
      </c>
      <c r="R32" s="62" t="s">
        <v>219</v>
      </c>
      <c r="S32" s="62" t="s">
        <v>253</v>
      </c>
      <c r="T32" s="62" t="s">
        <v>253</v>
      </c>
      <c r="U32" s="62" t="s">
        <v>220</v>
      </c>
      <c r="V32" s="63">
        <v>45870</v>
      </c>
      <c r="W32" s="63">
        <v>46234</v>
      </c>
      <c r="X32" s="62" t="s">
        <v>186</v>
      </c>
      <c r="Y32" s="62" t="s">
        <v>151</v>
      </c>
      <c r="Z32" s="62" t="s">
        <v>152</v>
      </c>
      <c r="AA32" s="62" t="s">
        <v>108</v>
      </c>
      <c r="AB32" s="63">
        <v>45877</v>
      </c>
      <c r="AC32" s="62" t="s">
        <v>153</v>
      </c>
      <c r="AD32" s="62" t="s">
        <v>154</v>
      </c>
      <c r="AE32" s="62" t="s">
        <v>153</v>
      </c>
      <c r="AF32" s="64">
        <v>1021</v>
      </c>
      <c r="AG32" s="64">
        <v>1021</v>
      </c>
      <c r="AH32" s="64">
        <v>1088</v>
      </c>
      <c r="AI32" s="62">
        <v>-68</v>
      </c>
      <c r="AJ32" s="62">
        <v>296</v>
      </c>
    </row>
    <row r="33" spans="1:36" x14ac:dyDescent="0.25">
      <c r="A33" s="61">
        <v>9501034356</v>
      </c>
      <c r="B33" s="62" t="s">
        <v>249</v>
      </c>
      <c r="C33" s="63">
        <v>45873</v>
      </c>
      <c r="D33" s="62" t="s">
        <v>141</v>
      </c>
      <c r="E33" s="62" t="s">
        <v>250</v>
      </c>
      <c r="F33" s="62" t="s">
        <v>251</v>
      </c>
      <c r="G33" s="62">
        <v>1601611</v>
      </c>
      <c r="H33" s="62">
        <v>2329614</v>
      </c>
      <c r="I33" s="62">
        <v>61011000</v>
      </c>
      <c r="J33" s="62" t="s">
        <v>161</v>
      </c>
      <c r="K33" s="62">
        <v>2</v>
      </c>
      <c r="L33" s="62" t="s">
        <v>254</v>
      </c>
      <c r="M33" s="62">
        <v>1400</v>
      </c>
      <c r="N33" s="62">
        <v>0</v>
      </c>
      <c r="O33" s="62" t="s">
        <v>147</v>
      </c>
      <c r="P33" s="62" t="s">
        <v>96</v>
      </c>
      <c r="Q33" s="62" t="s">
        <v>148</v>
      </c>
      <c r="R33" s="62" t="s">
        <v>219</v>
      </c>
      <c r="S33" s="62" t="s">
        <v>253</v>
      </c>
      <c r="T33" s="62" t="s">
        <v>253</v>
      </c>
      <c r="U33" s="62" t="s">
        <v>220</v>
      </c>
      <c r="V33" s="63">
        <v>45870</v>
      </c>
      <c r="W33" s="63">
        <v>46234</v>
      </c>
      <c r="X33" s="62" t="s">
        <v>186</v>
      </c>
      <c r="Y33" s="62" t="s">
        <v>151</v>
      </c>
      <c r="Z33" s="62" t="s">
        <v>152</v>
      </c>
      <c r="AA33" s="62" t="s">
        <v>108</v>
      </c>
      <c r="AB33" s="63">
        <v>45877</v>
      </c>
      <c r="AC33" s="62" t="s">
        <v>153</v>
      </c>
      <c r="AD33" s="62" t="s">
        <v>154</v>
      </c>
      <c r="AE33" s="62" t="s">
        <v>153</v>
      </c>
      <c r="AF33" s="64">
        <v>1021</v>
      </c>
      <c r="AG33" s="64">
        <v>1021</v>
      </c>
      <c r="AH33" s="64">
        <v>1088</v>
      </c>
      <c r="AI33" s="62">
        <v>-68</v>
      </c>
      <c r="AJ33" s="62">
        <v>296</v>
      </c>
    </row>
    <row r="34" spans="1:36" x14ac:dyDescent="0.25">
      <c r="A34" s="61">
        <v>9500946285</v>
      </c>
      <c r="B34" s="62" t="s">
        <v>255</v>
      </c>
      <c r="C34" s="63">
        <v>45762</v>
      </c>
      <c r="D34" s="62" t="s">
        <v>141</v>
      </c>
      <c r="E34" s="62" t="s">
        <v>256</v>
      </c>
      <c r="F34" s="62" t="s">
        <v>104</v>
      </c>
      <c r="G34" s="62">
        <v>106725</v>
      </c>
      <c r="H34" s="62">
        <v>2329614</v>
      </c>
      <c r="I34" s="62">
        <v>41010100</v>
      </c>
      <c r="J34" s="62" t="s">
        <v>170</v>
      </c>
      <c r="K34" s="62">
        <v>1</v>
      </c>
      <c r="L34" s="62" t="s">
        <v>257</v>
      </c>
      <c r="M34" s="62">
        <v>1400</v>
      </c>
      <c r="N34" s="62" t="s">
        <v>232</v>
      </c>
      <c r="O34" s="62" t="s">
        <v>147</v>
      </c>
      <c r="P34" s="62" t="s">
        <v>96</v>
      </c>
      <c r="Q34" s="62" t="s">
        <v>148</v>
      </c>
      <c r="R34" s="62" t="s">
        <v>149</v>
      </c>
      <c r="S34" s="62" t="s">
        <v>150</v>
      </c>
      <c r="T34" s="62" t="s">
        <v>150</v>
      </c>
      <c r="U34" s="62" t="s">
        <v>150</v>
      </c>
      <c r="V34" s="63">
        <v>45754</v>
      </c>
      <c r="W34" s="63">
        <v>46118</v>
      </c>
      <c r="X34" s="62" t="s">
        <v>151</v>
      </c>
      <c r="Y34" s="62" t="s">
        <v>151</v>
      </c>
      <c r="Z34" s="62" t="s">
        <v>152</v>
      </c>
      <c r="AA34" s="62" t="s">
        <v>108</v>
      </c>
      <c r="AB34" s="63">
        <v>45884</v>
      </c>
      <c r="AC34" s="62" t="s">
        <v>153</v>
      </c>
      <c r="AD34" s="62" t="s">
        <v>154</v>
      </c>
      <c r="AE34" s="62" t="s">
        <v>153</v>
      </c>
      <c r="AF34" s="64">
        <v>3000</v>
      </c>
      <c r="AG34" s="64">
        <v>3000</v>
      </c>
      <c r="AH34" s="64">
        <v>3000</v>
      </c>
      <c r="AI34" s="62">
        <v>0</v>
      </c>
      <c r="AJ34" s="62">
        <v>411</v>
      </c>
    </row>
    <row r="35" spans="1:36" x14ac:dyDescent="0.25">
      <c r="A35" s="61">
        <v>9501236468</v>
      </c>
      <c r="B35" s="62" t="s">
        <v>258</v>
      </c>
      <c r="C35" s="63">
        <v>46115</v>
      </c>
      <c r="D35" s="62" t="s">
        <v>141</v>
      </c>
      <c r="E35" s="62" t="s">
        <v>259</v>
      </c>
      <c r="F35" s="62" t="s">
        <v>104</v>
      </c>
      <c r="G35" s="62">
        <v>106725</v>
      </c>
      <c r="H35" s="62">
        <v>2329614</v>
      </c>
      <c r="I35" s="62">
        <v>41010100</v>
      </c>
      <c r="J35" s="62" t="s">
        <v>170</v>
      </c>
      <c r="K35" s="62">
        <v>1</v>
      </c>
      <c r="L35" s="62" t="s">
        <v>260</v>
      </c>
      <c r="M35" s="62">
        <v>1400</v>
      </c>
      <c r="N35" s="62" t="s">
        <v>232</v>
      </c>
      <c r="O35" s="62" t="s">
        <v>147</v>
      </c>
      <c r="P35" s="62" t="s">
        <v>96</v>
      </c>
      <c r="Q35" s="62" t="s">
        <v>148</v>
      </c>
      <c r="R35" s="62" t="s">
        <v>149</v>
      </c>
      <c r="S35" s="62" t="s">
        <v>150</v>
      </c>
      <c r="T35" s="62" t="s">
        <v>150</v>
      </c>
      <c r="U35" s="62" t="s">
        <v>150</v>
      </c>
      <c r="V35" s="63">
        <v>46119</v>
      </c>
      <c r="W35" s="63">
        <v>46483</v>
      </c>
      <c r="X35" s="62" t="s">
        <v>151</v>
      </c>
      <c r="Y35" s="62" t="s">
        <v>151</v>
      </c>
      <c r="Z35" s="62" t="s">
        <v>152</v>
      </c>
      <c r="AA35" s="62" t="s">
        <v>108</v>
      </c>
      <c r="AB35" s="63">
        <v>46133</v>
      </c>
      <c r="AC35" s="62" t="s">
        <v>153</v>
      </c>
      <c r="AD35" s="62" t="s">
        <v>154</v>
      </c>
      <c r="AE35" s="62" t="s">
        <v>153</v>
      </c>
      <c r="AF35" s="64">
        <v>3000</v>
      </c>
      <c r="AG35" s="64">
        <v>3000</v>
      </c>
      <c r="AH35" s="64">
        <v>3000</v>
      </c>
      <c r="AI35" s="62">
        <v>0</v>
      </c>
      <c r="AJ35" s="62">
        <v>61</v>
      </c>
    </row>
  </sheetData>
  <autoFilter ref="A1:AK3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5" x14ac:dyDescent="0.25"/>
  <sheetData>
    <row r="1" spans="1:7" x14ac:dyDescent="0.25">
      <c r="A1" s="76" t="s">
        <v>20</v>
      </c>
      <c r="B1" s="76" t="s">
        <v>15</v>
      </c>
      <c r="C1" s="76" t="s">
        <v>261</v>
      </c>
      <c r="D1" s="76" t="s">
        <v>262</v>
      </c>
      <c r="E1" s="76" t="s">
        <v>263</v>
      </c>
      <c r="F1" s="76" t="s">
        <v>264</v>
      </c>
      <c r="G1" s="76" t="s">
        <v>265</v>
      </c>
    </row>
    <row r="2" spans="1:7" x14ac:dyDescent="0.25">
      <c r="A2" t="s">
        <v>266</v>
      </c>
      <c r="D2" t="s">
        <v>267</v>
      </c>
      <c r="E2">
        <v>1</v>
      </c>
      <c r="F2">
        <v>0.45</v>
      </c>
      <c r="G2" t="s">
        <v>268</v>
      </c>
    </row>
    <row r="3" spans="1:7" x14ac:dyDescent="0.25">
      <c r="A3" t="s">
        <v>266</v>
      </c>
      <c r="D3" t="s">
        <v>267</v>
      </c>
      <c r="E3">
        <v>2</v>
      </c>
      <c r="F3">
        <v>-18000</v>
      </c>
      <c r="G3" t="s">
        <v>269</v>
      </c>
    </row>
    <row r="4" spans="1:7" x14ac:dyDescent="0.25">
      <c r="A4" t="s">
        <v>266</v>
      </c>
      <c r="D4" t="s">
        <v>267</v>
      </c>
      <c r="E4">
        <v>2</v>
      </c>
      <c r="F4">
        <v>-2640</v>
      </c>
      <c r="G4" t="s">
        <v>269</v>
      </c>
    </row>
    <row r="5" spans="1:7" x14ac:dyDescent="0.25">
      <c r="A5" t="s">
        <v>266</v>
      </c>
      <c r="D5" t="s">
        <v>267</v>
      </c>
      <c r="E5">
        <v>2</v>
      </c>
      <c r="F5">
        <v>-0.86</v>
      </c>
      <c r="G5" t="s">
        <v>268</v>
      </c>
    </row>
    <row r="6" spans="1:7" x14ac:dyDescent="0.25">
      <c r="A6" t="s">
        <v>266</v>
      </c>
      <c r="D6" t="s">
        <v>267</v>
      </c>
      <c r="E6">
        <v>3</v>
      </c>
      <c r="F6">
        <v>-2640</v>
      </c>
      <c r="G6" t="s">
        <v>269</v>
      </c>
    </row>
    <row r="7" spans="1:7" x14ac:dyDescent="0.25">
      <c r="A7" t="s">
        <v>266</v>
      </c>
      <c r="D7" t="s">
        <v>267</v>
      </c>
      <c r="E7">
        <v>3</v>
      </c>
      <c r="F7">
        <v>-8000</v>
      </c>
      <c r="G7" t="s">
        <v>269</v>
      </c>
    </row>
    <row r="8" spans="1:7" x14ac:dyDescent="0.25">
      <c r="A8" t="s">
        <v>266</v>
      </c>
      <c r="D8" t="s">
        <v>267</v>
      </c>
      <c r="E8">
        <v>3</v>
      </c>
      <c r="F8">
        <v>0.13</v>
      </c>
      <c r="G8" t="s">
        <v>268</v>
      </c>
    </row>
    <row r="9" spans="1:7" x14ac:dyDescent="0.25">
      <c r="A9" t="s">
        <v>266</v>
      </c>
      <c r="D9" t="s">
        <v>267</v>
      </c>
      <c r="E9">
        <v>4</v>
      </c>
      <c r="F9">
        <v>0.74</v>
      </c>
      <c r="G9" t="s">
        <v>268</v>
      </c>
    </row>
    <row r="10" spans="1:7" x14ac:dyDescent="0.25">
      <c r="A10" t="s">
        <v>266</v>
      </c>
      <c r="D10" t="s">
        <v>267</v>
      </c>
      <c r="E10">
        <v>5</v>
      </c>
      <c r="F10">
        <v>-2640</v>
      </c>
      <c r="G10" t="s">
        <v>269</v>
      </c>
    </row>
    <row r="11" spans="1:7" x14ac:dyDescent="0.25">
      <c r="A11" t="s">
        <v>266</v>
      </c>
      <c r="D11" t="s">
        <v>267</v>
      </c>
      <c r="E11">
        <v>5</v>
      </c>
      <c r="F11">
        <v>-2640</v>
      </c>
      <c r="G11" t="s">
        <v>269</v>
      </c>
    </row>
    <row r="12" spans="1:7" x14ac:dyDescent="0.25">
      <c r="A12" t="s">
        <v>266</v>
      </c>
      <c r="D12" t="s">
        <v>267</v>
      </c>
      <c r="E12">
        <v>5</v>
      </c>
      <c r="F12">
        <v>-4000</v>
      </c>
      <c r="G12" t="s">
        <v>269</v>
      </c>
    </row>
    <row r="13" spans="1:7" x14ac:dyDescent="0.25">
      <c r="A13" t="s">
        <v>266</v>
      </c>
      <c r="D13" t="s">
        <v>267</v>
      </c>
      <c r="E13">
        <v>5</v>
      </c>
      <c r="F13">
        <v>-3800</v>
      </c>
      <c r="G13" t="s">
        <v>269</v>
      </c>
    </row>
    <row r="14" spans="1:7" x14ac:dyDescent="0.25">
      <c r="A14" t="s">
        <v>266</v>
      </c>
      <c r="D14" t="s">
        <v>267</v>
      </c>
      <c r="E14">
        <v>5</v>
      </c>
      <c r="F14">
        <v>-1130</v>
      </c>
      <c r="G14" t="s">
        <v>269</v>
      </c>
    </row>
    <row r="15" spans="1:7" x14ac:dyDescent="0.25">
      <c r="A15" t="s">
        <v>266</v>
      </c>
      <c r="D15" t="s">
        <v>267</v>
      </c>
      <c r="E15">
        <v>5</v>
      </c>
      <c r="F15">
        <v>-30000</v>
      </c>
      <c r="G15" t="s">
        <v>269</v>
      </c>
    </row>
    <row r="16" spans="1:7" x14ac:dyDescent="0.25">
      <c r="A16" t="s">
        <v>266</v>
      </c>
      <c r="D16" t="s">
        <v>267</v>
      </c>
      <c r="E16">
        <v>5</v>
      </c>
      <c r="F16">
        <v>-12640</v>
      </c>
      <c r="G16" t="s">
        <v>269</v>
      </c>
    </row>
    <row r="17" spans="1:7" x14ac:dyDescent="0.25">
      <c r="A17" t="s">
        <v>266</v>
      </c>
      <c r="D17" t="s">
        <v>267</v>
      </c>
      <c r="E17">
        <v>5</v>
      </c>
      <c r="F17">
        <v>-18960</v>
      </c>
      <c r="G17" t="s">
        <v>269</v>
      </c>
    </row>
    <row r="18" spans="1:7" x14ac:dyDescent="0.25">
      <c r="A18" t="s">
        <v>266</v>
      </c>
      <c r="D18" t="s">
        <v>267</v>
      </c>
      <c r="E18">
        <v>5</v>
      </c>
      <c r="F18">
        <v>-0.34</v>
      </c>
      <c r="G18" t="s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5" x14ac:dyDescent="0.25"/>
  <sheetData>
    <row r="1" spans="1:7" x14ac:dyDescent="0.25">
      <c r="A1" s="78" t="s">
        <v>20</v>
      </c>
      <c r="B1" s="78" t="s">
        <v>15</v>
      </c>
      <c r="C1" s="78" t="s">
        <v>261</v>
      </c>
      <c r="D1" s="78" t="s">
        <v>262</v>
      </c>
      <c r="E1" s="78" t="s">
        <v>263</v>
      </c>
      <c r="F1" s="78" t="s">
        <v>264</v>
      </c>
      <c r="G1" s="78" t="s">
        <v>265</v>
      </c>
    </row>
    <row r="2" spans="1:7" x14ac:dyDescent="0.25">
      <c r="A2" t="s">
        <v>266</v>
      </c>
      <c r="D2" t="s">
        <v>267</v>
      </c>
      <c r="E2">
        <v>1</v>
      </c>
      <c r="F2">
        <v>0.45</v>
      </c>
      <c r="G2" t="s">
        <v>268</v>
      </c>
    </row>
    <row r="3" spans="1:7" x14ac:dyDescent="0.25">
      <c r="A3" t="s">
        <v>266</v>
      </c>
      <c r="D3" t="s">
        <v>267</v>
      </c>
      <c r="E3">
        <v>2</v>
      </c>
      <c r="F3">
        <v>-0.86</v>
      </c>
      <c r="G3" t="s">
        <v>268</v>
      </c>
    </row>
    <row r="4" spans="1:7" x14ac:dyDescent="0.25">
      <c r="A4" t="s">
        <v>266</v>
      </c>
      <c r="D4" t="s">
        <v>267</v>
      </c>
      <c r="E4">
        <v>3</v>
      </c>
      <c r="F4">
        <v>0.13</v>
      </c>
      <c r="G4" t="s">
        <v>268</v>
      </c>
    </row>
    <row r="5" spans="1:7" x14ac:dyDescent="0.25">
      <c r="A5" t="s">
        <v>266</v>
      </c>
      <c r="D5" t="s">
        <v>267</v>
      </c>
      <c r="E5">
        <v>4</v>
      </c>
      <c r="F5">
        <v>0.74</v>
      </c>
      <c r="G5" t="s">
        <v>268</v>
      </c>
    </row>
    <row r="6" spans="1:7" x14ac:dyDescent="0.25">
      <c r="A6" t="s">
        <v>266</v>
      </c>
      <c r="D6" t="s">
        <v>267</v>
      </c>
      <c r="E6">
        <v>5</v>
      </c>
      <c r="F6">
        <v>-0.34</v>
      </c>
      <c r="G6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OpEx Template</vt:lpstr>
      <vt:lpstr>Petes P3</vt:lpstr>
      <vt:lpstr>All POs as on 6-3-26</vt:lpstr>
      <vt:lpstr>Exception_Data</vt:lpstr>
      <vt:lpstr>Exception_Data1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Michael</dc:creator>
  <cp:lastModifiedBy>Oelkers, Mary (Contractor)</cp:lastModifiedBy>
  <dcterms:created xsi:type="dcterms:W3CDTF">2024-04-15T21:07:03Z</dcterms:created>
  <dcterms:modified xsi:type="dcterms:W3CDTF">2026-10-21T13:08:04Z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0x010100705CE5A564F40946AECC6EBE58791375</vt:lpwstr>
  </property>
  <property fmtid="{D5CDD505-2E9C-101B-9397-08002B2CF9AE}" pid="10" name="MediaServiceImageTags">
    <vt:lpwstr/>
  </property>
</Properties>
</file>