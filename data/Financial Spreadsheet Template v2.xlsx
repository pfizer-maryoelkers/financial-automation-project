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621" documentId="8_{ADF84F62-CC85-48F6-A2B9-288B99318624}" xr6:coauthVersionLast="47" xr6:coauthVersionMax="47" xr10:uidLastSave="{4AE2532D-A34C-411F-9EC1-825B7644D982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2" i="5" l="1"/>
  <c r="R25" i="5"/>
  <c r="M25" i="5"/>
  <c r="J11" i="5" s="1" a="1"/>
  <c r="J11" i="5" s="1"/>
  <c r="BR24" i="5"/>
  <c r="BQ24" i="5"/>
  <c r="BL24" i="5"/>
  <c r="BG24" i="5"/>
  <c r="BB24" i="5"/>
  <c r="AW24" i="5"/>
  <c r="AR24" i="5"/>
  <c r="AM24" i="5"/>
  <c r="AH24" i="5"/>
  <c r="AC24" i="5"/>
  <c r="X24" i="5"/>
  <c r="S24" i="5"/>
  <c r="N24" i="5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Q22" i="5"/>
  <c r="BL22" i="5"/>
  <c r="BG22" i="5"/>
  <c r="BB22" i="5"/>
  <c r="AW22" i="5"/>
  <c r="AR22" i="5"/>
  <c r="AM22" i="5"/>
  <c r="AH22" i="5"/>
  <c r="AC22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2" i="5"/>
  <c r="N25" i="5"/>
  <c r="BR13" i="5" l="1"/>
  <c r="AG25" i="5" l="1"/>
  <c r="AB25" i="5"/>
  <c r="W25" i="5"/>
  <c r="BK25" i="5"/>
  <c r="B9" i="5"/>
  <c r="B10" i="5" s="1"/>
  <c r="AL25" i="5"/>
  <c r="AV25" i="5"/>
  <c r="BA25" i="5"/>
  <c r="AQ25" i="5"/>
  <c r="BF25" i="5"/>
  <c r="BS11" i="5"/>
  <c r="BP25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5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<sst xmlns="http://schemas.openxmlformats.org/spreadsheetml/2006/main" count="114" uniqueCount="98">
  <si>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</si>
  <si>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</si>
  <si>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</si>
  <si>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</si>
  <si>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</si>
  <si>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</si>
  <si>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</si>
  <si>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</si>
  <si>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</si>
  <si>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</si>
  <si>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</si>
  <si>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</si>
  <si>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</si>
  <si>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</si>
  <si>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</si>
  <si>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</si>
  <si>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</si>
  <si>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</si>
  <si>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</si>
  <si>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</si>
  <si>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</si>
  <si>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</si>
  <si>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</si>
  <si>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</si>
  <si>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</si>
  <si>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</si>
  <si>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</si>
  <si>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</si>
  <si>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</si>
  <si>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</si>
  <si>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</si>
  <si>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</si>
  <si>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</si>
  <si>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</si>
  <si>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</si>
  <si>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</si>
  <si>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</si>
  <si>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</si>
  <si>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</si>
  <si>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</si>
  <si>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</si>
  <si>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</si>
  <si>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</si>
  <si>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</si>
  <si>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</si>
  <si>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</si>
  <si>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</si>
  <si>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</si>
  <si>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</si>
  <si>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</si>
  <si>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</si>
  <si>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</si>
  <si>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</si>
  <si>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</si>
  <si>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</si>
  <si>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</si>
  <si>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</si>
  <si>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</si>
  <si>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</si>
  <si>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</si>
  <si>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</si>
  <si>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</si>
  <si>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</si>
  <si>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</si>
  <si>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</si>
  <si>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</si>
  <si>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</si>
  <si>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</si>
  <si>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</si>
  <si>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</si>
  <si>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</si>
  <si>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</si>
  <si>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</si>
  <si>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</si>
  <si>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</si>
  <si>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</si>
  <si>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</si>
  <si>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</si>
  <si>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</si>
  <si>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</si>
  <si>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</si>
  <si>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</si>
  <si>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</si>
  <si>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</si>
  <si>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</si>
  <si>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</si>
  <si>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</si>
  <si>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</si>
  <si>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</si>
  <si>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</si>
  <si>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</si>
  <si>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</si>
  <si>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</si>
  <si>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</si>
  <si>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</si>
  <si>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</si>
  <si>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</si>
  <si>
    <t>2/29/2025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</si>
</sst>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9"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6"/>
  <sheetViews>
    <sheetView showGridLines="0" tabSelected="1" zoomScale="80" zoomScaleNormal="80" workbookViewId="0">
      <selection activeCell="K9" sqref="K9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2024</v>
      </c>
      <c r="F3" s="128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25">
      <c r="A5" s="10" t="s">
        <v>2</v>
      </c>
      <c r="B5" s="11"/>
      <c r="C5" s="9"/>
      <c r="D5" s="9"/>
      <c r="E5" s="9"/>
      <c r="F5" s="129"/>
    </row>
    <row r="6" spans="1:73" x14ac:dyDescent="0.25">
      <c r="A6" s="10" t="s">
        <v>95</v>
      </c>
      <c r="B6" s="6" t="s">
        <v>96</v>
      </c>
      <c r="C6" s="9"/>
      <c r="D6" s="9"/>
      <c r="E6" s="113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2"/>
      <c r="C7" s="111"/>
      <c r="D7" s="111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4"/>
      <c r="E9" s="120" t="s">
        <v>4</v>
      </c>
      <c r="F9" s="120" t="s">
        <v>5</v>
      </c>
      <c r="G9" s="121" t="s">
        <v>6</v>
      </c>
    </row>
    <row r="10" spans="1:73" ht="15.75" thickBot="1" x14ac:dyDescent="0.3">
      <c r="A10" s="126" t="s">
        <v>7</v>
      </c>
      <c r="B10" s="127" t="e">
        <f>B9/C4</f>
        <v>#DIV/0!</v>
      </c>
      <c r="D10" s="122" t="s">
        <v>8</v>
      </c>
      <c r="E10" s="115"/>
      <c r="F10" s="115"/>
      <c r="G10" s="116"/>
      <c r="BS10" s="67" t="s">
        <v>9</v>
      </c>
    </row>
    <row r="11" spans="1:73" ht="16.5" thickBot="1" x14ac:dyDescent="0.3">
      <c r="A11" s="124" t="s">
        <v>10</v>
      </c>
      <c r="B11" s="125">
        <f ca="1">SUMIFS(J12:BQ12,J13:BQ13,"&lt;="&amp;TODAY())</f>
        <v>0</v>
      </c>
      <c r="D11" s="122" t="s">
        <v>11</v>
      </c>
      <c r="E11" s="115">
        <f ca="1">SUM(J11:X11,Y12:AM12)</f>
        <v>0</v>
      </c>
      <c r="F11" s="115">
        <f ca="1">SUM(AN12:BQ12)</f>
        <v>0</v>
      </c>
      <c r="G11" s="116">
        <f ca="1">SUM(J11:X11,Y12:BQ12)</f>
        <v>0</v>
      </c>
      <c r="H11" s="136" t="s">
        <v>12</v>
      </c>
      <c r="I11" s="137"/>
      <c r="J11" s="130" cm="1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31"/>
      <c r="L11" s="131"/>
      <c r="M11" s="131"/>
      <c r="N11" s="132"/>
      <c r="O11" s="130" cm="1">
        <f t="array" aca="1" ref="O11" ca="1">SUM(R15:R25)+SUM(_xlfn._xlws.FILTER(Q15:Q25,R15:R25=""))+SUM(_xlfn._xlws.FILTER(P15:P25,(Q15:Q25="")*(R15:R25="")))+SUMIFS(S15:S25,R15:R25,"&lt;&gt;"&amp;"",$L$15:$L$25,"&lt;&gt;"&amp;"")+SUM(O15:O25)</f>
        <v>0</v>
      </c>
      <c r="P11" s="131"/>
      <c r="Q11" s="131"/>
      <c r="R11" s="131"/>
      <c r="S11" s="132"/>
      <c r="T11" s="130" cm="1">
        <f t="array" aca="1" ref="T11" ca="1">SUM(W15:W25)+SUM(_xlfn._xlws.FILTER(V15:V25,W15:W25=""))+SUM(_xlfn._xlws.FILTER(U15:U25,(V15:V25="")*(W15:W25="")))+SUMIFS(X15:X25,W15:W25,"&lt;&gt;"&amp;"",$L$15:$L$25,"&lt;&gt;"&amp;"")+SUM(T15:T25)</f>
        <v>0</v>
      </c>
      <c r="U11" s="131"/>
      <c r="V11" s="131"/>
      <c r="W11" s="131"/>
      <c r="X11" s="132"/>
      <c r="Y11" s="130" cm="1">
        <f t="array" aca="1" ref="Y11" ca="1">SUM(AB15:AB25)+SUM(_xlfn._xlws.FILTER(AA15:AA25,AB15:AB25=""))+SUM(_xlfn._xlws.FILTER(Z15:Z25,(AA15:AA25="")*(AB15:AB25="")))+SUMIFS(AC15:AC25,AB15:AB25,"&lt;&gt;"&amp;"",$L$15:$L$25,"&lt;&gt;"&amp;"")+SUM(Y15:Y25)</f>
        <v>0</v>
      </c>
      <c r="Z11" s="131"/>
      <c r="AA11" s="131"/>
      <c r="AB11" s="131"/>
      <c r="AC11" s="132"/>
      <c r="AD11" s="130" cm="1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0</v>
      </c>
      <c r="AE11" s="131"/>
      <c r="AF11" s="131"/>
      <c r="AG11" s="131"/>
      <c r="AH11" s="132"/>
      <c r="AI11" s="130" cm="1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0</v>
      </c>
      <c r="AJ11" s="131"/>
      <c r="AK11" s="131"/>
      <c r="AL11" s="131"/>
      <c r="AM11" s="132"/>
      <c r="AN11" s="130" cm="1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0</v>
      </c>
      <c r="AO11" s="131"/>
      <c r="AP11" s="131"/>
      <c r="AQ11" s="131"/>
      <c r="AR11" s="132"/>
      <c r="AS11" s="130" cm="1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0</v>
      </c>
      <c r="AT11" s="131"/>
      <c r="AU11" s="131"/>
      <c r="AV11" s="131"/>
      <c r="AW11" s="132"/>
      <c r="AX11" s="130" cm="1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0</v>
      </c>
      <c r="AY11" s="131"/>
      <c r="AZ11" s="131"/>
      <c r="BA11" s="131"/>
      <c r="BB11" s="132"/>
      <c r="BC11" s="130" cm="1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0</v>
      </c>
      <c r="BD11" s="131"/>
      <c r="BE11" s="131"/>
      <c r="BF11" s="131"/>
      <c r="BG11" s="132"/>
      <c r="BH11" s="130" cm="1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0</v>
      </c>
      <c r="BI11" s="131"/>
      <c r="BJ11" s="131"/>
      <c r="BK11" s="131"/>
      <c r="BL11" s="132"/>
      <c r="BM11" s="130" cm="1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0</v>
      </c>
      <c r="BN11" s="131"/>
      <c r="BO11" s="131"/>
      <c r="BP11" s="131"/>
      <c r="BQ11" s="132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9">
        <f ca="1">C4-B11</f>
        <v>0</v>
      </c>
      <c r="D12" s="123" t="s">
        <v>15</v>
      </c>
      <c r="E12" s="117">
        <f ca="1">E11-E10</f>
        <v>0</v>
      </c>
      <c r="F12" s="117">
        <f t="shared" ref="F12:G12" ca="1" si="0">F11-F10</f>
        <v>0</v>
      </c>
      <c r="G12" s="118">
        <f t="shared" ca="1" si="0"/>
        <v>0</v>
      </c>
      <c r="H12" s="138" t="s">
        <v>16</v>
      </c>
      <c r="I12" s="139"/>
      <c r="J12" s="130" cm="1">
        <f t="array" aca="1" ref="J12" ca="1">SUM(M15:M25)+SUM(_xlfn._xlws.FILTER(L15:L25,M15:M25=""))+SUM(_xlfn._xlws.FILTER(K15:K25,(L15:L25="")*(M15:M25="")))</f>
        <v>0</v>
      </c>
      <c r="K12" s="131"/>
      <c r="L12" s="131"/>
      <c r="M12" s="131"/>
      <c r="N12" s="132"/>
      <c r="O12" s="130" cm="1">
        <f t="array" aca="1" ref="O12" ca="1">SUM(R15:R25)+SUM(_xlfn._xlws.FILTER(Q15:Q25,R15:R25=""))+SUM(_xlfn._xlws.FILTER(P15:P25,(Q15:Q25="")*(R15:R25="")))</f>
        <v>0</v>
      </c>
      <c r="P12" s="131"/>
      <c r="Q12" s="131"/>
      <c r="R12" s="131"/>
      <c r="S12" s="132"/>
      <c r="T12" s="130" cm="1">
        <f t="array" aca="1" ref="T12" ca="1">SUM(W15:W25)+SUM(_xlfn._xlws.FILTER(V15:V25,W15:W25=""))+SUM(_xlfn._xlws.FILTER(U15:U25,(V15:V25="")*(W15:W25="")))</f>
        <v>0</v>
      </c>
      <c r="U12" s="131"/>
      <c r="V12" s="131"/>
      <c r="W12" s="131"/>
      <c r="X12" s="132"/>
      <c r="Y12" s="130" cm="1">
        <f t="array" aca="1" ref="Y12" ca="1">SUM(AB15:AB25)+SUM(_xlfn._xlws.FILTER(AA15:AA25,AB15:AB25=""))+SUM(_xlfn._xlws.FILTER(Z15:Z25,(AA15:AA25="")*(AB15:AB25="")))</f>
        <v>0</v>
      </c>
      <c r="Z12" s="131"/>
      <c r="AA12" s="131"/>
      <c r="AB12" s="131"/>
      <c r="AC12" s="132"/>
      <c r="AD12" s="130" cm="1">
        <f t="array" aca="1" ref="AD12" ca="1">SUM(AG15:AG25)+SUM(_xlfn._xlws.FILTER(AF15:AF25,AG15:AG25=""))+SUM(_xlfn._xlws.FILTER(AE15:AE25,(AF15:AF25="")*(AG15:AG25="")))</f>
        <v>0</v>
      </c>
      <c r="AE12" s="131"/>
      <c r="AF12" s="131"/>
      <c r="AG12" s="131"/>
      <c r="AH12" s="132"/>
      <c r="AI12" s="130" cm="1">
        <f t="array" aca="1" ref="AI12" ca="1">SUM(AL15:AL25)+SUM(_xlfn._xlws.FILTER(AK15:AK25,AL15:AL25=""))+SUM(_xlfn._xlws.FILTER(AJ15:AJ25,(AK15:AK25="")*(AL15:AL25="")))</f>
        <v>0</v>
      </c>
      <c r="AJ12" s="131"/>
      <c r="AK12" s="131"/>
      <c r="AL12" s="131"/>
      <c r="AM12" s="132"/>
      <c r="AN12" s="130" cm="1">
        <f t="array" aca="1" ref="AN12" ca="1">SUM(AQ15:AQ25)+SUM(_xlfn._xlws.FILTER(AP15:AP25,AQ15:AQ25=""))+SUM(_xlfn._xlws.FILTER(AO15:AO25,(AP15:AP25="")*(AQ15:AQ25="")))</f>
        <v>0</v>
      </c>
      <c r="AO12" s="131"/>
      <c r="AP12" s="131"/>
      <c r="AQ12" s="131"/>
      <c r="AR12" s="132"/>
      <c r="AS12" s="130" cm="1">
        <f t="array" aca="1" ref="AS12" ca="1">SUM(AV15:AV25)+SUM(_xlfn._xlws.FILTER(AU15:AU25,AV15:AV25=""))+SUM(_xlfn._xlws.FILTER(AT15:AT25,(AU15:AU25="")*(AV15:AV25="")))</f>
        <v>0</v>
      </c>
      <c r="AT12" s="131"/>
      <c r="AU12" s="131"/>
      <c r="AV12" s="131"/>
      <c r="AW12" s="132"/>
      <c r="AX12" s="130" cm="1">
        <f t="array" aca="1" ref="AX12" ca="1">SUM(BA15:BA25)+SUM(_xlfn._xlws.FILTER(AZ15:AZ25,BA15:BA25=""))+SUM(_xlfn._xlws.FILTER(AY15:AY25,(AZ15:AZ25="")*(BA15:BA25="")))</f>
        <v>0</v>
      </c>
      <c r="AY12" s="131"/>
      <c r="AZ12" s="131"/>
      <c r="BA12" s="131"/>
      <c r="BB12" s="132"/>
      <c r="BC12" s="130" cm="1">
        <f t="array" aca="1" ref="BC12" ca="1">SUM(BF15:BF25)+SUM(_xlfn._xlws.FILTER(BE15:BE25,BF15:BF25=""))+SUM(_xlfn._xlws.FILTER(BD15:BD25,(BE15:BE25="")*(BF15:BF25="")))</f>
        <v>0</v>
      </c>
      <c r="BD12" s="131"/>
      <c r="BE12" s="131"/>
      <c r="BF12" s="131"/>
      <c r="BG12" s="132"/>
      <c r="BH12" s="130" cm="1">
        <f t="array" aca="1" ref="BH12" ca="1">SUM(BK15:BK25)+SUM(_xlfn._xlws.FILTER(BJ15:BJ25,BK15:BK25=""))+SUM(_xlfn._xlws.FILTER(BI15:BI25,(BJ15:BJ25="")*(BK15:BK25="")))</f>
        <v>0</v>
      </c>
      <c r="BI12" s="131"/>
      <c r="BJ12" s="131"/>
      <c r="BK12" s="131"/>
      <c r="BL12" s="132"/>
      <c r="BM12" s="130" cm="1">
        <f t="array" aca="1" ref="BM12" ca="1">SUM(BP15:BP25)+SUM(_xlfn._xlws.FILTER(BO15:BO25,BP15:BP25=""))+SUM(_xlfn._xlws.FILTER(BN15:BN25,(BO15:BO25="")*(BP15:BP25="")))</f>
        <v>0</v>
      </c>
      <c r="BN12" s="131"/>
      <c r="BO12" s="131"/>
      <c r="BP12" s="131"/>
      <c r="BQ12" s="132"/>
      <c r="BR12" s="21"/>
      <c r="BS12" s="22"/>
    </row>
    <row r="13" spans="1:73" ht="16.5" thickBot="1" x14ac:dyDescent="0.3">
      <c r="A13" s="23" t="s">
        <v>17</v>
      </c>
      <c r="H13" s="140" t="s">
        <v>18</v>
      </c>
      <c r="I13" s="141"/>
      <c r="J13" s="133">
        <v>45688</v>
      </c>
      <c r="K13" s="134" t="s">
        <v>19</v>
      </c>
      <c r="L13" s="134"/>
      <c r="M13" s="134"/>
      <c r="N13" s="134"/>
      <c r="O13" s="133" t="s">
        <v>97</v>
      </c>
      <c r="P13" s="134"/>
      <c r="Q13" s="134"/>
      <c r="R13" s="134"/>
      <c r="S13" s="135"/>
      <c r="T13" s="133">
        <v>45747</v>
      </c>
      <c r="U13" s="134" t="s">
        <v>20</v>
      </c>
      <c r="V13" s="134"/>
      <c r="W13" s="134"/>
      <c r="X13" s="135"/>
      <c r="Y13" s="133">
        <v>45777</v>
      </c>
      <c r="Z13" s="134" t="s">
        <v>21</v>
      </c>
      <c r="AA13" s="134"/>
      <c r="AB13" s="134"/>
      <c r="AC13" s="135"/>
      <c r="AD13" s="133">
        <v>45808</v>
      </c>
      <c r="AE13" s="134" t="s">
        <v>22</v>
      </c>
      <c r="AF13" s="134"/>
      <c r="AG13" s="134"/>
      <c r="AH13" s="135"/>
      <c r="AI13" s="133">
        <v>45838</v>
      </c>
      <c r="AJ13" s="134" t="s">
        <v>23</v>
      </c>
      <c r="AK13" s="134"/>
      <c r="AL13" s="134"/>
      <c r="AM13" s="135"/>
      <c r="AN13" s="133">
        <v>45869</v>
      </c>
      <c r="AO13" s="134" t="s">
        <v>24</v>
      </c>
      <c r="AP13" s="134"/>
      <c r="AQ13" s="134"/>
      <c r="AR13" s="135"/>
      <c r="AS13" s="133">
        <v>45900</v>
      </c>
      <c r="AT13" s="134" t="s">
        <v>25</v>
      </c>
      <c r="AU13" s="134"/>
      <c r="AV13" s="134"/>
      <c r="AW13" s="135"/>
      <c r="AX13" s="133">
        <v>45930</v>
      </c>
      <c r="AY13" s="134" t="s">
        <v>26</v>
      </c>
      <c r="AZ13" s="134"/>
      <c r="BA13" s="134"/>
      <c r="BB13" s="135"/>
      <c r="BC13" s="133">
        <v>45961</v>
      </c>
      <c r="BD13" s="134" t="s">
        <v>27</v>
      </c>
      <c r="BE13" s="134"/>
      <c r="BF13" s="134"/>
      <c r="BG13" s="135"/>
      <c r="BH13" s="133">
        <v>45991</v>
      </c>
      <c r="BI13" s="134" t="s">
        <v>28</v>
      </c>
      <c r="BJ13" s="134"/>
      <c r="BK13" s="134"/>
      <c r="BL13" s="135"/>
      <c r="BM13" s="133">
        <v>46022</v>
      </c>
      <c r="BN13" s="134" t="s">
        <v>29</v>
      </c>
      <c r="BO13" s="134"/>
      <c r="BP13" s="134"/>
      <c r="BQ13" s="135"/>
      <c r="BR13" s="24">
        <f>SUM(BR15:BR24)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39"/>
      <c r="B15" s="40"/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44"/>
      <c r="N15" s="44">
        <f>L15-M15</f>
        <v>0</v>
      </c>
      <c r="O15" s="43"/>
      <c r="P15" s="41"/>
      <c r="Q15" s="41"/>
      <c r="R15" s="44"/>
      <c r="S15" s="45">
        <f t="shared" ref="S15:S20" si="1">Q15-R15</f>
        <v>0</v>
      </c>
      <c r="T15" s="46"/>
      <c r="U15" s="41"/>
      <c r="V15" s="41"/>
      <c r="W15" s="44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3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25">
      <c r="A16" s="47"/>
      <c r="B16" s="48"/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ref="N16:N20" si="4">L16-M16</f>
        <v>0</v>
      </c>
      <c r="O16" s="51"/>
      <c r="P16" s="49"/>
      <c r="Q16" s="49"/>
      <c r="R16" s="52"/>
      <c r="S16" s="53">
        <f t="shared" si="1"/>
        <v>0</v>
      </c>
      <c r="T16" s="54"/>
      <c r="U16" s="49"/>
      <c r="V16" s="49"/>
      <c r="W16" s="52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2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52"/>
      <c r="N17" s="52">
        <f t="shared" si="4"/>
        <v>0</v>
      </c>
      <c r="O17" s="55"/>
      <c r="P17" s="49"/>
      <c r="Q17" s="49"/>
      <c r="R17" s="52"/>
      <c r="S17" s="53">
        <f t="shared" si="1"/>
        <v>0</v>
      </c>
      <c r="T17" s="54"/>
      <c r="U17" s="49"/>
      <c r="V17" s="49"/>
      <c r="W17" s="57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2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52"/>
      <c r="N18" s="52">
        <f t="shared" si="4"/>
        <v>0</v>
      </c>
      <c r="O18" s="51"/>
      <c r="P18" s="49"/>
      <c r="Q18" s="49"/>
      <c r="R18" s="52"/>
      <c r="S18" s="53">
        <f t="shared" si="1"/>
        <v>0</v>
      </c>
      <c r="T18" s="54"/>
      <c r="U18" s="49"/>
      <c r="V18" s="49"/>
      <c r="W18" s="52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2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52"/>
      <c r="N19" s="52">
        <f t="shared" si="4"/>
        <v>0</v>
      </c>
      <c r="O19" s="51"/>
      <c r="P19" s="49"/>
      <c r="Q19" s="49"/>
      <c r="R19" s="52"/>
      <c r="S19" s="53">
        <f t="shared" si="1"/>
        <v>0</v>
      </c>
      <c r="T19" s="54"/>
      <c r="U19" s="49"/>
      <c r="V19" s="49"/>
      <c r="W19" s="52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2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52"/>
      <c r="S20" s="53">
        <f t="shared" si="1"/>
        <v>0</v>
      </c>
      <c r="T20" s="54"/>
      <c r="U20" s="49"/>
      <c r="V20" s="49"/>
      <c r="W20" s="52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x14ac:dyDescent="0.25">
      <c r="A21" s="47"/>
      <c r="B21" s="48"/>
      <c r="C21" s="72"/>
      <c r="D21" s="72"/>
      <c r="E21" s="48"/>
      <c r="F21" s="48"/>
      <c r="G21" s="49"/>
      <c r="H21" s="48"/>
      <c r="I21" s="50"/>
      <c r="J21" s="51"/>
      <c r="K21" s="49"/>
      <c r="L21" s="49"/>
      <c r="M21" s="52"/>
      <c r="N21" s="52"/>
      <c r="O21" s="51"/>
      <c r="P21" s="49"/>
      <c r="Q21" s="49"/>
      <c r="R21" s="52"/>
      <c r="S21" s="53"/>
      <c r="T21" s="54"/>
      <c r="U21" s="49"/>
      <c r="V21" s="49"/>
      <c r="W21" s="52"/>
      <c r="X21" s="53"/>
      <c r="Y21" s="54"/>
      <c r="Z21" s="49"/>
      <c r="AA21" s="49"/>
      <c r="AB21" s="52"/>
      <c r="AC21" s="53"/>
      <c r="AD21" s="54"/>
      <c r="AE21" s="49"/>
      <c r="AF21" s="49"/>
      <c r="AG21" s="52"/>
      <c r="AH21" s="53"/>
      <c r="AI21" s="54"/>
      <c r="AJ21" s="49"/>
      <c r="AK21" s="49"/>
      <c r="AL21" s="52"/>
      <c r="AM21" s="53"/>
      <c r="AN21" s="54"/>
      <c r="AO21" s="49"/>
      <c r="AP21" s="49"/>
      <c r="AQ21" s="52"/>
      <c r="AR21" s="53"/>
      <c r="AS21" s="54"/>
      <c r="AT21" s="49"/>
      <c r="AU21" s="49"/>
      <c r="AV21" s="52"/>
      <c r="AW21" s="53"/>
      <c r="AX21" s="54"/>
      <c r="AY21" s="49"/>
      <c r="AZ21" s="49"/>
      <c r="BA21" s="52"/>
      <c r="BB21" s="53"/>
      <c r="BC21" s="54"/>
      <c r="BD21" s="49"/>
      <c r="BE21" s="49"/>
      <c r="BF21" s="52"/>
      <c r="BG21" s="53"/>
      <c r="BH21" s="54"/>
      <c r="BI21" s="49"/>
      <c r="BJ21" s="49"/>
      <c r="BK21" s="52"/>
      <c r="BL21" s="53"/>
      <c r="BM21" s="54"/>
      <c r="BN21" s="49"/>
      <c r="BO21" s="49"/>
      <c r="BP21" s="52"/>
      <c r="BQ21" s="53"/>
      <c r="BR21" s="51"/>
      <c r="BS21" s="73"/>
      <c r="BT21" s="74"/>
    </row>
    <row r="22" spans="1:72" s="67" customFormat="1" x14ac:dyDescent="0.25">
      <c r="A22" s="100" t="s">
        <v>90</v>
      </c>
      <c r="B22" s="101"/>
      <c r="C22" s="102"/>
      <c r="D22" s="102"/>
      <c r="E22" s="101"/>
      <c r="F22" s="101"/>
      <c r="G22" s="103"/>
      <c r="H22" s="101"/>
      <c r="I22" s="104"/>
      <c r="J22" s="105"/>
      <c r="K22" s="103"/>
      <c r="L22" s="103"/>
      <c r="M22" s="106"/>
      <c r="N22" s="106" t="str">
        <f>IF(OR(L22="",M22=""),"",L22-M22)</f>
        <v/>
      </c>
      <c r="O22" s="105"/>
      <c r="P22" s="103"/>
      <c r="Q22" s="103"/>
      <c r="R22" s="106"/>
      <c r="S22" s="107"/>
      <c r="T22" s="108"/>
      <c r="U22" s="103"/>
      <c r="V22" s="103"/>
      <c r="W22" s="106"/>
      <c r="X22" s="107"/>
      <c r="Y22" s="108"/>
      <c r="Z22" s="103"/>
      <c r="AA22" s="103"/>
      <c r="AB22" s="106"/>
      <c r="AC22" s="107" t="str">
        <f t="shared" ref="AC22:AC24" si="14">IF(OR(AA22="",AB22=""),"",AA22-AB22)</f>
        <v/>
      </c>
      <c r="AD22" s="108"/>
      <c r="AE22" s="103"/>
      <c r="AF22" s="103"/>
      <c r="AG22" s="106"/>
      <c r="AH22" s="107" t="str">
        <f t="shared" ref="AH22:AH24" si="15">IF(OR(AF22="",AG22=""),"",AF22-AG22)</f>
        <v/>
      </c>
      <c r="AI22" s="108"/>
      <c r="AJ22" s="103"/>
      <c r="AK22" s="103"/>
      <c r="AL22" s="106"/>
      <c r="AM22" s="107" t="str">
        <f t="shared" ref="AM22:AM24" si="16">IF(OR(AK22="",AL22=""),"",AK22-AL22)</f>
        <v/>
      </c>
      <c r="AN22" s="108"/>
      <c r="AO22" s="103"/>
      <c r="AP22" s="103"/>
      <c r="AQ22" s="106"/>
      <c r="AR22" s="107" t="str">
        <f t="shared" ref="AR22:AR24" si="17">IF(OR(AP22="",AQ22=""),"",AP22-AQ22)</f>
        <v/>
      </c>
      <c r="AS22" s="108"/>
      <c r="AT22" s="103"/>
      <c r="AU22" s="103"/>
      <c r="AV22" s="106"/>
      <c r="AW22" s="107" t="str">
        <f t="shared" ref="AW22:AW24" si="18">IF(OR(AU22="",AV22=""),"",AU22-AV22)</f>
        <v/>
      </c>
      <c r="AX22" s="108"/>
      <c r="AY22" s="103"/>
      <c r="AZ22" s="103"/>
      <c r="BA22" s="106"/>
      <c r="BB22" s="107" t="str">
        <f t="shared" ref="BB22:BB24" si="19">IF(OR(AZ22="",BA22=""),"",AZ22-BA22)</f>
        <v/>
      </c>
      <c r="BC22" s="108"/>
      <c r="BD22" s="103"/>
      <c r="BE22" s="103"/>
      <c r="BF22" s="106"/>
      <c r="BG22" s="107" t="str">
        <f t="shared" ref="BG22:BG24" si="20">IF(OR(BE22="",BF22=""),"",BE22-BF22)</f>
        <v/>
      </c>
      <c r="BH22" s="108"/>
      <c r="BI22" s="103"/>
      <c r="BJ22" s="103"/>
      <c r="BK22" s="106"/>
      <c r="BL22" s="107" t="str">
        <f t="shared" ref="BL22:BL24" si="21">IF(OR(BJ22="",BK22=""),"",BJ22-BK22)</f>
        <v/>
      </c>
      <c r="BM22" s="108"/>
      <c r="BN22" s="103"/>
      <c r="BO22" s="103"/>
      <c r="BP22" s="106"/>
      <c r="BQ22" s="107" t="str">
        <f t="shared" ref="BQ22:BQ24" si="22">IF(OR(BO22="",BP22=""),"",BO22-BP22)</f>
        <v/>
      </c>
      <c r="BR22" s="105">
        <f t="shared" si="3"/>
        <v>0</v>
      </c>
      <c r="BS22" s="109"/>
      <c r="BT22" s="110"/>
    </row>
    <row r="23" spans="1:72" s="87" customFormat="1" x14ac:dyDescent="0.25">
      <c r="A23" s="76" t="s">
        <v>91</v>
      </c>
      <c r="B23" s="77" t="s">
        <v>92</v>
      </c>
      <c r="C23" s="78"/>
      <c r="D23" s="78"/>
      <c r="E23" s="77"/>
      <c r="F23" s="77"/>
      <c r="G23" s="77"/>
      <c r="H23" s="77"/>
      <c r="I23" s="79"/>
      <c r="J23" s="80"/>
      <c r="K23" s="81"/>
      <c r="L23" s="81"/>
      <c r="M23" s="82"/>
      <c r="N23" s="82" t="str">
        <f>IF(OR(L23="",M23=""),"",L23-M23)</f>
        <v/>
      </c>
      <c r="O23" s="80"/>
      <c r="P23" s="81"/>
      <c r="Q23" s="81"/>
      <c r="R23" s="82"/>
      <c r="S23" s="83" t="str">
        <f t="shared" ref="S22:S24" si="23">IF(OR(Q23="",R23=""),"",Q23-R23)</f>
        <v/>
      </c>
      <c r="T23" s="84"/>
      <c r="U23" s="81"/>
      <c r="V23" s="81"/>
      <c r="W23" s="82"/>
      <c r="X23" s="83" t="str">
        <f t="shared" ref="X23:X24" si="24">IF(OR(V23="",W23=""),"",V23-W23)</f>
        <v/>
      </c>
      <c r="Y23" s="84"/>
      <c r="Z23" s="81"/>
      <c r="AA23" s="81"/>
      <c r="AB23" s="82"/>
      <c r="AC23" s="83" t="str">
        <f t="shared" si="14"/>
        <v/>
      </c>
      <c r="AD23" s="84"/>
      <c r="AE23" s="81"/>
      <c r="AF23" s="81"/>
      <c r="AG23" s="82"/>
      <c r="AH23" s="83" t="str">
        <f t="shared" si="15"/>
        <v/>
      </c>
      <c r="AI23" s="84"/>
      <c r="AJ23" s="81"/>
      <c r="AK23" s="81"/>
      <c r="AL23" s="82"/>
      <c r="AM23" s="83" t="str">
        <f t="shared" si="16"/>
        <v/>
      </c>
      <c r="AN23" s="84"/>
      <c r="AO23" s="81"/>
      <c r="AP23" s="81"/>
      <c r="AQ23" s="82"/>
      <c r="AR23" s="83" t="str">
        <f t="shared" si="17"/>
        <v/>
      </c>
      <c r="AS23" s="84"/>
      <c r="AT23" s="81"/>
      <c r="AU23" s="81"/>
      <c r="AV23" s="82"/>
      <c r="AW23" s="83" t="str">
        <f t="shared" si="18"/>
        <v/>
      </c>
      <c r="AX23" s="84"/>
      <c r="AY23" s="81"/>
      <c r="AZ23" s="81"/>
      <c r="BA23" s="82"/>
      <c r="BB23" s="83" t="str">
        <f t="shared" si="19"/>
        <v/>
      </c>
      <c r="BC23" s="84"/>
      <c r="BD23" s="81"/>
      <c r="BE23" s="81"/>
      <c r="BF23" s="82"/>
      <c r="BG23" s="83" t="str">
        <f t="shared" si="20"/>
        <v/>
      </c>
      <c r="BH23" s="84"/>
      <c r="BI23" s="81"/>
      <c r="BJ23" s="81"/>
      <c r="BK23" s="82"/>
      <c r="BL23" s="83" t="str">
        <f t="shared" si="21"/>
        <v/>
      </c>
      <c r="BM23" s="84"/>
      <c r="BN23" s="81"/>
      <c r="BO23" s="81"/>
      <c r="BP23" s="82"/>
      <c r="BQ23" s="83" t="str">
        <f t="shared" si="22"/>
        <v/>
      </c>
      <c r="BR23" s="80">
        <f t="shared" si="3"/>
        <v>0</v>
      </c>
      <c r="BS23" s="85"/>
      <c r="BT23" s="86"/>
    </row>
    <row r="24" spans="1:72" x14ac:dyDescent="0.25">
      <c r="A24" s="88"/>
      <c r="B24" s="89"/>
      <c r="C24" s="90"/>
      <c r="D24" s="90"/>
      <c r="E24" s="89"/>
      <c r="F24" s="89"/>
      <c r="G24" s="89"/>
      <c r="H24" s="89"/>
      <c r="I24" s="91"/>
      <c r="J24" s="92"/>
      <c r="K24" s="93"/>
      <c r="L24" s="93"/>
      <c r="M24" s="52"/>
      <c r="N24" s="52" t="str">
        <f t="shared" ref="N24:N25" si="25">IF(OR(L24="",M24=""),"",L24-M24)</f>
        <v/>
      </c>
      <c r="O24" s="92"/>
      <c r="P24" s="93"/>
      <c r="Q24" s="93"/>
      <c r="R24" s="52"/>
      <c r="S24" s="53" t="str">
        <f t="shared" si="23"/>
        <v/>
      </c>
      <c r="T24" s="58"/>
      <c r="U24" s="93"/>
      <c r="V24" s="93"/>
      <c r="W24" s="52"/>
      <c r="X24" s="53" t="str">
        <f t="shared" si="24"/>
        <v/>
      </c>
      <c r="Y24" s="58"/>
      <c r="Z24" s="93"/>
      <c r="AA24" s="93"/>
      <c r="AB24" s="52"/>
      <c r="AC24" s="53" t="str">
        <f t="shared" si="14"/>
        <v/>
      </c>
      <c r="AD24" s="58"/>
      <c r="AE24" s="93"/>
      <c r="AF24" s="93"/>
      <c r="AG24" s="52"/>
      <c r="AH24" s="53" t="str">
        <f t="shared" si="15"/>
        <v/>
      </c>
      <c r="AI24" s="58"/>
      <c r="AJ24" s="93"/>
      <c r="AK24" s="93"/>
      <c r="AL24" s="52"/>
      <c r="AM24" s="53" t="str">
        <f t="shared" si="16"/>
        <v/>
      </c>
      <c r="AN24" s="58"/>
      <c r="AO24" s="93"/>
      <c r="AP24" s="93"/>
      <c r="AQ24" s="52"/>
      <c r="AR24" s="53" t="str">
        <f t="shared" si="17"/>
        <v/>
      </c>
      <c r="AS24" s="58"/>
      <c r="AT24" s="93"/>
      <c r="AU24" s="93"/>
      <c r="AV24" s="52"/>
      <c r="AW24" s="53" t="str">
        <f t="shared" si="18"/>
        <v/>
      </c>
      <c r="AX24" s="58"/>
      <c r="AY24" s="93"/>
      <c r="AZ24" s="93"/>
      <c r="BA24" s="52"/>
      <c r="BB24" s="53" t="str">
        <f t="shared" si="19"/>
        <v/>
      </c>
      <c r="BC24" s="58"/>
      <c r="BD24" s="93"/>
      <c r="BE24" s="93"/>
      <c r="BF24" s="52"/>
      <c r="BG24" s="53" t="str">
        <f t="shared" si="20"/>
        <v/>
      </c>
      <c r="BH24" s="58"/>
      <c r="BI24" s="93"/>
      <c r="BJ24" s="93"/>
      <c r="BK24" s="52"/>
      <c r="BL24" s="53" t="str">
        <f t="shared" si="21"/>
        <v/>
      </c>
      <c r="BM24" s="58"/>
      <c r="BN24" s="93"/>
      <c r="BO24" s="93"/>
      <c r="BP24" s="52"/>
      <c r="BQ24" s="53" t="str">
        <f t="shared" si="22"/>
        <v/>
      </c>
      <c r="BR24" s="51">
        <f t="shared" ref="BR24:BR25" si="26"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4"/>
      <c r="BT24" s="95"/>
    </row>
    <row r="25" spans="1:72" ht="15.75" thickBot="1" x14ac:dyDescent="0.3">
      <c r="A25" s="59" t="s">
        <v>91</v>
      </c>
      <c r="B25" s="60" t="s">
        <v>92</v>
      </c>
      <c r="C25" s="96"/>
      <c r="D25" s="96"/>
      <c r="E25" s="60" t="s">
        <v>92</v>
      </c>
      <c r="F25" s="60"/>
      <c r="G25" s="60"/>
      <c r="H25" s="60"/>
      <c r="I25" s="61"/>
      <c r="J25" s="66"/>
      <c r="K25" s="62"/>
      <c r="L25" s="62"/>
      <c r="M25" s="63">
        <f ca="1">IF((MONTH(TODAY()) + 2)&lt;=1,($BS$13-$BR$13)/(12-(MONTH(TODAY()) + 1)),0)</f>
        <v>0</v>
      </c>
      <c r="N25" s="97" t="str">
        <f t="shared" ca="1" si="25"/>
        <v/>
      </c>
      <c r="O25" s="66"/>
      <c r="P25" s="62"/>
      <c r="Q25" s="62"/>
      <c r="R25" s="63">
        <f ca="1">IF((MONTH(TODAY()) + 2)&lt;=2,($BS$13-$BR$13)/(12-(MONTH(TODAY()) + 1)),0)</f>
        <v>0</v>
      </c>
      <c r="S25" s="64"/>
      <c r="T25" s="65"/>
      <c r="U25" s="62"/>
      <c r="V25" s="62"/>
      <c r="W25" s="63">
        <f ca="1">IF((MONTH(TODAY()) + 2)&lt;=3,($BS$13-$BR$13)/(12-(MONTH(TODAY()) + 1)),0)</f>
        <v>0</v>
      </c>
      <c r="X25" s="64"/>
      <c r="Y25" s="65"/>
      <c r="Z25" s="62"/>
      <c r="AA25" s="62"/>
      <c r="AB25" s="63">
        <f ca="1">IF((MONTH(TODAY()) + 2)&lt;=4,($BS$13-$BR$13)/(12-(MONTH(TODAY()) + 1)),0)</f>
        <v>0</v>
      </c>
      <c r="AC25" s="64"/>
      <c r="AD25" s="65"/>
      <c r="AE25" s="62"/>
      <c r="AF25" s="62"/>
      <c r="AG25" s="63">
        <f ca="1">IF((MONTH(TODAY()) + 2)&lt;=5,($BS$13-$BR$13)/(12-(MONTH(TODAY()) + 1)),0)</f>
        <v>0</v>
      </c>
      <c r="AH25" s="64"/>
      <c r="AI25" s="65"/>
      <c r="AJ25" s="62"/>
      <c r="AK25" s="62"/>
      <c r="AL25" s="63">
        <f ca="1">IF((MONTH(TODAY()) + 2)&lt;=6,($BS$13-$BR$13)/(12-(MONTH(TODAY()) + 1)),0)</f>
        <v>0</v>
      </c>
      <c r="AM25" s="64"/>
      <c r="AN25" s="65"/>
      <c r="AO25" s="62"/>
      <c r="AP25" s="62"/>
      <c r="AQ25" s="63">
        <f ca="1">IF((MONTH(TODAY()) + 2)&lt;=7,($BS$13-$BR$13)/(12-(MONTH(TODAY()) + 1)),0)</f>
        <v>0</v>
      </c>
      <c r="AR25" s="64"/>
      <c r="AS25" s="65"/>
      <c r="AT25" s="62"/>
      <c r="AU25" s="62"/>
      <c r="AV25" s="63">
        <f ca="1">IF((MONTH(TODAY()) + 2)&lt;=8,($BS$13-$BR$13)/(12-(MONTH(TODAY()) + 1)),0)</f>
        <v>0</v>
      </c>
      <c r="AW25" s="64"/>
      <c r="AX25" s="65"/>
      <c r="AY25" s="62"/>
      <c r="AZ25" s="62"/>
      <c r="BA25" s="63">
        <f ca="1">IF((MONTH(TODAY()) + 2)&lt;=9,($BS$13-$BR$13)/(12-(MONTH(TODAY()) + 1)),0)</f>
        <v>0</v>
      </c>
      <c r="BB25" s="64"/>
      <c r="BC25" s="65"/>
      <c r="BD25" s="62"/>
      <c r="BE25" s="62"/>
      <c r="BF25" s="63">
        <f ca="1">IF((MONTH(TODAY()) + 2)&lt;=10,($BS$13-$BR$13)/(12-(MONTH(TODAY()) + 1)),0)</f>
        <v>0</v>
      </c>
      <c r="BG25" s="64"/>
      <c r="BH25" s="65"/>
      <c r="BI25" s="62"/>
      <c r="BJ25" s="62"/>
      <c r="BK25" s="63">
        <f ca="1">IF((MONTH(TODAY()) + 2)&lt;=11,($BS$13-$BR$13)/(12-(MONTH(TODAY()) + 1)),IF(MONTH(TODAY())=11,($BS$13-$BR$13)/2,0))</f>
        <v>0</v>
      </c>
      <c r="BL25" s="64"/>
      <c r="BM25" s="65"/>
      <c r="BN25" s="62"/>
      <c r="BO25" s="62"/>
      <c r="BP25" s="63">
        <f ca="1">IF((MONTH(TODAY()) + 2)&lt;12,($BS$13-$BR$13)/(12-(MONTH(TODAY())+ 1)),IF(MONTH(TODAY())=11,($BS$13-$BR$13)/2,IF(OR(MONTH(TODAY())=10,MONTH(TODAY())=12),($BS$13-$BR$13),0)))</f>
        <v>0</v>
      </c>
      <c r="BQ25" s="64"/>
      <c r="BR25" s="66">
        <f t="shared" ca="1" si="26"/>
        <v>0</v>
      </c>
      <c r="BS25" s="98"/>
      <c r="BT25" s="99"/>
    </row>
    <row r="26" spans="1:72" x14ac:dyDescent="0.25">
      <c r="A26" t="s">
        <v>93</v>
      </c>
      <c r="W26" s="19"/>
    </row>
  </sheetData>
  <mergeCells count="39"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  <mergeCell ref="BC12:BG12"/>
    <mergeCell ref="BH12:BL12"/>
    <mergeCell ref="Y13:AC13"/>
    <mergeCell ref="AD13:AH13"/>
    <mergeCell ref="AI13:AM13"/>
    <mergeCell ref="AN13:AR13"/>
    <mergeCell ref="AS13:AW13"/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</mergeCells>
  <conditionalFormatting sqref="M15:M24 R15:R24 W15:W24 AB15:AB24 AG15:AG24 AL15:AL24 AQ15:AQ24 AV15:AV24 BA15:BA24 BF15:BF24 BK15:BK24 BP15:BP24">
    <cfRule type="expression" dxfId="8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0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6" priority="6" operator="greaterThan">
      <formula>90%*$G$15</formula>
    </cfRule>
  </conditionalFormatting>
  <conditionalFormatting sqref="BR16">
    <cfRule type="cellIs" dxfId="5" priority="5" operator="greaterThan">
      <formula>90%*$G$16</formula>
    </cfRule>
  </conditionalFormatting>
  <conditionalFormatting sqref="BR17">
    <cfRule type="cellIs" dxfId="4" priority="4" operator="greaterThan">
      <formula>90%*$G$17</formula>
    </cfRule>
  </conditionalFormatting>
  <conditionalFormatting sqref="BR18">
    <cfRule type="cellIs" dxfId="3" priority="3" operator="greaterThan">
      <formula>90%*$G$18</formula>
    </cfRule>
  </conditionalFormatting>
  <conditionalFormatting sqref="BR19">
    <cfRule type="cellIs" dxfId="2" priority="2" operator="greaterThan">
      <formula>90%*$G$19</formula>
    </cfRule>
  </conditionalFormatting>
  <conditionalFormatting sqref="BS11:BS12">
    <cfRule type="expression" dxfId="1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2026-01-30T16:14:14Z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