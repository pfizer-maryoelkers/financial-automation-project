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templates/"/>
    </mc:Choice>
  </mc:AlternateContent>
  <xr:revisionPtr revIDLastSave="8" documentId="11_EC0C1E8184384C310684C86B0F34133B239FBAE4" xr6:coauthVersionLast="47" xr6:coauthVersionMax="47" xr10:uidLastSave="{F4A491BB-D6A7-484A-B338-D435C25B1738}"/>
  <bookViews>
    <workbookView xWindow="-120" yWindow="-120" windowWidth="23280" windowHeight="12480" tabRatio="590" xr2:uid="{00000000-000D-0000-FFFF-FFFF00000000}"/>
  </bookViews>
  <sheets>
    <sheet name="Template" sheetId="1" r:id="rId1"/>
    <sheet name="Forecast Source Data" sheetId="2" r:id="rId2"/>
    <sheet name="Transactions Source Data" sheetId="3" r:id="rId3"/>
  </sheets>
  <definedNames>
    <definedName name="_xlnm._FilterDatabase" localSheetId="1" hidden="1">'Forecast Source Data'!$A$1:$BZ$6</definedName>
    <definedName name="_xlnm._FilterDatabase" localSheetId="0" hidden="1">Template!$A$14:$BY$18</definedName>
    <definedName name="_xlnm._FilterDatabase" localSheetId="2" hidden="1">'Transactions Source Data'!$A$1:$AU$56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" l="1"/>
  <c r="K6" i="2"/>
  <c r="J6" i="2"/>
  <c r="I6" i="2"/>
  <c r="H6" i="2"/>
  <c r="G6" i="2"/>
  <c r="F6" i="2"/>
  <c r="E6" i="2"/>
  <c r="D6" i="2"/>
  <c r="C6" i="2"/>
  <c r="B6" i="2"/>
  <c r="BV17" i="1"/>
  <c r="BV13" i="1" s="1"/>
  <c r="BW11" i="1" s="1"/>
  <c r="BU17" i="1"/>
  <c r="BP17" i="1"/>
  <c r="BK17" i="1"/>
  <c r="BF17" i="1"/>
  <c r="BA17" i="1"/>
  <c r="AV17" i="1"/>
  <c r="AQ17" i="1"/>
  <c r="AL17" i="1"/>
  <c r="AG17" i="1"/>
  <c r="R17" i="1"/>
  <c r="BU16" i="1"/>
  <c r="BP16" i="1"/>
  <c r="BK16" i="1"/>
  <c r="BF16" i="1"/>
  <c r="BA16" i="1"/>
  <c r="AV16" i="1"/>
  <c r="AQ16" i="1"/>
  <c r="AL16" i="1"/>
  <c r="AG16" i="1"/>
  <c r="AB16" i="1"/>
  <c r="W16" i="1"/>
  <c r="R16" i="1"/>
  <c r="BU15" i="1"/>
  <c r="BQ11" i="1" s="1" a="1"/>
  <c r="BQ11" i="1" s="1"/>
  <c r="BP15" i="1"/>
  <c r="BK15" i="1"/>
  <c r="BF15" i="1"/>
  <c r="BA15" i="1"/>
  <c r="AW11" i="1" s="1" a="1"/>
  <c r="AW11" i="1" s="1"/>
  <c r="AV15" i="1"/>
  <c r="AQ15" i="1"/>
  <c r="AL15" i="1"/>
  <c r="AG15" i="1"/>
  <c r="AC11" i="1" s="1" a="1"/>
  <c r="AC11" i="1" s="1"/>
  <c r="AB15" i="1"/>
  <c r="W15" i="1"/>
  <c r="R15" i="1"/>
  <c r="K13" i="1"/>
  <c r="BQ12" i="1" a="1"/>
  <c r="BQ12" i="1"/>
  <c r="BL12" i="1" a="1"/>
  <c r="BL12" i="1"/>
  <c r="BG12" i="1" a="1"/>
  <c r="BG12" i="1"/>
  <c r="BB12" i="1" a="1"/>
  <c r="BB12" i="1"/>
  <c r="AW12" i="1" a="1"/>
  <c r="AW12" i="1"/>
  <c r="AR12" i="1" a="1"/>
  <c r="AR12" i="1"/>
  <c r="AM12" i="1" a="1"/>
  <c r="AM12" i="1"/>
  <c r="AH12" i="1" a="1"/>
  <c r="AH12" i="1"/>
  <c r="AC12" i="1" a="1"/>
  <c r="AC12" i="1"/>
  <c r="X12" i="1" a="1"/>
  <c r="X12" i="1"/>
  <c r="S12" i="1" a="1"/>
  <c r="S12" i="1"/>
  <c r="N12" i="1" a="1"/>
  <c r="N12" i="1"/>
  <c r="BL11" i="1" a="1"/>
  <c r="BL11" i="1" s="1"/>
  <c r="BG11" i="1" a="1"/>
  <c r="BG11" i="1"/>
  <c r="BB11" i="1" a="1"/>
  <c r="BB11" i="1" s="1"/>
  <c r="AR11" i="1" a="1"/>
  <c r="AR11" i="1" s="1"/>
  <c r="AM11" i="1" a="1"/>
  <c r="AM11" i="1"/>
  <c r="AH11" i="1" a="1"/>
  <c r="AH11" i="1" s="1"/>
  <c r="X11" i="1" a="1"/>
  <c r="X11" i="1" s="1"/>
  <c r="S11" i="1" a="1"/>
  <c r="S11" i="1"/>
  <c r="N11" i="1" a="1"/>
  <c r="N11" i="1" s="1"/>
  <c r="E6" i="1"/>
  <c r="G3" i="1"/>
</calcChain>
</file>

<file path=xl/sharedStrings.xml><?xml version="1.0" encoding="utf-8"?>
<sst xmlns="http://schemas.openxmlformats.org/spreadsheetml/2006/main" count="1690" uniqueCount="288">
  <si>
    <t xml:space="preserve">Overall Capital </t>
  </si>
  <si>
    <t>N/A</t>
  </si>
  <si>
    <t>Overall Expense</t>
  </si>
  <si>
    <t>WBS code</t>
  </si>
  <si>
    <t xml:space="preserve">P3 ID </t>
  </si>
  <si>
    <t>[Put P3 ID here]</t>
  </si>
  <si>
    <t>Type of Spend</t>
  </si>
  <si>
    <t>Cost Center</t>
  </si>
  <si>
    <t>Open Query</t>
  </si>
  <si>
    <t>2321511/1400</t>
  </si>
  <si>
    <t>Leslie</t>
  </si>
  <si>
    <t>Contingency:</t>
  </si>
  <si>
    <t>2340691/1400</t>
  </si>
  <si>
    <t>Planful Actuals</t>
  </si>
  <si>
    <t>Total:</t>
  </si>
  <si>
    <t>2329948/1400</t>
  </si>
  <si>
    <t>PO TOTAL</t>
  </si>
  <si>
    <t xml:space="preserve">Forecast Spreadsheet Actuals: </t>
  </si>
  <si>
    <t>EXPENSE</t>
  </si>
  <si>
    <t xml:space="preserve">Month: </t>
  </si>
  <si>
    <t>Contact for PO/ER</t>
  </si>
  <si>
    <t>PO Number/
ER Number</t>
  </si>
  <si>
    <t>PO Start Date</t>
  </si>
  <si>
    <t>PO end date</t>
  </si>
  <si>
    <t>Vendor Name</t>
  </si>
  <si>
    <t>WBS</t>
  </si>
  <si>
    <t>G/L Account</t>
  </si>
  <si>
    <t>LE</t>
  </si>
  <si>
    <t>Country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</si>
  <si>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</si>
  <si>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</si>
  <si>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</si>
  <si>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</si>
  <si>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</si>
  <si>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</si>
  <si>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</si>
  <si>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</si>
  <si>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</si>
  <si>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</si>
  <si>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</si>
  <si>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</si>
  <si>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</si>
  <si>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</si>
  <si>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</si>
  <si>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</si>
  <si>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</si>
  <si>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</si>
  <si>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</si>
  <si>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</si>
  <si>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</si>
  <si>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</si>
  <si>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</si>
  <si>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Actual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</si>
  <si>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</si>
  <si>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</si>
  <si>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</si>
  <si>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</si>
  <si>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</si>
  <si>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</si>
  <si>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</si>
  <si>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</si>
  <si>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</si>
  <si>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</si>
  <si>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</si>
  <si>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</si>
  <si>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</si>
  <si>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</si>
  <si>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</si>
  <si>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</si>
  <si>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</si>
  <si>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</si>
  <si>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</si>
  <si>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</si>
  <si>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</si>
  <si>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</si>
  <si>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</si>
  <si>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</si>
  <si>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</si>
  <si>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</si>
  <si>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</si>
  <si>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</si>
  <si>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2026</t>
  </si>
  <si>
    <t>CPA Budget &lt;YEAR&gt;</t>
  </si>
  <si>
    <t>Comments</t>
  </si>
  <si>
    <t>9500879389</t>
  </si>
  <si>
    <t>9500882917</t>
  </si>
  <si>
    <t>Previous Period Invoices</t>
  </si>
  <si>
    <t>EXPENSE END</t>
  </si>
  <si>
    <t>PO #</t>
  </si>
  <si>
    <t>Feb 2025 - FTotal</t>
  </si>
  <si>
    <t>March 2025 - FTotal</t>
  </si>
  <si>
    <t>April 2025 - FTotal</t>
  </si>
  <si>
    <t>May 2025 - FTotal</t>
  </si>
  <si>
    <t>June 2025 - FTotal</t>
  </si>
  <si>
    <t>July 2025 - FTotal</t>
  </si>
  <si>
    <t>Aug 2025 - FTotal</t>
  </si>
  <si>
    <t>Sep 2025 - FTotal</t>
  </si>
  <si>
    <t>Oct 2025 - FTotal</t>
  </si>
  <si>
    <t>Nov 2025 - FTotal</t>
  </si>
  <si>
    <t>Dec 2025 - FTotal</t>
  </si>
  <si>
    <t>Pfizer requested PO</t>
  </si>
  <si>
    <t>IBM PMA</t>
  </si>
  <si>
    <t>PO Owner</t>
  </si>
  <si>
    <t>Work Code</t>
  </si>
  <si>
    <t>Project Name</t>
  </si>
  <si>
    <t>Project Start Date</t>
  </si>
  <si>
    <t>Project End Date</t>
  </si>
  <si>
    <t>Resource Talent Id</t>
  </si>
  <si>
    <t>Resource Name</t>
  </si>
  <si>
    <t>Bill Rate</t>
  </si>
  <si>
    <t>Location</t>
  </si>
  <si>
    <t>Resource Status</t>
  </si>
  <si>
    <t>Forecast Month Hours</t>
  </si>
  <si>
    <t>Forecast Fee $</t>
  </si>
  <si>
    <t>Forecast Expenses $</t>
  </si>
  <si>
    <t>Forecast Total $</t>
  </si>
  <si>
    <t>Actual Month Hours</t>
  </si>
  <si>
    <t>Acual Fee $</t>
  </si>
  <si>
    <t>Actual Expenses $</t>
  </si>
  <si>
    <t>Actual Total $</t>
  </si>
  <si>
    <t>Monthly Hours Variance</t>
  </si>
  <si>
    <t>Hours Billed Flag</t>
  </si>
  <si>
    <t>Forecast Accuracy</t>
  </si>
  <si>
    <t>Expense%</t>
  </si>
  <si>
    <t>Total Forecast Hours 2025</t>
  </si>
  <si>
    <t>Jan 2025 - FFHours</t>
  </si>
  <si>
    <t>Feb 2025 - FHours</t>
  </si>
  <si>
    <t>March 2025 - FHours</t>
  </si>
  <si>
    <t>April 2025 - FHours</t>
  </si>
  <si>
    <t>May 2025 - FHours</t>
  </si>
  <si>
    <t>June 2025 - FHours</t>
  </si>
  <si>
    <t>July 2025 - FHours</t>
  </si>
  <si>
    <t>Aug 2025 - FHours</t>
  </si>
  <si>
    <t>Sep 2025 - FHours</t>
  </si>
  <si>
    <t>Oct 2025 - FHours</t>
  </si>
  <si>
    <t>Nov 2025 - FHours</t>
  </si>
  <si>
    <t>Dec 2025 - FHours</t>
  </si>
  <si>
    <t>2025 Forecast total Fee</t>
  </si>
  <si>
    <t>Jan 2025 - FFee</t>
  </si>
  <si>
    <t>Feb 2025 - FFee</t>
  </si>
  <si>
    <t>March 2025 - FFee</t>
  </si>
  <si>
    <t>April 2025 - FFee</t>
  </si>
  <si>
    <t>May 2025 - FFee</t>
  </si>
  <si>
    <t>June 2025 - FFee</t>
  </si>
  <si>
    <t>July 2025 - FFee</t>
  </si>
  <si>
    <t>Aug 2025 - FFee</t>
  </si>
  <si>
    <t>Sep 2025 - FFee</t>
  </si>
  <si>
    <t>Oct 2025 - FFee</t>
  </si>
  <si>
    <t>Nov 2025 - FFee</t>
  </si>
  <si>
    <t>Dec 2025 - FFee</t>
  </si>
  <si>
    <t>2025 Total Forecast Expenses</t>
  </si>
  <si>
    <t>Jan 2025 - FExpenses</t>
  </si>
  <si>
    <t>Feb 2025 - FExpenses</t>
  </si>
  <si>
    <t>March 2025 - FExpenses</t>
  </si>
  <si>
    <t>April 2025 - FExpenses</t>
  </si>
  <si>
    <t>May 2025 - FExpenses</t>
  </si>
  <si>
    <t>June 2025 - FExpenses</t>
  </si>
  <si>
    <t>July 2025 - FExpenses</t>
  </si>
  <si>
    <t>Aug 2025 - FExpenses</t>
  </si>
  <si>
    <t>Sep 2025 - FExpenses</t>
  </si>
  <si>
    <t>Oct 2025 - FExpenses</t>
  </si>
  <si>
    <t>Nov 2025 - FExpenses</t>
  </si>
  <si>
    <t>Dec 2025 - FExpenses</t>
  </si>
  <si>
    <t>Forecast Total 2025</t>
  </si>
  <si>
    <t>Jan 2025 - FTotal</t>
  </si>
  <si>
    <t>No</t>
  </si>
  <si>
    <t>Ashu</t>
  </si>
  <si>
    <t>Immanual Thomas</t>
  </si>
  <si>
    <t>W296Z</t>
  </si>
  <si>
    <t>Pfizer Digital – GLNS Support S1 2025</t>
  </si>
  <si>
    <t>003A51</t>
  </si>
  <si>
    <t>Arun Kumaravelu</t>
  </si>
  <si>
    <t>0220B5</t>
  </si>
  <si>
    <t>Sesha Sai Sruthi Kocherla</t>
  </si>
  <si>
    <t>Yes</t>
  </si>
  <si>
    <t>C-VM9K</t>
  </si>
  <si>
    <t>Rafael Sampaio</t>
  </si>
  <si>
    <t>C-RY4V</t>
  </si>
  <si>
    <t>Srinivas Jakkidi</t>
  </si>
  <si>
    <t>PO Total</t>
  </si>
  <si>
    <t>PO Number</t>
  </si>
  <si>
    <t>Accounting Period</t>
  </si>
  <si>
    <t>AP Voucher Number</t>
  </si>
  <si>
    <t>WBS Element</t>
  </si>
  <si>
    <t>GL Invoice Date</t>
  </si>
  <si>
    <t>GL Posting Date</t>
  </si>
  <si>
    <t>GL Line Description</t>
  </si>
  <si>
    <t>Description</t>
  </si>
  <si>
    <t>Month</t>
  </si>
  <si>
    <t>GL Transaction Amount</t>
  </si>
  <si>
    <t>Type</t>
  </si>
  <si>
    <t>Fiscal Year</t>
  </si>
  <si>
    <t>Planful Date</t>
  </si>
  <si>
    <t>Function Code</t>
  </si>
  <si>
    <t>Sub Function Code</t>
  </si>
  <si>
    <t>Cost Center*</t>
  </si>
  <si>
    <t>LT Member*</t>
  </si>
  <si>
    <t>LT Member -1*</t>
  </si>
  <si>
    <t>CC Description</t>
  </si>
  <si>
    <t>CC Level 1</t>
  </si>
  <si>
    <t>CC Level 2</t>
  </si>
  <si>
    <t>Org</t>
  </si>
  <si>
    <t>CC Level 4</t>
  </si>
  <si>
    <t>CC Level 5</t>
  </si>
  <si>
    <t>Major Code</t>
  </si>
  <si>
    <t>Minor Code</t>
  </si>
  <si>
    <t>Exp Acct Minor Code - Text</t>
  </si>
  <si>
    <t>Account*</t>
  </si>
  <si>
    <t>Expense Account Code</t>
  </si>
  <si>
    <t>Division Code</t>
  </si>
  <si>
    <t>Market Code</t>
  </si>
  <si>
    <t>Value Type</t>
  </si>
  <si>
    <t>Document Type</t>
  </si>
  <si>
    <t>Legal Entity</t>
  </si>
  <si>
    <t>Region</t>
  </si>
  <si>
    <t>Project Code*</t>
  </si>
  <si>
    <t>Grouping</t>
  </si>
  <si>
    <t>GL Transaction Number</t>
  </si>
  <si>
    <t>GL Invoice Number</t>
  </si>
  <si>
    <t>Ledger Currency</t>
  </si>
  <si>
    <t>Local Currency</t>
  </si>
  <si>
    <t>Transaction Currency</t>
  </si>
  <si>
    <t>GL MAR Corp Amount</t>
  </si>
  <si>
    <t>GL Local Amount</t>
  </si>
  <si>
    <t>GL BER Corp Amount</t>
  </si>
  <si>
    <t>IBM WW ORDERING AND US INVOICING</t>
  </si>
  <si>
    <t>IT-FBT0397-OG-US-00</t>
  </si>
  <si>
    <t>IBM 2025 S1 - IO SUPPORT</t>
  </si>
  <si>
    <t>Actual</t>
  </si>
  <si>
    <t>DIGITAL</t>
  </si>
  <si>
    <t>IT160</t>
  </si>
  <si>
    <t>DeHart, Lynn</t>
  </si>
  <si>
    <t>Ganesan, Srinivasan</t>
  </si>
  <si>
    <t>1400/9318/02/IT160/0002320521 (780) (Net</t>
  </si>
  <si>
    <t>CTIES</t>
  </si>
  <si>
    <t>ERP</t>
  </si>
  <si>
    <t>DIGITAL SOLUTION DELIVERY</t>
  </si>
  <si>
    <t>DIGITAL SOLUTION DELIVERY HQ- US</t>
  </si>
  <si>
    <t>Professional Serv-Admin&amp;Commercial</t>
  </si>
  <si>
    <t>Contractors</t>
  </si>
  <si>
    <t>RE</t>
  </si>
  <si>
    <t>United States</t>
  </si>
  <si>
    <t>AMER</t>
  </si>
  <si>
    <t>C25W938901</t>
  </si>
  <si>
    <t>USD</t>
  </si>
  <si>
    <t>US Dollar</t>
  </si>
  <si>
    <t>IT-FBT0545-OG-US-00</t>
  </si>
  <si>
    <t>IBM - 2025 S1 COVID APPLICATIONS SUPPORT</t>
  </si>
  <si>
    <t>C25W291701</t>
  </si>
  <si>
    <t>Not assigned</t>
  </si>
  <si>
    <t>PO- 9500879389 IBM CORP</t>
  </si>
  <si>
    <t>Accrual</t>
  </si>
  <si>
    <t>ZY</t>
  </si>
  <si>
    <t>AP2-25 2WM</t>
  </si>
  <si>
    <t>PO- 9500882917 IBM CORP</t>
  </si>
  <si>
    <t>IT-FBT0790-OG-US-00</t>
  </si>
  <si>
    <t>AP3-25 2WM</t>
  </si>
  <si>
    <t>C25291703</t>
  </si>
  <si>
    <t>C25938903</t>
  </si>
  <si>
    <t>Reversal</t>
  </si>
  <si>
    <t>#</t>
  </si>
  <si>
    <t>OPEX -T3 ADJ</t>
  </si>
  <si>
    <t>AP4-25 2WM</t>
  </si>
  <si>
    <t>C25938902</t>
  </si>
  <si>
    <t>RC03-9500879389-FIXING WBS CODE</t>
  </si>
  <si>
    <t>Reclass</t>
  </si>
  <si>
    <t>ZO</t>
  </si>
  <si>
    <t>AP03 2025 WDAC -</t>
  </si>
  <si>
    <t>IT-FBT0784-OG-US-00</t>
  </si>
  <si>
    <t>RC05-9500879389-FIXING INCORRECT AMOUNT ON RECLASS</t>
  </si>
  <si>
    <t>AP05 2025 WDAC -</t>
  </si>
  <si>
    <t>C25291704</t>
  </si>
  <si>
    <t>C25938904</t>
  </si>
  <si>
    <t>AP5-25 2WM</t>
  </si>
  <si>
    <t>Managed Services</t>
  </si>
  <si>
    <t>C25291702</t>
  </si>
  <si>
    <t>C258291704</t>
  </si>
  <si>
    <t>C25291705</t>
  </si>
  <si>
    <t>C25938905</t>
  </si>
  <si>
    <t>AP6-25 2WM</t>
  </si>
  <si>
    <t>C25291707</t>
  </si>
  <si>
    <t>PO - 9500882917 - IBM CORP</t>
  </si>
  <si>
    <t>T2 2WM</t>
  </si>
  <si>
    <t>PO - 9500879389 - IBM CORP</t>
  </si>
  <si>
    <t>C25938907</t>
  </si>
  <si>
    <t>2WM OPEX</t>
  </si>
  <si>
    <t>C25291706</t>
  </si>
  <si>
    <t>C25938906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</si>
</sst>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&quot;$&quot;#,##0"/>
    <numFmt numFmtId="165" formatCode="00000"/>
    <numFmt numFmtId="166" formatCode="&quot;$&quot;#,##0.00"/>
    <numFmt numFmtId="167" formatCode="[$-409]dd\-mmm\-yy;@"/>
    <numFmt numFmtId="168" formatCode="mmmm\-yyyy"/>
    <numFmt numFmtId="169" formatCode="yyyy\-mm\-dd\ h:mm:ss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4F4D4A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6DCE4"/>
        <bgColor rgb="FF000000"/>
      </patternFill>
    </fill>
  </fills>
  <borders count="5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4" fillId="0" borderId="0"/>
    <xf numFmtId="44" fontId="1" fillId="0" borderId="0"/>
    <xf numFmtId="0" fontId="8" fillId="0" borderId="0"/>
  </cellStyleXfs>
  <cellXfs count="111">
    <xf numFmtId="0" fontId="0" fillId="0" borderId="0" xfId="0"/>
    <xf numFmtId="2" fontId="0" fillId="0" borderId="0" xfId="0" applyNumberFormat="1"/>
    <xf numFmtId="14" fontId="0" fillId="0" borderId="0" xfId="0" applyNumberFormat="1"/>
    <xf numFmtId="3" fontId="0" fillId="0" borderId="0" xfId="0" applyNumberFormat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0" fillId="3" borderId="0" xfId="0" applyFill="1"/>
    <xf numFmtId="4" fontId="11" fillId="0" borderId="0" xfId="0" applyNumberFormat="1" applyFont="1" applyAlignment="1">
      <alignment horizontal="center"/>
    </xf>
    <xf numFmtId="4" fontId="11" fillId="0" borderId="0" xfId="0" applyNumberFormat="1" applyFont="1"/>
    <xf numFmtId="3" fontId="6" fillId="0" borderId="0" xfId="0" applyNumberFormat="1" applyFont="1" applyAlignment="1">
      <alignment horizontal="center"/>
    </xf>
    <xf numFmtId="0" fontId="0" fillId="2" borderId="13" xfId="0" applyFill="1" applyBorder="1"/>
    <xf numFmtId="0" fontId="0" fillId="2" borderId="14" xfId="0" applyFill="1" applyBorder="1"/>
    <xf numFmtId="0" fontId="5" fillId="2" borderId="15" xfId="0" applyFont="1" applyFill="1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164" fontId="0" fillId="2" borderId="18" xfId="0" applyNumberFormat="1" applyFill="1" applyBorder="1" applyAlignment="1">
      <alignment horizontal="right"/>
    </xf>
    <xf numFmtId="164" fontId="3" fillId="2" borderId="18" xfId="0" applyNumberFormat="1" applyFont="1" applyFill="1" applyBorder="1" applyAlignment="1">
      <alignment horizontal="center"/>
    </xf>
    <xf numFmtId="0" fontId="0" fillId="2" borderId="18" xfId="0" applyFill="1" applyBorder="1"/>
    <xf numFmtId="0" fontId="0" fillId="2" borderId="19" xfId="0" applyFill="1" applyBorder="1"/>
    <xf numFmtId="0" fontId="12" fillId="0" borderId="22" xfId="0" applyFont="1" applyBorder="1" applyAlignment="1">
      <alignment horizontal="left" vertical="center"/>
    </xf>
    <xf numFmtId="0" fontId="12" fillId="0" borderId="24" xfId="0" applyFont="1" applyBorder="1" applyAlignment="1">
      <alignment horizontal="left" vertical="center"/>
    </xf>
    <xf numFmtId="0" fontId="12" fillId="0" borderId="21" xfId="0" applyFont="1" applyBorder="1" applyAlignment="1">
      <alignment horizontal="left"/>
    </xf>
    <xf numFmtId="165" fontId="12" fillId="0" borderId="21" xfId="0" applyNumberFormat="1" applyFont="1" applyBorder="1" applyAlignment="1">
      <alignment horizontal="left" vertical="center"/>
    </xf>
    <xf numFmtId="165" fontId="12" fillId="0" borderId="23" xfId="0" applyNumberFormat="1" applyFont="1" applyBorder="1" applyAlignment="1">
      <alignment horizontal="left" vertical="center"/>
    </xf>
    <xf numFmtId="0" fontId="0" fillId="0" borderId="0" xfId="0" applyAlignment="1">
      <alignment horizontal="right"/>
    </xf>
    <xf numFmtId="0" fontId="0" fillId="2" borderId="14" xfId="0" applyFill="1" applyBorder="1" applyAlignment="1">
      <alignment horizontal="right"/>
    </xf>
    <xf numFmtId="0" fontId="4" fillId="2" borderId="0" xfId="1" applyFill="1" applyAlignment="1">
      <alignment horizontal="right"/>
    </xf>
    <xf numFmtId="0" fontId="0" fillId="2" borderId="26" xfId="0" applyFill="1" applyBorder="1"/>
    <xf numFmtId="0" fontId="0" fillId="2" borderId="0" xfId="0" applyFill="1" applyAlignment="1">
      <alignment horizontal="right" wrapText="1"/>
    </xf>
    <xf numFmtId="4" fontId="6" fillId="2" borderId="0" xfId="0" applyNumberFormat="1" applyFont="1" applyFill="1"/>
    <xf numFmtId="0" fontId="5" fillId="2" borderId="0" xfId="0" applyFont="1" applyFill="1"/>
    <xf numFmtId="3" fontId="2" fillId="2" borderId="16" xfId="0" applyNumberFormat="1" applyFont="1" applyFill="1" applyBorder="1"/>
    <xf numFmtId="0" fontId="0" fillId="2" borderId="0" xfId="0" applyFill="1" applyAlignment="1">
      <alignment horizontal="right"/>
    </xf>
    <xf numFmtId="0" fontId="0" fillId="2" borderId="0" xfId="0" applyFill="1"/>
    <xf numFmtId="3" fontId="0" fillId="2" borderId="16" xfId="0" applyNumberFormat="1" applyFill="1" applyBorder="1"/>
    <xf numFmtId="4" fontId="6" fillId="2" borderId="0" xfId="0" applyNumberFormat="1" applyFont="1" applyFill="1" applyAlignment="1">
      <alignment horizontal="right"/>
    </xf>
    <xf numFmtId="0" fontId="3" fillId="2" borderId="0" xfId="0" applyFont="1" applyFill="1"/>
    <xf numFmtId="166" fontId="0" fillId="0" borderId="0" xfId="0" applyNumberFormat="1" applyAlignment="1">
      <alignment horizontal="left"/>
    </xf>
    <xf numFmtId="166" fontId="3" fillId="0" borderId="0" xfId="0" applyNumberFormat="1" applyFont="1" applyAlignment="1">
      <alignment horizontal="left"/>
    </xf>
    <xf numFmtId="166" fontId="11" fillId="0" borderId="0" xfId="0" applyNumberFormat="1" applyFont="1" applyAlignment="1">
      <alignment horizontal="left"/>
    </xf>
    <xf numFmtId="166" fontId="6" fillId="0" borderId="0" xfId="0" applyNumberFormat="1" applyFont="1" applyAlignment="1">
      <alignment horizontal="left"/>
    </xf>
    <xf numFmtId="0" fontId="3" fillId="6" borderId="27" xfId="0" applyFont="1" applyFill="1" applyBorder="1"/>
    <xf numFmtId="3" fontId="2" fillId="2" borderId="0" xfId="0" applyNumberFormat="1" applyFont="1" applyFill="1"/>
    <xf numFmtId="3" fontId="0" fillId="2" borderId="0" xfId="0" applyNumberFormat="1" applyFill="1"/>
    <xf numFmtId="0" fontId="9" fillId="2" borderId="29" xfId="3" applyFont="1" applyFill="1" applyBorder="1" applyAlignment="1">
      <alignment wrapText="1"/>
    </xf>
    <xf numFmtId="0" fontId="0" fillId="3" borderId="33" xfId="0" applyFill="1" applyBorder="1"/>
    <xf numFmtId="164" fontId="9" fillId="2" borderId="14" xfId="3" applyNumberFormat="1" applyFont="1" applyFill="1" applyBorder="1" applyAlignment="1">
      <alignment horizontal="center" wrapText="1"/>
    </xf>
    <xf numFmtId="164" fontId="9" fillId="2" borderId="34" xfId="3" applyNumberFormat="1" applyFont="1" applyFill="1" applyBorder="1" applyAlignment="1">
      <alignment horizontal="center" wrapText="1"/>
    </xf>
    <xf numFmtId="164" fontId="9" fillId="2" borderId="28" xfId="3" applyNumberFormat="1" applyFont="1" applyFill="1" applyBorder="1" applyAlignment="1">
      <alignment horizontal="center" wrapText="1"/>
    </xf>
    <xf numFmtId="3" fontId="0" fillId="3" borderId="35" xfId="0" applyNumberFormat="1" applyFill="1" applyBorder="1"/>
    <xf numFmtId="166" fontId="3" fillId="6" borderId="40" xfId="0" applyNumberFormat="1" applyFont="1" applyFill="1" applyBorder="1" applyAlignment="1">
      <alignment horizontal="left"/>
    </xf>
    <xf numFmtId="4" fontId="6" fillId="7" borderId="0" xfId="0" applyNumberFormat="1" applyFont="1" applyFill="1"/>
    <xf numFmtId="0" fontId="9" fillId="2" borderId="41" xfId="3" applyFont="1" applyFill="1" applyBorder="1" applyAlignment="1">
      <alignment horizontal="left" wrapText="1"/>
    </xf>
    <xf numFmtId="1" fontId="10" fillId="2" borderId="28" xfId="3" applyNumberFormat="1" applyFont="1" applyFill="1" applyBorder="1" applyAlignment="1">
      <alignment horizontal="right" wrapText="1"/>
    </xf>
    <xf numFmtId="1" fontId="10" fillId="2" borderId="28" xfId="3" applyNumberFormat="1" applyFont="1" applyFill="1" applyBorder="1" applyAlignment="1">
      <alignment horizontal="center" wrapText="1"/>
    </xf>
    <xf numFmtId="167" fontId="10" fillId="2" borderId="28" xfId="3" applyNumberFormat="1" applyFont="1" applyFill="1" applyBorder="1" applyAlignment="1">
      <alignment horizontal="center" wrapText="1"/>
    </xf>
    <xf numFmtId="0" fontId="10" fillId="2" borderId="28" xfId="3" applyFont="1" applyFill="1" applyBorder="1" applyAlignment="1">
      <alignment horizontal="center" wrapText="1"/>
    </xf>
    <xf numFmtId="166" fontId="9" fillId="2" borderId="28" xfId="3" applyNumberFormat="1" applyFont="1" applyFill="1" applyBorder="1" applyAlignment="1">
      <alignment horizontal="left" wrapText="1"/>
    </xf>
    <xf numFmtId="0" fontId="3" fillId="2" borderId="14" xfId="0" applyFont="1" applyFill="1" applyBorder="1" applyAlignment="1">
      <alignment wrapText="1"/>
    </xf>
    <xf numFmtId="164" fontId="9" fillId="2" borderId="42" xfId="3" applyNumberFormat="1" applyFont="1" applyFill="1" applyBorder="1" applyAlignment="1">
      <alignment horizontal="center" wrapText="1"/>
    </xf>
    <xf numFmtId="164" fontId="9" fillId="2" borderId="43" xfId="3" applyNumberFormat="1" applyFont="1" applyFill="1" applyBorder="1" applyAlignment="1">
      <alignment horizontal="center" wrapText="1"/>
    </xf>
    <xf numFmtId="164" fontId="9" fillId="2" borderId="44" xfId="3" applyNumberFormat="1" applyFont="1" applyFill="1" applyBorder="1" applyAlignment="1">
      <alignment horizontal="center" wrapText="1"/>
    </xf>
    <xf numFmtId="0" fontId="0" fillId="3" borderId="45" xfId="0" applyFill="1" applyBorder="1"/>
    <xf numFmtId="0" fontId="0" fillId="3" borderId="46" xfId="0" applyFill="1" applyBorder="1" applyAlignment="1">
      <alignment horizontal="right"/>
    </xf>
    <xf numFmtId="14" fontId="0" fillId="3" borderId="46" xfId="0" applyNumberFormat="1" applyFill="1" applyBorder="1"/>
    <xf numFmtId="0" fontId="0" fillId="3" borderId="46" xfId="0" applyFill="1" applyBorder="1"/>
    <xf numFmtId="166" fontId="0" fillId="3" borderId="46" xfId="0" applyNumberFormat="1" applyFill="1" applyBorder="1" applyAlignment="1">
      <alignment horizontal="left"/>
    </xf>
    <xf numFmtId="0" fontId="0" fillId="3" borderId="47" xfId="0" applyFill="1" applyBorder="1"/>
    <xf numFmtId="3" fontId="0" fillId="3" borderId="48" xfId="0" applyNumberFormat="1" applyFill="1" applyBorder="1"/>
    <xf numFmtId="3" fontId="0" fillId="3" borderId="46" xfId="0" applyNumberFormat="1" applyFill="1" applyBorder="1"/>
    <xf numFmtId="3" fontId="0" fillId="3" borderId="49" xfId="0" applyNumberFormat="1" applyFill="1" applyBorder="1"/>
    <xf numFmtId="3" fontId="0" fillId="3" borderId="50" xfId="0" applyNumberFormat="1" applyFill="1" applyBorder="1"/>
    <xf numFmtId="3" fontId="0" fillId="3" borderId="51" xfId="0" applyNumberFormat="1" applyFill="1" applyBorder="1"/>
    <xf numFmtId="3" fontId="0" fillId="3" borderId="18" xfId="0" applyNumberFormat="1" applyFill="1" applyBorder="1"/>
    <xf numFmtId="0" fontId="13" fillId="0" borderId="0" xfId="0" applyFont="1"/>
    <xf numFmtId="0" fontId="13" fillId="0" borderId="21" xfId="0" applyFont="1" applyBorder="1"/>
    <xf numFmtId="0" fontId="13" fillId="0" borderId="25" xfId="0" applyFont="1" applyBorder="1"/>
    <xf numFmtId="0" fontId="13" fillId="0" borderId="38" xfId="0" applyFont="1" applyBorder="1"/>
    <xf numFmtId="0" fontId="13" fillId="0" borderId="25" xfId="0" applyFont="1" applyBorder="1" applyAlignment="1">
      <alignment horizontal="left"/>
    </xf>
    <xf numFmtId="0" fontId="13" fillId="0" borderId="39" xfId="0" applyFont="1" applyBorder="1"/>
    <xf numFmtId="0" fontId="13" fillId="0" borderId="30" xfId="0" applyFont="1" applyBorder="1"/>
    <xf numFmtId="0" fontId="13" fillId="0" borderId="9" xfId="0" applyFont="1" applyBorder="1"/>
    <xf numFmtId="0" fontId="13" fillId="0" borderId="7" xfId="0" applyFont="1" applyBorder="1"/>
    <xf numFmtId="0" fontId="13" fillId="0" borderId="8" xfId="0" applyFont="1" applyBorder="1"/>
    <xf numFmtId="0" fontId="13" fillId="0" borderId="6" xfId="0" applyFont="1" applyBorder="1"/>
    <xf numFmtId="0" fontId="13" fillId="0" borderId="10" xfId="0" applyFont="1" applyBorder="1"/>
    <xf numFmtId="0" fontId="13" fillId="0" borderId="11" xfId="0" applyFont="1" applyBorder="1"/>
    <xf numFmtId="0" fontId="13" fillId="0" borderId="3" xfId="0" applyFont="1" applyBorder="1"/>
    <xf numFmtId="0" fontId="13" fillId="8" borderId="9" xfId="0" applyFont="1" applyFill="1" applyBorder="1"/>
    <xf numFmtId="0" fontId="13" fillId="0" borderId="32" xfId="0" applyFont="1" applyBorder="1"/>
    <xf numFmtId="0" fontId="13" fillId="0" borderId="31" xfId="0" applyFont="1" applyBorder="1"/>
    <xf numFmtId="0" fontId="13" fillId="0" borderId="12" xfId="0" applyFont="1" applyBorder="1"/>
    <xf numFmtId="0" fontId="13" fillId="0" borderId="12" xfId="0" applyFont="1" applyBorder="1" applyAlignment="1">
      <alignment horizontal="left"/>
    </xf>
    <xf numFmtId="0" fontId="13" fillId="0" borderId="52" xfId="0" applyFont="1" applyBorder="1"/>
    <xf numFmtId="169" fontId="0" fillId="0" borderId="0" xfId="0" applyNumberFormat="1"/>
    <xf numFmtId="3" fontId="3" fillId="2" borderId="54" xfId="0" applyNumberFormat="1" applyFont="1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168" fontId="3" fillId="2" borderId="55" xfId="0" applyNumberFormat="1" applyFont="1" applyFill="1" applyBorder="1" applyAlignment="1">
      <alignment horizontal="center"/>
    </xf>
    <xf numFmtId="0" fontId="0" fillId="0" borderId="1" xfId="0" applyBorder="1"/>
    <xf numFmtId="0" fontId="0" fillId="0" borderId="37" xfId="0" applyBorder="1"/>
    <xf numFmtId="0" fontId="3" fillId="0" borderId="2" xfId="0" applyFont="1" applyBorder="1" applyAlignment="1">
      <alignment horizontal="right"/>
    </xf>
    <xf numFmtId="0" fontId="0" fillId="0" borderId="2" xfId="0" applyBorder="1"/>
    <xf numFmtId="168" fontId="3" fillId="2" borderId="36" xfId="0" applyNumberFormat="1" applyFont="1" applyFill="1" applyBorder="1" applyAlignment="1">
      <alignment horizontal="center"/>
    </xf>
    <xf numFmtId="0" fontId="7" fillId="0" borderId="2" xfId="0" applyFont="1" applyBorder="1" applyAlignment="1">
      <alignment horizontal="right"/>
    </xf>
    <xf numFmtId="0" fontId="3" fillId="5" borderId="20" xfId="0" applyFont="1" applyFill="1" applyBorder="1" applyAlignment="1">
      <alignment horizontal="center" vertical="center" wrapText="1"/>
    </xf>
    <xf numFmtId="0" fontId="0" fillId="0" borderId="53" xfId="0" applyBorder="1"/>
  </cellXfs>
  <cellStyles count="4">
    <cellStyle name="Currency 2" xfId="2" xr:uid="{00000000-0005-0000-0000-000002000000}"/>
    <cellStyle name="Hyperlink 2" xfId="1" xr:uid="{00000000-0005-0000-0000-000001000000}"/>
    <cellStyle name="Normal" xfId="0" builtinId="0"/>
    <cellStyle name="Normal 2 2" xfId="3" xr:uid="{00000000-0005-0000-0000-000003000000}"/>
  </cellStyles>
  <dxfs count="3"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I18"/>
  <sheetViews>
    <sheetView showGridLines="0" tabSelected="1" topLeftCell="E1" zoomScale="80" zoomScaleNormal="80" workbookViewId="0">
      <selection activeCell="Z15" sqref="Z15"/>
    </sheetView>
  </sheetViews>
  <sheetFormatPr defaultRowHeight="15" x14ac:dyDescent="0.25"/>
  <cols>
    <col min="1" max="1" width="22.7109375" bestFit="1" customWidth="1"/>
    <col min="2" max="2" width="14.7109375" style="28" bestFit="1" customWidth="1"/>
    <col min="3" max="3" width="12.28515625" customWidth="1"/>
    <col min="4" max="4" width="11.5703125" customWidth="1"/>
    <col min="5" max="5" width="14.28515625" customWidth="1"/>
    <col min="6" max="6" width="19.5703125" bestFit="1" customWidth="1"/>
    <col min="7" max="10" width="10.85546875" customWidth="1"/>
    <col min="11" max="11" width="13.42578125" style="41" customWidth="1"/>
    <col min="12" max="12" width="37.140625" customWidth="1"/>
    <col min="13" max="13" width="12.42578125" customWidth="1"/>
    <col min="14" max="73" width="8.85546875" customWidth="1"/>
    <col min="74" max="74" width="10.85546875" customWidth="1"/>
    <col min="75" max="75" width="15.5703125" customWidth="1"/>
    <col min="76" max="76" width="16.7109375" customWidth="1"/>
  </cols>
  <sheetData>
    <row r="1" spans="1:139" ht="15.75" customHeight="1" thickBot="1" x14ac:dyDescent="0.3"/>
    <row r="2" spans="1:139" x14ac:dyDescent="0.25">
      <c r="A2" s="13"/>
      <c r="B2" s="29"/>
      <c r="C2" s="14"/>
      <c r="D2" s="14"/>
      <c r="E2" s="14"/>
      <c r="F2" s="14"/>
      <c r="G2" s="31"/>
      <c r="H2" s="37"/>
      <c r="I2" s="37"/>
      <c r="J2" s="37"/>
    </row>
    <row r="3" spans="1:139" x14ac:dyDescent="0.25">
      <c r="A3" s="15" t="s">
        <v>0</v>
      </c>
      <c r="B3" s="32"/>
      <c r="C3" s="33"/>
      <c r="D3" s="34" t="s">
        <v>1</v>
      </c>
      <c r="E3" s="34">
        <v>2026</v>
      </c>
      <c r="F3" s="34"/>
      <c r="G3" s="35">
        <f>C3</f>
        <v>0</v>
      </c>
      <c r="H3" s="46"/>
      <c r="I3" s="46"/>
      <c r="J3" s="46"/>
      <c r="S3" s="1"/>
      <c r="T3" s="1"/>
      <c r="U3" s="1"/>
    </row>
    <row r="4" spans="1:139" x14ac:dyDescent="0.25">
      <c r="A4" s="15" t="s">
        <v>2</v>
      </c>
      <c r="B4" s="36" t="s">
        <v>3</v>
      </c>
      <c r="C4" s="33">
        <v>0</v>
      </c>
      <c r="D4" s="34">
        <v>2321511</v>
      </c>
      <c r="E4" s="34">
        <v>2026</v>
      </c>
      <c r="F4" s="34"/>
      <c r="G4" s="35">
        <v>0</v>
      </c>
      <c r="H4" s="46"/>
      <c r="I4" s="46"/>
      <c r="J4" s="46"/>
    </row>
    <row r="5" spans="1:139" x14ac:dyDescent="0.25">
      <c r="A5" s="16" t="s">
        <v>4</v>
      </c>
      <c r="B5" s="30"/>
      <c r="C5" s="37"/>
      <c r="D5" s="37"/>
      <c r="E5" s="37"/>
      <c r="F5" s="37"/>
      <c r="G5" s="38"/>
      <c r="H5" s="47"/>
      <c r="I5" s="47"/>
      <c r="J5" s="47"/>
    </row>
    <row r="6" spans="1:139" x14ac:dyDescent="0.25">
      <c r="A6" s="16" t="s">
        <v>5</v>
      </c>
      <c r="B6" s="39" t="s">
        <v>6</v>
      </c>
      <c r="C6" s="37"/>
      <c r="D6" s="37"/>
      <c r="E6" s="40" t="str">
        <f>IF(SUMIFS(BV:BV,A:A,"Contingency")&gt;0,"Contingency is "&amp;TEXT(SUMIFS(BV:BV,A:A,"Contingency"),"$#,##"),IF(SUMIFS(BV:BV,A:A,"Contingency")&lt;0,"Overspent by "&amp;TEXT(SUMIFS(BV:BV,A:A,"Contingency"),"$#,##"),"No contingency"))</f>
        <v>No contingency</v>
      </c>
      <c r="F6" s="40"/>
      <c r="G6" s="17"/>
      <c r="H6" s="37"/>
      <c r="I6" s="37"/>
      <c r="J6" s="37"/>
      <c r="K6" s="42"/>
      <c r="L6" s="6"/>
    </row>
    <row r="7" spans="1:139" ht="15.75" customHeight="1" thickBot="1" x14ac:dyDescent="0.3">
      <c r="A7" s="18"/>
      <c r="B7" s="19"/>
      <c r="C7" s="20"/>
      <c r="D7" s="20"/>
      <c r="E7" s="21"/>
      <c r="F7" s="21"/>
      <c r="G7" s="22"/>
      <c r="H7" s="37"/>
      <c r="I7" s="37"/>
      <c r="J7" s="37"/>
      <c r="S7" s="2"/>
      <c r="T7" s="2"/>
      <c r="U7" s="2"/>
    </row>
    <row r="8" spans="1:139" ht="15.75" customHeight="1" thickBot="1" x14ac:dyDescent="0.3"/>
    <row r="9" spans="1:139" x14ac:dyDescent="0.25">
      <c r="A9" s="109" t="s">
        <v>7</v>
      </c>
      <c r="B9" s="110"/>
      <c r="D9" s="55" t="s">
        <v>8</v>
      </c>
      <c r="E9" s="10"/>
      <c r="F9" s="10"/>
      <c r="G9" s="10"/>
      <c r="H9" s="10"/>
      <c r="I9" s="10"/>
      <c r="J9" s="10"/>
      <c r="K9" s="43"/>
    </row>
    <row r="10" spans="1:139" ht="15.75" customHeight="1" thickBot="1" x14ac:dyDescent="0.3">
      <c r="A10" s="25" t="s">
        <v>9</v>
      </c>
      <c r="B10" s="23" t="s">
        <v>10</v>
      </c>
      <c r="D10" s="11"/>
      <c r="E10" s="12"/>
      <c r="F10" s="12"/>
      <c r="G10" s="12"/>
      <c r="H10" s="12"/>
      <c r="I10" s="12"/>
      <c r="J10" s="12"/>
      <c r="K10" s="44"/>
      <c r="BW10" s="9" t="s">
        <v>11</v>
      </c>
    </row>
    <row r="11" spans="1:139" ht="15.75" customHeight="1" x14ac:dyDescent="0.25">
      <c r="A11" s="26" t="s">
        <v>12</v>
      </c>
      <c r="B11" s="23" t="s">
        <v>10</v>
      </c>
      <c r="D11" s="11"/>
      <c r="E11" s="12"/>
      <c r="F11" s="12"/>
      <c r="G11" s="12"/>
      <c r="H11" s="12"/>
      <c r="I11" s="12"/>
      <c r="J11" s="12"/>
      <c r="K11" s="44"/>
      <c r="L11" s="108" t="s">
        <v>13</v>
      </c>
      <c r="M11" s="106"/>
      <c r="N11" s="99">
        <f t="array" ref="N11">SUM(Q15:Q17)+SUM(_xlfn._xlws.FILTER(P15:P17,Q15:Q17=""))+SUM(_xlfn._xlws.FILTER(O15:O17,(P15:P17="")*(Q15:Q17="")))+SUMIFS(R15:R17,Q15:Q17,"&lt;&gt;"&amp;"",$P$15:$P$17,"&lt;&gt;"&amp;"")+SUM(N15:N17)</f>
        <v>0</v>
      </c>
      <c r="O11" s="100"/>
      <c r="P11" s="100"/>
      <c r="Q11" s="100"/>
      <c r="R11" s="101"/>
      <c r="S11" s="99">
        <f t="array" ref="S11">SUM(V15:V17)+SUM(_xlfn._xlws.FILTER(U15:U17,V15:V17=""))+SUM(_xlfn._xlws.FILTER(T15:T17,(U15:U17="")*(V15:V17="")))+SUMIFS(W15:W17,V15:V17,"&lt;&gt;"&amp;"",$P$15:$P$17,"&lt;&gt;"&amp;"")+SUM(S15:S17)</f>
        <v>81595.28</v>
      </c>
      <c r="T11" s="100"/>
      <c r="U11" s="100"/>
      <c r="V11" s="100"/>
      <c r="W11" s="101"/>
      <c r="X11" s="99">
        <f t="array" ref="X11">SUM(AA15:AA17)+SUM(_xlfn._xlws.FILTER(Z15:Z17,AA15:AA17=""))+SUM(_xlfn._xlws.FILTER(Y15:Y17,(Z15:Z17="")*(AA15:AA17="")))+SUMIFS(AB15:AB17,AA15:AA17,"&lt;&gt;"&amp;"",$P$15:$P$17,"&lt;&gt;"&amp;"")+SUM(X15:X17)</f>
        <v>46818.44</v>
      </c>
      <c r="Y11" s="100"/>
      <c r="Z11" s="100"/>
      <c r="AA11" s="100"/>
      <c r="AB11" s="101"/>
      <c r="AC11" s="99">
        <f t="array" ref="AC11">SUM(AF15:AF17)+SUM(_xlfn._xlws.FILTER(AE15:AE17,AF15:AF17=""))+SUM(_xlfn._xlws.FILTER(AD15:AD17,(AE15:AE17="")*(AF15:AF17="")))+SUMIFS(AG15:AG17,AF15:AF17,"&lt;&gt;"&amp;"",$P$15:$P$17,"&lt;&gt;"&amp;"")+SUM(AC15:AC17)</f>
        <v>-15519.220000000001</v>
      </c>
      <c r="AD11" s="100"/>
      <c r="AE11" s="100"/>
      <c r="AF11" s="100"/>
      <c r="AG11" s="101"/>
      <c r="AH11" s="99">
        <f t="array" ref="AH11">SUM(AK15:AK17)+SUM(_xlfn._xlws.FILTER(AJ15:AJ17,AK15:AK17=""))+SUM(_xlfn._xlws.FILTER(AI15:AI17,(AJ15:AJ17="")*(AK15:AK17="")))+SUMIFS(AL15:AL17,AK15:AK17,"&lt;&gt;"&amp;"",$P$15:$P$17,"&lt;&gt;"&amp;"")+SUM(AH15:AH17)</f>
        <v>29658.28</v>
      </c>
      <c r="AI11" s="100"/>
      <c r="AJ11" s="100"/>
      <c r="AK11" s="100"/>
      <c r="AL11" s="101"/>
      <c r="AM11" s="99">
        <f t="array" ref="AM11">SUM(AP15:AP17)+SUM(_xlfn._xlws.FILTER(AO15:AO17,AP15:AP17=""))+SUM(_xlfn._xlws.FILTER(AN15:AN17,(AO15:AO17="")*(AP15:AP17="")))+SUMIFS(AQ15:AQ17,AP15:AP17,"&lt;&gt;"&amp;"",$P$15:$P$17,"&lt;&gt;"&amp;"")+SUM(AM15:AM17)</f>
        <v>-13038.279999999999</v>
      </c>
      <c r="AN11" s="100"/>
      <c r="AO11" s="100"/>
      <c r="AP11" s="100"/>
      <c r="AQ11" s="101"/>
      <c r="AR11" s="99">
        <f t="array" ref="AR11">SUM(AU15:AU17)+SUM(_xlfn._xlws.FILTER(AT15:AT17,AU15:AU17=""))+SUM(_xlfn._xlws.FILTER(AS15:AS17,(AT15:AT17="")*(AU15:AU17="")))+SUMIFS(AV15:AV17,AU15:AU17,"&lt;&gt;"&amp;"",$P$15:$P$17,"&lt;&gt;"&amp;"")+SUM(AR15:AR17)</f>
        <v>-55230.5</v>
      </c>
      <c r="AS11" s="100"/>
      <c r="AT11" s="100"/>
      <c r="AU11" s="100"/>
      <c r="AV11" s="101"/>
      <c r="AW11" s="99">
        <f t="array" ref="AW11">SUM(AZ15:AZ17)+SUM(_xlfn._xlws.FILTER(AY15:AY17,AZ15:AZ17=""))+SUM(_xlfn._xlws.FILTER(AX15:AX17,(AY15:AY17="")*(AZ15:AZ17="")))+SUMIFS(BA15:BA17,AZ15:AZ17,"&lt;&gt;"&amp;"",$P$15:$P$17,"&lt;&gt;"&amp;"")+SUM(AW15:AW17)</f>
        <v>-60651.5</v>
      </c>
      <c r="AX11" s="100"/>
      <c r="AY11" s="100"/>
      <c r="AZ11" s="100"/>
      <c r="BA11" s="101"/>
      <c r="BB11" s="99">
        <f t="array" ref="BB11">SUM(BE15:BE17)+SUM(_xlfn._xlws.FILTER(BD15:BD17,BE15:BE17=""))+SUM(_xlfn._xlws.FILTER(BC15:BC17,(BD15:BD17="")*(BE15:BE17="")))+SUMIFS(BF15:BF17,BE15:BE17,"&lt;&gt;"&amp;"",$P$15:$P$17,"&lt;&gt;"&amp;"")+SUM(BB15:BB17)</f>
        <v>57824</v>
      </c>
      <c r="BC11" s="100"/>
      <c r="BD11" s="100"/>
      <c r="BE11" s="100"/>
      <c r="BF11" s="101"/>
      <c r="BG11" s="99">
        <f t="array" ref="BG11">SUM(BJ15:BJ17)+SUM(_xlfn._xlws.FILTER(BI15:BI17,BJ15:BJ17=""))+SUM(_xlfn._xlws.FILTER(BH15:BH17,(BI15:BI17="")*(BJ15:BJ17="")))+SUMIFS(BK15:BK17,BJ15:BJ17,"&lt;&gt;"&amp;"",$P$15:$P$17,"&lt;&gt;"&amp;"")+SUM(BG15:BG17)</f>
        <v>0</v>
      </c>
      <c r="BH11" s="100"/>
      <c r="BI11" s="100"/>
      <c r="BJ11" s="100"/>
      <c r="BK11" s="101"/>
      <c r="BL11" s="99">
        <f t="array" ref="BL11">SUM(BO15:BO17)+SUM(_xlfn._xlws.FILTER(BN15:BN17,BO15:BO17=""))+SUM(_xlfn._xlws.FILTER(BM15:BM17,(BN15:BN17="")*(BO15:BO17="")))+SUMIFS(BP15:BP17,BO15:BO17,"&lt;&gt;"&amp;"",$P$15:$P$17,"&lt;&gt;"&amp;"")+SUM(BL15:BL17)</f>
        <v>0</v>
      </c>
      <c r="BM11" s="100"/>
      <c r="BN11" s="100"/>
      <c r="BO11" s="100"/>
      <c r="BP11" s="101"/>
      <c r="BQ11" s="99">
        <f t="array" ref="BQ11">SUM(BT15:BT17)+SUM(_xlfn._xlws.FILTER(BS15:BS17,BT15:BT17=""))+SUM(_xlfn._xlws.FILTER(BR15:BR17,(BS15:BS17="")*(BT15:BT17="")))+SUMIFS(BU15:BU17,BT15:BT17,"&lt;&gt;"&amp;"",$P$15:$P$17,"&lt;&gt;"&amp;"")+SUM(BQ15:BQ17)</f>
        <v>0</v>
      </c>
      <c r="BR11" s="100"/>
      <c r="BS11" s="100"/>
      <c r="BT11" s="100"/>
      <c r="BU11" s="101"/>
      <c r="BV11" s="4" t="s">
        <v>14</v>
      </c>
      <c r="BW11" s="5">
        <f>BW13-BV13</f>
        <v>0</v>
      </c>
    </row>
    <row r="12" spans="1:139" x14ac:dyDescent="0.25">
      <c r="A12" s="27" t="s">
        <v>15</v>
      </c>
      <c r="B12" s="24" t="s">
        <v>10</v>
      </c>
      <c r="D12" s="11"/>
      <c r="E12" s="12"/>
      <c r="F12" s="12"/>
      <c r="G12" s="12"/>
      <c r="H12" s="12"/>
      <c r="I12" s="12"/>
      <c r="J12" s="12"/>
      <c r="K12" s="45" t="s">
        <v>16</v>
      </c>
      <c r="L12" s="105" t="s">
        <v>17</v>
      </c>
      <c r="M12" s="106"/>
      <c r="N12" s="99">
        <f t="array" ref="N12">SUM(Q15:Q17)+SUM(_xlfn._xlws.FILTER(P15:P17,Q15:Q17=""))+SUM(_xlfn._xlws.FILTER(O15:O17,(P15:P17="")*(Q15:Q17="")))</f>
        <v>47862.5</v>
      </c>
      <c r="O12" s="100"/>
      <c r="P12" s="100"/>
      <c r="Q12" s="100"/>
      <c r="R12" s="101"/>
      <c r="S12" s="99">
        <f t="array" ref="S12">SUM(V15:V17)+SUM(_xlfn._xlws.FILTER(U15:U17,V15:V17=""))+SUM(_xlfn._xlws.FILTER(T15:T17,(U15:U17="")*(V15:V17="")))</f>
        <v>17100</v>
      </c>
      <c r="T12" s="100"/>
      <c r="U12" s="100"/>
      <c r="V12" s="100"/>
      <c r="W12" s="101"/>
      <c r="X12" s="99">
        <f t="array" ref="X12">SUM(AA15:AA17)+SUM(_xlfn._xlws.FILTER(Z15:Z17,AA15:AA17=""))+SUM(_xlfn._xlws.FILTER(Y15:Y17,(Z15:Z17="")*(AA15:AA17="")))</f>
        <v>79073</v>
      </c>
      <c r="Y12" s="100"/>
      <c r="Z12" s="100"/>
      <c r="AA12" s="100"/>
      <c r="AB12" s="101"/>
      <c r="AC12" s="99">
        <f t="array" ref="AC12">SUM(AF15:AF17)+SUM(_xlfn._xlws.FILTER(AE15:AE17,AF15:AF17=""))+SUM(_xlfn._xlws.FILTER(AD15:AD17,(AE15:AE17="")*(AF15:AF17="")))</f>
        <v>36207.5</v>
      </c>
      <c r="AD12" s="100"/>
      <c r="AE12" s="100"/>
      <c r="AF12" s="100"/>
      <c r="AG12" s="101"/>
      <c r="AH12" s="99">
        <f t="array" ref="AH12">SUM(AK15:AK17)+SUM(_xlfn._xlws.FILTER(AJ15:AJ17,AK15:AK17=""))+SUM(_xlfn._xlws.FILTER(AI15:AI17,(AJ15:AJ17="")*(AK15:AK17="")))</f>
        <v>113922.5</v>
      </c>
      <c r="AI12" s="100"/>
      <c r="AJ12" s="100"/>
      <c r="AK12" s="100"/>
      <c r="AL12" s="101"/>
      <c r="AM12" s="99">
        <f t="array" ref="AM12">SUM(AP15:AP17)+SUM(_xlfn._xlws.FILTER(AO15:AO17,AP15:AP17=""))+SUM(_xlfn._xlws.FILTER(AN15:AN17,(AO15:AO17="")*(AP15:AP17="")))</f>
        <v>55230.5</v>
      </c>
      <c r="AN12" s="100"/>
      <c r="AO12" s="100"/>
      <c r="AP12" s="100"/>
      <c r="AQ12" s="101"/>
      <c r="AR12" s="99">
        <f t="array" ref="AR12">SUM(AU15:AU17)+SUM(_xlfn._xlws.FILTER(AT15:AT17,AU15:AU17=""))+SUM(_xlfn._xlws.FILTER(AS15:AS17,(AT15:AT17="")*(AU15:AU17="")))</f>
        <v>427.5</v>
      </c>
      <c r="AS12" s="100"/>
      <c r="AT12" s="100"/>
      <c r="AU12" s="100"/>
      <c r="AV12" s="101"/>
      <c r="AW12" s="99">
        <f t="array" ref="AW12">SUM(AZ15:AZ17)+SUM(_xlfn._xlws.FILTER(AY15:AY17,AZ15:AZ17=""))+SUM(_xlfn._xlws.FILTER(AX15:AX17,(AY15:AY17="")*(AZ15:AZ17="")))</f>
        <v>2400</v>
      </c>
      <c r="AX12" s="100"/>
      <c r="AY12" s="100"/>
      <c r="AZ12" s="100"/>
      <c r="BA12" s="101"/>
      <c r="BB12" s="99">
        <f t="array" ref="BB12">SUM(BE15:BE17)+SUM(_xlfn._xlws.FILTER(BD15:BD17,BE15:BE17=""))+SUM(_xlfn._xlws.FILTER(BC15:BC17,(BD15:BD17="")*(BE15:BE17="")))</f>
        <v>0</v>
      </c>
      <c r="BC12" s="100"/>
      <c r="BD12" s="100"/>
      <c r="BE12" s="100"/>
      <c r="BF12" s="101"/>
      <c r="BG12" s="99">
        <f t="array" ref="BG12">SUM(BJ15:BJ17)+SUM(_xlfn._xlws.FILTER(BI15:BI17,BJ15:BJ17=""))+SUM(_xlfn._xlws.FILTER(BH15:BH17,(BI15:BI17="")*(BJ15:BJ17="")))</f>
        <v>0</v>
      </c>
      <c r="BH12" s="100"/>
      <c r="BI12" s="100"/>
      <c r="BJ12" s="100"/>
      <c r="BK12" s="101"/>
      <c r="BL12" s="99">
        <f t="array" ref="BL12">SUM(BO15:BO17)+SUM(_xlfn._xlws.FILTER(BN15:BN17,BO15:BO17=""))+SUM(_xlfn._xlws.FILTER(BM15:BM17,(BN15:BN17="")*(BO15:BO17="")))</f>
        <v>0</v>
      </c>
      <c r="BM12" s="100"/>
      <c r="BN12" s="100"/>
      <c r="BO12" s="100"/>
      <c r="BP12" s="101"/>
      <c r="BQ12" s="99">
        <f t="array" ref="BQ12">SUM(BT15:BT17)+SUM(_xlfn._xlws.FILTER(BS15:BS17,BT15:BT17=""))+SUM(_xlfn._xlws.FILTER(BR15:BR17,(BS15:BS17="")*(BT15:BT17="")))</f>
        <v>0</v>
      </c>
      <c r="BR12" s="100"/>
      <c r="BS12" s="100"/>
      <c r="BT12" s="100"/>
      <c r="BU12" s="101"/>
      <c r="BV12" s="4"/>
      <c r="BW12" s="5"/>
    </row>
    <row r="13" spans="1:139" ht="16.5" customHeight="1" thickBot="1" x14ac:dyDescent="0.3">
      <c r="A13" s="6" t="s">
        <v>18</v>
      </c>
      <c r="H13" s="6"/>
      <c r="I13" s="6"/>
      <c r="J13" s="6"/>
      <c r="K13" s="54">
        <f>SUBTOTAL(9,K15:K16)</f>
        <v>0</v>
      </c>
      <c r="L13" s="105" t="s">
        <v>19</v>
      </c>
      <c r="M13" s="106"/>
      <c r="N13" s="107">
        <v>46053</v>
      </c>
      <c r="O13" s="103"/>
      <c r="P13" s="103"/>
      <c r="Q13" s="103"/>
      <c r="R13" s="103"/>
      <c r="S13" s="102">
        <v>46054</v>
      </c>
      <c r="T13" s="103"/>
      <c r="U13" s="103"/>
      <c r="V13" s="103"/>
      <c r="W13" s="104"/>
      <c r="X13" s="102">
        <v>46112</v>
      </c>
      <c r="Y13" s="103"/>
      <c r="Z13" s="103"/>
      <c r="AA13" s="103"/>
      <c r="AB13" s="104"/>
      <c r="AC13" s="102">
        <v>46142</v>
      </c>
      <c r="AD13" s="103"/>
      <c r="AE13" s="103"/>
      <c r="AF13" s="103"/>
      <c r="AG13" s="104"/>
      <c r="AH13" s="102">
        <v>46173</v>
      </c>
      <c r="AI13" s="103"/>
      <c r="AJ13" s="103"/>
      <c r="AK13" s="103"/>
      <c r="AL13" s="104"/>
      <c r="AM13" s="102">
        <v>46203</v>
      </c>
      <c r="AN13" s="103"/>
      <c r="AO13" s="103"/>
      <c r="AP13" s="103"/>
      <c r="AQ13" s="104"/>
      <c r="AR13" s="102">
        <v>46234</v>
      </c>
      <c r="AS13" s="103"/>
      <c r="AT13" s="103"/>
      <c r="AU13" s="103"/>
      <c r="AV13" s="104"/>
      <c r="AW13" s="102">
        <v>46265</v>
      </c>
      <c r="AX13" s="103"/>
      <c r="AY13" s="103"/>
      <c r="AZ13" s="103"/>
      <c r="BA13" s="104"/>
      <c r="BB13" s="102">
        <v>46295</v>
      </c>
      <c r="BC13" s="103"/>
      <c r="BD13" s="103"/>
      <c r="BE13" s="103"/>
      <c r="BF13" s="104"/>
      <c r="BG13" s="102">
        <v>46326</v>
      </c>
      <c r="BH13" s="103"/>
      <c r="BI13" s="103"/>
      <c r="BJ13" s="103"/>
      <c r="BK13" s="104"/>
      <c r="BL13" s="102">
        <v>46356</v>
      </c>
      <c r="BM13" s="103"/>
      <c r="BN13" s="103"/>
      <c r="BO13" s="103"/>
      <c r="BP13" s="104"/>
      <c r="BQ13" s="102">
        <v>46387</v>
      </c>
      <c r="BR13" s="103"/>
      <c r="BS13" s="103"/>
      <c r="BT13" s="103"/>
      <c r="BU13" s="104"/>
      <c r="BV13" s="7">
        <f>SUM(BV15:BV17)</f>
        <v>0</v>
      </c>
      <c r="BW13" s="8"/>
      <c r="BY13" s="3"/>
    </row>
    <row r="14" spans="1:139" ht="60.75" customHeight="1" thickBot="1" x14ac:dyDescent="0.3">
      <c r="A14" s="56" t="s">
        <v>20</v>
      </c>
      <c r="B14" s="57" t="s">
        <v>21</v>
      </c>
      <c r="C14" s="58" t="s">
        <v>22</v>
      </c>
      <c r="D14" s="59" t="s">
        <v>23</v>
      </c>
      <c r="E14" s="60" t="s">
        <v>24</v>
      </c>
      <c r="F14" s="60" t="s">
        <v>25</v>
      </c>
      <c r="G14" s="58" t="s">
        <v>26</v>
      </c>
      <c r="H14" s="58" t="s">
        <v>27</v>
      </c>
      <c r="I14" s="58" t="s">
        <v>28</v>
      </c>
      <c r="J14" s="58" t="s">
        <v>7</v>
      </c>
      <c r="K14" s="61" t="s">
        <v>29</v>
      </c>
      <c r="L14" s="62" t="s">
        <v>30</v>
      </c>
      <c r="M14" s="48" t="s">
        <v>31</v>
      </c>
      <c r="N14" s="51" t="s">
        <v>32</v>
      </c>
      <c r="O14" s="52" t="s">
        <v>33</v>
      </c>
      <c r="P14" s="52" t="s">
        <v>34</v>
      </c>
      <c r="Q14" s="52" t="s">
        <v>35</v>
      </c>
      <c r="R14" s="50" t="s">
        <v>36</v>
      </c>
      <c r="S14" s="63" t="s">
        <v>37</v>
      </c>
      <c r="T14" s="52" t="s">
        <v>38</v>
      </c>
      <c r="U14" s="52" t="s">
        <v>39</v>
      </c>
      <c r="V14" s="64" t="s">
        <v>40</v>
      </c>
      <c r="W14" s="65" t="s">
        <v>36</v>
      </c>
      <c r="X14" s="63" t="s">
        <v>41</v>
      </c>
      <c r="Y14" s="52" t="s">
        <v>42</v>
      </c>
      <c r="Z14" s="52" t="s">
        <v>43</v>
      </c>
      <c r="AA14" s="64" t="s">
        <v>44</v>
      </c>
      <c r="AB14" s="65" t="s">
        <v>36</v>
      </c>
      <c r="AC14" s="63" t="s">
        <v>45</v>
      </c>
      <c r="AD14" s="52" t="s">
        <v>46</v>
      </c>
      <c r="AE14" s="52" t="s">
        <v>47</v>
      </c>
      <c r="AF14" s="64" t="s">
        <v>48</v>
      </c>
      <c r="AG14" s="65" t="s">
        <v>36</v>
      </c>
      <c r="AH14" s="63" t="s">
        <v>49</v>
      </c>
      <c r="AI14" s="52" t="s">
        <v>50</v>
      </c>
      <c r="AJ14" s="52" t="s">
        <v>51</v>
      </c>
      <c r="AK14" s="64" t="s">
        <v>52</v>
      </c>
      <c r="AL14" s="65" t="s">
        <v>36</v>
      </c>
      <c r="AM14" s="63" t="s">
        <v>53</v>
      </c>
      <c r="AN14" s="52" t="s">
        <v>54</v>
      </c>
      <c r="AO14" s="52" t="s">
        <v>55</v>
      </c>
      <c r="AP14" s="64" t="s">
        <v>56</v>
      </c>
      <c r="AQ14" s="65" t="s">
        <v>36</v>
      </c>
      <c r="AR14" s="63" t="s">
        <v>57</v>
      </c>
      <c r="AS14" s="52" t="s">
        <v>58</v>
      </c>
      <c r="AT14" s="52" t="s">
        <v>59</v>
      </c>
      <c r="AU14" s="64" t="s">
        <v>60</v>
      </c>
      <c r="AV14" s="65" t="s">
        <v>36</v>
      </c>
      <c r="AW14" s="63" t="s">
        <v>61</v>
      </c>
      <c r="AX14" s="52" t="s">
        <v>62</v>
      </c>
      <c r="AY14" s="52" t="s">
        <v>63</v>
      </c>
      <c r="AZ14" s="64" t="s">
        <v>64</v>
      </c>
      <c r="BA14" s="65" t="s">
        <v>36</v>
      </c>
      <c r="BB14" s="63" t="s">
        <v>65</v>
      </c>
      <c r="BC14" s="52" t="s">
        <v>66</v>
      </c>
      <c r="BD14" s="52" t="s">
        <v>67</v>
      </c>
      <c r="BE14" s="64" t="s">
        <v>68</v>
      </c>
      <c r="BF14" s="65" t="s">
        <v>36</v>
      </c>
      <c r="BG14" s="63" t="s">
        <v>69</v>
      </c>
      <c r="BH14" s="52" t="s">
        <v>70</v>
      </c>
      <c r="BI14" s="52" t="s">
        <v>71</v>
      </c>
      <c r="BJ14" s="64" t="s">
        <v>72</v>
      </c>
      <c r="BK14" s="65" t="s">
        <v>36</v>
      </c>
      <c r="BL14" s="63" t="s">
        <v>73</v>
      </c>
      <c r="BM14" s="52" t="s">
        <v>74</v>
      </c>
      <c r="BN14" s="52" t="s">
        <v>75</v>
      </c>
      <c r="BO14" s="64" t="s">
        <v>76</v>
      </c>
      <c r="BP14" s="65" t="s">
        <v>36</v>
      </c>
      <c r="BQ14" s="63" t="s">
        <v>77</v>
      </c>
      <c r="BR14" s="52" t="s">
        <v>78</v>
      </c>
      <c r="BS14" s="52" t="s">
        <v>79</v>
      </c>
      <c r="BT14" s="64" t="s">
        <v>80</v>
      </c>
      <c r="BU14" s="65" t="s">
        <v>36</v>
      </c>
      <c r="BV14" s="51" t="s">
        <v>81</v>
      </c>
      <c r="BW14" s="52" t="s">
        <v>82</v>
      </c>
      <c r="BX14" s="48" t="s">
        <v>83</v>
      </c>
    </row>
    <row r="15" spans="1:139" x14ac:dyDescent="0.25">
      <c r="A15" s="79"/>
      <c r="B15" s="97" t="s">
        <v>84</v>
      </c>
      <c r="C15" s="80"/>
      <c r="D15" s="80"/>
      <c r="E15" s="81"/>
      <c r="F15" s="80"/>
      <c r="G15" s="80"/>
      <c r="H15" s="80"/>
      <c r="I15" s="80"/>
      <c r="J15" s="80"/>
      <c r="K15" s="82"/>
      <c r="L15" s="83"/>
      <c r="M15" s="84"/>
      <c r="N15" s="85">
        <v>0</v>
      </c>
      <c r="O15" s="86">
        <v>14487.5</v>
      </c>
      <c r="P15" s="86">
        <v>0</v>
      </c>
      <c r="Q15" s="87">
        <v>13822.5</v>
      </c>
      <c r="R15" s="87">
        <f>P15-Q15</f>
        <v>-13822.5</v>
      </c>
      <c r="S15" s="88">
        <v>0</v>
      </c>
      <c r="T15" s="86">
        <v>10212.5</v>
      </c>
      <c r="U15" s="86">
        <v>19385.28</v>
      </c>
      <c r="V15" s="87">
        <v>17100</v>
      </c>
      <c r="W15" s="89">
        <f>U15-V15</f>
        <v>2285.2799999999988</v>
      </c>
      <c r="X15" s="90">
        <v>-19385.28</v>
      </c>
      <c r="Y15" s="86">
        <v>21375</v>
      </c>
      <c r="Z15" s="86">
        <v>22813.72</v>
      </c>
      <c r="AA15" s="87">
        <v>20425</v>
      </c>
      <c r="AB15" s="89">
        <f>Z15-AA15</f>
        <v>2388.7200000000012</v>
      </c>
      <c r="AC15" s="90">
        <v>-22813.72</v>
      </c>
      <c r="AD15" s="86">
        <v>15390</v>
      </c>
      <c r="AE15" s="86">
        <v>19294.5</v>
      </c>
      <c r="AF15" s="86">
        <v>15247.5</v>
      </c>
      <c r="AG15" s="89">
        <f>AE15-AF15</f>
        <v>4047</v>
      </c>
      <c r="AH15" s="90">
        <v>-19294.5</v>
      </c>
      <c r="AI15" s="86">
        <v>17100</v>
      </c>
      <c r="AJ15" s="86">
        <v>20952.78</v>
      </c>
      <c r="AK15" s="86">
        <v>11162.5</v>
      </c>
      <c r="AL15" s="89">
        <f>AJ15-AK15</f>
        <v>9790.2799999999988</v>
      </c>
      <c r="AM15" s="90">
        <v>-20952.78</v>
      </c>
      <c r="AN15" s="86">
        <v>21375</v>
      </c>
      <c r="AO15" s="86">
        <v>30922.5</v>
      </c>
      <c r="AP15" s="86">
        <v>16862.5</v>
      </c>
      <c r="AQ15" s="89">
        <f>AO15-AP15</f>
        <v>14060</v>
      </c>
      <c r="AR15" s="90">
        <v>-30922.5</v>
      </c>
      <c r="AS15" s="86">
        <v>855</v>
      </c>
      <c r="AT15" s="86">
        <v>14060</v>
      </c>
      <c r="AU15" s="86">
        <v>427.5</v>
      </c>
      <c r="AV15" s="89">
        <f>AT15-AU15</f>
        <v>13632.5</v>
      </c>
      <c r="AW15" s="90">
        <v>-14060</v>
      </c>
      <c r="AX15" s="86">
        <v>0</v>
      </c>
      <c r="AY15" s="86">
        <v>13632.5</v>
      </c>
      <c r="AZ15" s="86">
        <v>0</v>
      </c>
      <c r="BA15" s="89">
        <f>AY15-AZ15</f>
        <v>13632.5</v>
      </c>
      <c r="BB15" s="90">
        <v>-13632.5</v>
      </c>
      <c r="BC15" s="86">
        <v>0</v>
      </c>
      <c r="BD15" s="86">
        <v>13632.5</v>
      </c>
      <c r="BE15" s="86">
        <v>0</v>
      </c>
      <c r="BF15" s="89">
        <f>BD15-BE15</f>
        <v>13632.5</v>
      </c>
      <c r="BG15" s="90">
        <v>0</v>
      </c>
      <c r="BH15" s="86">
        <v>0</v>
      </c>
      <c r="BI15" s="86">
        <v>0</v>
      </c>
      <c r="BJ15" s="86">
        <v>0</v>
      </c>
      <c r="BK15" s="89">
        <f>BI15-BJ15</f>
        <v>0</v>
      </c>
      <c r="BL15" s="90">
        <v>0</v>
      </c>
      <c r="BM15" s="86">
        <v>0</v>
      </c>
      <c r="BN15" s="86">
        <v>0</v>
      </c>
      <c r="BO15" s="86">
        <v>0</v>
      </c>
      <c r="BP15" s="89">
        <f>BN15-BO15</f>
        <v>0</v>
      </c>
      <c r="BQ15" s="90">
        <v>0</v>
      </c>
      <c r="BR15" s="86">
        <v>0</v>
      </c>
      <c r="BS15" s="86">
        <v>0</v>
      </c>
      <c r="BT15" s="86">
        <v>0</v>
      </c>
      <c r="BU15" s="89">
        <f>BS15-BT15</f>
        <v>0</v>
      </c>
      <c r="BV15" s="91">
        <v>0</v>
      </c>
      <c r="BW15" s="92"/>
      <c r="BX15" s="93"/>
      <c r="BY15" s="78"/>
      <c r="BZ15" s="78"/>
      <c r="CA15" s="78"/>
      <c r="CB15" s="78"/>
      <c r="CC15" s="78"/>
      <c r="CD15" s="78"/>
      <c r="CE15" s="78"/>
      <c r="CF15" s="78"/>
      <c r="CG15" s="78"/>
      <c r="CH15" s="78"/>
      <c r="CI15" s="78"/>
      <c r="CJ15" s="78"/>
      <c r="CK15" s="78"/>
      <c r="CL15" s="78"/>
      <c r="CM15" s="78"/>
      <c r="CN15" s="78"/>
      <c r="CO15" s="78"/>
      <c r="CP15" s="78"/>
      <c r="CQ15" s="78"/>
      <c r="CR15" s="78"/>
      <c r="CS15" s="78"/>
      <c r="CT15" s="78"/>
      <c r="CU15" s="78"/>
      <c r="CV15" s="78"/>
      <c r="CW15" s="78"/>
      <c r="CX15" s="78"/>
      <c r="CY15" s="78"/>
      <c r="CZ15" s="78"/>
      <c r="DA15" s="78"/>
      <c r="DB15" s="78"/>
      <c r="DC15" s="78"/>
      <c r="DD15" s="78"/>
      <c r="DE15" s="78"/>
      <c r="DF15" s="78"/>
      <c r="DG15" s="78"/>
      <c r="DH15" s="78"/>
      <c r="DI15" s="78"/>
      <c r="DJ15" s="78"/>
      <c r="DK15" s="78"/>
      <c r="DL15" s="78"/>
      <c r="DM15" s="78"/>
      <c r="DN15" s="78"/>
      <c r="DO15" s="78"/>
      <c r="DP15" s="78"/>
      <c r="DQ15" s="78"/>
      <c r="DR15" s="78"/>
      <c r="DS15" s="78"/>
      <c r="DT15" s="78"/>
      <c r="DU15" s="78"/>
      <c r="DV15" s="78"/>
      <c r="DW15" s="78"/>
      <c r="DX15" s="78"/>
      <c r="DY15" s="78"/>
      <c r="DZ15" s="78"/>
      <c r="EA15" s="78"/>
      <c r="EB15" s="78"/>
      <c r="EC15" s="78"/>
      <c r="ED15" s="78"/>
      <c r="EE15" s="78"/>
      <c r="EF15" s="78"/>
      <c r="EG15" s="78"/>
      <c r="EH15" s="78"/>
      <c r="EI15" s="78"/>
    </row>
    <row r="16" spans="1:139" x14ac:dyDescent="0.25">
      <c r="A16" s="94"/>
      <c r="B16" s="86" t="s">
        <v>85</v>
      </c>
      <c r="C16" s="95"/>
      <c r="D16" s="95"/>
      <c r="E16" s="95"/>
      <c r="F16" s="95"/>
      <c r="G16" s="95"/>
      <c r="H16" s="95"/>
      <c r="I16" s="95"/>
      <c r="J16" s="95"/>
      <c r="K16" s="96"/>
      <c r="L16" s="95"/>
      <c r="M16" s="93"/>
      <c r="N16" s="85">
        <v>0</v>
      </c>
      <c r="O16" s="86">
        <v>25857</v>
      </c>
      <c r="P16" s="86">
        <v>0</v>
      </c>
      <c r="Q16" s="87">
        <v>34040</v>
      </c>
      <c r="R16" s="87">
        <f>P16-Q16</f>
        <v>-34040</v>
      </c>
      <c r="S16" s="88">
        <v>0</v>
      </c>
      <c r="T16" s="86">
        <v>30420</v>
      </c>
      <c r="U16" s="86">
        <v>62210</v>
      </c>
      <c r="V16" s="87">
        <v>0</v>
      </c>
      <c r="W16" s="89">
        <f>U16-V16</f>
        <v>62210</v>
      </c>
      <c r="X16" s="90">
        <v>-78320</v>
      </c>
      <c r="Y16" s="86">
        <v>60000</v>
      </c>
      <c r="Z16" s="86">
        <v>121710</v>
      </c>
      <c r="AA16" s="87">
        <v>58648</v>
      </c>
      <c r="AB16" s="89">
        <f>Z16-AA16</f>
        <v>63062</v>
      </c>
      <c r="AC16" s="90">
        <v>-140172</v>
      </c>
      <c r="AD16" s="86">
        <v>48000</v>
      </c>
      <c r="AE16" s="86">
        <v>128172</v>
      </c>
      <c r="AF16" s="87">
        <v>20960</v>
      </c>
      <c r="AG16" s="89">
        <f>AE16-AF16</f>
        <v>107212</v>
      </c>
      <c r="AH16" s="90">
        <v>-130564</v>
      </c>
      <c r="AI16" s="86">
        <v>48000</v>
      </c>
      <c r="AJ16" s="86">
        <v>158564</v>
      </c>
      <c r="AK16" s="87">
        <v>102760</v>
      </c>
      <c r="AL16" s="89">
        <f>AJ16-AK16</f>
        <v>55804</v>
      </c>
      <c r="AM16" s="90">
        <v>-140102</v>
      </c>
      <c r="AN16" s="86">
        <v>57600</v>
      </c>
      <c r="AO16" s="86">
        <v>117094</v>
      </c>
      <c r="AP16" s="87">
        <v>38368</v>
      </c>
      <c r="AQ16" s="89">
        <f>AO16-AP16</f>
        <v>78726</v>
      </c>
      <c r="AR16" s="90">
        <v>-98592</v>
      </c>
      <c r="AS16" s="86">
        <v>2400</v>
      </c>
      <c r="AT16" s="86">
        <v>60224</v>
      </c>
      <c r="AU16" s="87">
        <v>0</v>
      </c>
      <c r="AV16" s="89">
        <f>AT16-AU16</f>
        <v>60224</v>
      </c>
      <c r="AW16" s="90">
        <v>-60224</v>
      </c>
      <c r="AX16" s="86">
        <v>0</v>
      </c>
      <c r="AY16" s="86">
        <v>0</v>
      </c>
      <c r="AZ16" s="87">
        <v>2400</v>
      </c>
      <c r="BA16" s="89">
        <f>AY16-AZ16</f>
        <v>-2400</v>
      </c>
      <c r="BB16" s="90">
        <v>0</v>
      </c>
      <c r="BC16" s="86">
        <v>0</v>
      </c>
      <c r="BD16" s="86">
        <v>57824</v>
      </c>
      <c r="BE16" s="87">
        <v>0</v>
      </c>
      <c r="BF16" s="89">
        <f>BD16-BE16</f>
        <v>57824</v>
      </c>
      <c r="BG16" s="90">
        <v>0</v>
      </c>
      <c r="BH16" s="86">
        <v>0</v>
      </c>
      <c r="BI16" s="86">
        <v>0</v>
      </c>
      <c r="BJ16" s="87">
        <v>0</v>
      </c>
      <c r="BK16" s="89">
        <f>BI16-BJ16</f>
        <v>0</v>
      </c>
      <c r="BL16" s="90">
        <v>0</v>
      </c>
      <c r="BM16" s="86">
        <v>0</v>
      </c>
      <c r="BN16" s="86">
        <v>0</v>
      </c>
      <c r="BO16" s="87">
        <v>0</v>
      </c>
      <c r="BP16" s="89">
        <f>BN16-BO16</f>
        <v>0</v>
      </c>
      <c r="BQ16" s="90">
        <v>0</v>
      </c>
      <c r="BR16" s="86">
        <v>0</v>
      </c>
      <c r="BS16" s="86">
        <v>0</v>
      </c>
      <c r="BT16" s="87">
        <v>0</v>
      </c>
      <c r="BU16" s="89">
        <f>BS16-BT16</f>
        <v>0</v>
      </c>
      <c r="BV16" s="88">
        <v>0</v>
      </c>
      <c r="BW16" s="92"/>
      <c r="BX16" s="93"/>
      <c r="BY16" s="78"/>
      <c r="BZ16" s="78"/>
      <c r="CA16" s="78"/>
      <c r="CB16" s="78"/>
      <c r="CC16" s="78"/>
      <c r="CD16" s="78"/>
      <c r="CE16" s="78"/>
      <c r="CF16" s="78"/>
      <c r="CG16" s="78"/>
      <c r="CH16" s="78"/>
      <c r="CI16" s="78"/>
      <c r="CJ16" s="78"/>
      <c r="CK16" s="78"/>
      <c r="CL16" s="78"/>
      <c r="CM16" s="78"/>
      <c r="CN16" s="78"/>
      <c r="CO16" s="78"/>
      <c r="CP16" s="78"/>
      <c r="CQ16" s="78"/>
      <c r="CR16" s="78"/>
      <c r="CS16" s="78"/>
      <c r="CT16" s="78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78"/>
      <c r="DL16" s="78"/>
      <c r="DM16" s="78"/>
      <c r="DN16" s="78"/>
      <c r="DO16" s="78"/>
      <c r="DP16" s="78"/>
      <c r="DQ16" s="78"/>
      <c r="DR16" s="78"/>
      <c r="DS16" s="78"/>
      <c r="DT16" s="78"/>
      <c r="DU16" s="78"/>
      <c r="DV16" s="78"/>
      <c r="DW16" s="78"/>
      <c r="DX16" s="78"/>
      <c r="DY16" s="78"/>
      <c r="DZ16" s="78"/>
      <c r="EA16" s="78"/>
      <c r="EB16" s="78"/>
      <c r="EC16" s="78"/>
      <c r="ED16" s="78"/>
      <c r="EE16" s="78"/>
      <c r="EF16" s="78"/>
      <c r="EG16" s="78"/>
      <c r="EH16" s="78"/>
      <c r="EI16" s="78"/>
    </row>
    <row r="17" spans="1:76" s="9" customFormat="1" ht="15.75" customHeight="1" thickBot="1" x14ac:dyDescent="0.3">
      <c r="A17" s="66" t="s">
        <v>86</v>
      </c>
      <c r="B17" s="67"/>
      <c r="C17" s="68"/>
      <c r="D17" s="68"/>
      <c r="E17" s="69"/>
      <c r="F17" s="69"/>
      <c r="G17" s="69"/>
      <c r="H17" s="69"/>
      <c r="I17" s="69"/>
      <c r="J17" s="69"/>
      <c r="K17" s="70"/>
      <c r="L17" s="69"/>
      <c r="M17" s="71"/>
      <c r="N17" s="72"/>
      <c r="O17" s="73"/>
      <c r="P17" s="73"/>
      <c r="Q17" s="74"/>
      <c r="R17" s="74" t="str">
        <f>IF(OR(P17="",Q17=""),"",P17-Q17)</f>
        <v/>
      </c>
      <c r="S17" s="75"/>
      <c r="T17" s="73"/>
      <c r="U17" s="73"/>
      <c r="V17" s="74"/>
      <c r="W17" s="76"/>
      <c r="X17" s="77"/>
      <c r="Y17" s="73"/>
      <c r="Z17" s="73"/>
      <c r="AA17" s="74"/>
      <c r="AB17" s="76"/>
      <c r="AC17" s="77"/>
      <c r="AD17" s="73"/>
      <c r="AE17" s="73"/>
      <c r="AF17" s="74"/>
      <c r="AG17" s="76" t="str">
        <f>IF(OR(AE17="",AF17=""),"",AE17-AF17)</f>
        <v/>
      </c>
      <c r="AH17" s="77"/>
      <c r="AI17" s="73"/>
      <c r="AJ17" s="73"/>
      <c r="AK17" s="74"/>
      <c r="AL17" s="76" t="str">
        <f>IF(OR(AJ17="",AK17=""),"",AJ17-AK17)</f>
        <v/>
      </c>
      <c r="AM17" s="77"/>
      <c r="AN17" s="73"/>
      <c r="AO17" s="73"/>
      <c r="AP17" s="74"/>
      <c r="AQ17" s="76" t="str">
        <f>IF(OR(AO17="",AP17=""),"",AO17-AP17)</f>
        <v/>
      </c>
      <c r="AR17" s="77"/>
      <c r="AS17" s="73"/>
      <c r="AT17" s="73"/>
      <c r="AU17" s="74"/>
      <c r="AV17" s="76" t="str">
        <f>IF(OR(AT17="",AU17=""),"",AT17-AU17)</f>
        <v/>
      </c>
      <c r="AW17" s="77"/>
      <c r="AX17" s="73"/>
      <c r="AY17" s="73"/>
      <c r="AZ17" s="74"/>
      <c r="BA17" s="76" t="str">
        <f>IF(OR(AY17="",AZ17=""),"",AY17-AZ17)</f>
        <v/>
      </c>
      <c r="BB17" s="77"/>
      <c r="BC17" s="73"/>
      <c r="BD17" s="73"/>
      <c r="BE17" s="74"/>
      <c r="BF17" s="76" t="str">
        <f>IF(OR(BD17="",BE17=""),"",BD17-BE17)</f>
        <v/>
      </c>
      <c r="BG17" s="77"/>
      <c r="BH17" s="73"/>
      <c r="BI17" s="73"/>
      <c r="BJ17" s="74"/>
      <c r="BK17" s="76" t="str">
        <f>IF(OR(BI17="",BJ17=""),"",BI17-BJ17)</f>
        <v/>
      </c>
      <c r="BL17" s="77"/>
      <c r="BM17" s="73"/>
      <c r="BN17" s="73"/>
      <c r="BO17" s="74"/>
      <c r="BP17" s="76" t="str">
        <f>IF(OR(BN17="",BO17=""),"",BN17-BO17)</f>
        <v/>
      </c>
      <c r="BQ17" s="77"/>
      <c r="BR17" s="73"/>
      <c r="BS17" s="73"/>
      <c r="BT17" s="74"/>
      <c r="BU17" s="76" t="str">
        <f>IF(OR(BS17="",BT17=""),"",BS17-BT17)</f>
        <v/>
      </c>
      <c r="BV17" s="75">
        <f>SUM(IF(Q17&lt;&gt;"",Q17,IF(P17&lt;&gt;"",P17,O17)),IF(V17&lt;&gt;"",V17,IF(U17&lt;&gt;"",U17,T17)),IF(AA17&lt;&gt;"",AA17,IF(Z17&lt;&gt;"",Z17,Y17)),IF(AF17&lt;&gt;"",AF17,IF(AE17&lt;&gt;"",AE17,AD17)),IF(AK17&lt;&gt;"",AK17,IF(AJ17&lt;&gt;"",AJ17,AI17)),IF(AP17&lt;&gt;"",AP17,IF(AO17&lt;&gt;"",AO17,AN17)),IF(AU17&lt;&gt;"",AU17,IF(AT17&lt;&gt;"",AT17,AS17)),IF(AZ17&lt;&gt;"",AZ17,IF(AY17&lt;&gt;"",AY17,AX17)),IF(BE17&lt;&gt;"",BE17,IF(BD17&lt;&gt;"",BD17,BC17)),IF(BJ17&lt;&gt;"",BJ17,IF(BI17&lt;&gt;"",BI17,BH17)),IF(BO17&lt;&gt;"",BO17,IF(BN17&lt;&gt;"",BN17,BM17)),IF(BT17&lt;&gt;"",BT17,IF(BS17&lt;&gt;"",BS17,BR17)))</f>
        <v>0</v>
      </c>
      <c r="BW17" s="53"/>
      <c r="BX17" s="49"/>
    </row>
    <row r="18" spans="1:76" x14ac:dyDescent="0.25">
      <c r="A18" t="s">
        <v>87</v>
      </c>
      <c r="AA18" s="3"/>
    </row>
  </sheetData>
  <autoFilter ref="A14:BY18" xr:uid="{00000000-0009-0000-0000-000000000000}"/>
  <mergeCells count="40">
    <mergeCell ref="L11:M11"/>
    <mergeCell ref="AW12:BA12"/>
    <mergeCell ref="BB11:BF11"/>
    <mergeCell ref="A9:B9"/>
    <mergeCell ref="AH13:AL13"/>
    <mergeCell ref="BL11:BP11"/>
    <mergeCell ref="S13:W13"/>
    <mergeCell ref="AR13:AV13"/>
    <mergeCell ref="AM11:AQ11"/>
    <mergeCell ref="BQ12:BU12"/>
    <mergeCell ref="AH11:AL11"/>
    <mergeCell ref="BG11:BK11"/>
    <mergeCell ref="BQ11:BU11"/>
    <mergeCell ref="AR12:AV12"/>
    <mergeCell ref="AM12:AQ12"/>
    <mergeCell ref="AR11:AV11"/>
    <mergeCell ref="AC11:AG11"/>
    <mergeCell ref="BL12:BP12"/>
    <mergeCell ref="L13:M13"/>
    <mergeCell ref="BL13:BP13"/>
    <mergeCell ref="AM13:AQ13"/>
    <mergeCell ref="AC12:AG12"/>
    <mergeCell ref="X13:AB13"/>
    <mergeCell ref="L12:M12"/>
    <mergeCell ref="N12:R12"/>
    <mergeCell ref="AW13:BA13"/>
    <mergeCell ref="N13:R13"/>
    <mergeCell ref="N11:R11"/>
    <mergeCell ref="X11:AB11"/>
    <mergeCell ref="AW11:BA11"/>
    <mergeCell ref="BB12:BF12"/>
    <mergeCell ref="AC13:AG13"/>
    <mergeCell ref="S11:W11"/>
    <mergeCell ref="X12:AB12"/>
    <mergeCell ref="BG13:BK13"/>
    <mergeCell ref="BQ13:BU13"/>
    <mergeCell ref="AH12:AL12"/>
    <mergeCell ref="S12:W12"/>
    <mergeCell ref="BB13:BF13"/>
    <mergeCell ref="BG12:BK12"/>
  </mergeCells>
  <conditionalFormatting sqref="Q17 V17 AA17 AF17 AK17 AP17 AU17 AZ17 BE17 BJ17 BO17 BT17">
    <cfRule type="expression" dxfId="2" priority="8">
      <formula>IF(AND(P17&gt;0,Q17=0),TRUE,FALSE)</formula>
    </cfRule>
  </conditionalFormatting>
  <conditionalFormatting sqref="BT10 V17:X17 AB17:AC17 AG17:AH17 AL17:AM17 AQ17:AR17 AV17:AW17 BA17:BB17 BF17:BG17 BK17:BL17 BP17:BQ17 BU17">
    <cfRule type="expression" dxfId="1" priority="9">
      <formula>IF(AND(U10&lt;&gt;"",V10="",TODAY()&gt;DATE(YEAR(TODAY()),MONTH(DATEVALUE("1-"&amp;LEFT(#REF!,3)&amp;"-1900")),20)),TRUE,FALSE)</formula>
    </cfRule>
  </conditionalFormatting>
  <conditionalFormatting sqref="BW11:BW12">
    <cfRule type="expression" dxfId="0" priority="7">
      <formula>IF(BW11&lt;0,TRUE,FALSE)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6"/>
  <sheetViews>
    <sheetView workbookViewId="0">
      <pane ySplit="1" topLeftCell="A2" activePane="bottomLeft" state="frozen"/>
      <selection pane="bottomLeft"/>
    </sheetView>
  </sheetViews>
  <sheetFormatPr defaultRowHeight="15" outlineLevelCol="1" x14ac:dyDescent="0.25"/>
  <cols>
    <col min="1" max="1" width="12" customWidth="1"/>
    <col min="2" max="2" width="19" customWidth="1"/>
    <col min="3" max="4" width="21" customWidth="1"/>
    <col min="5" max="5" width="19" customWidth="1"/>
    <col min="6" max="7" width="20" customWidth="1"/>
    <col min="8" max="12" width="19" customWidth="1"/>
    <col min="13" max="78" width="21" customWidth="1" outlineLevel="1"/>
  </cols>
  <sheetData>
    <row r="1" spans="1:78" x14ac:dyDescent="0.25">
      <c r="A1" t="s">
        <v>88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99</v>
      </c>
      <c r="M1" t="s">
        <v>100</v>
      </c>
      <c r="N1" t="s">
        <v>101</v>
      </c>
      <c r="O1" t="s">
        <v>102</v>
      </c>
      <c r="P1" t="s">
        <v>103</v>
      </c>
      <c r="Q1" t="s">
        <v>104</v>
      </c>
      <c r="R1" t="s">
        <v>105</v>
      </c>
      <c r="S1" t="s">
        <v>106</v>
      </c>
      <c r="T1" t="s">
        <v>107</v>
      </c>
      <c r="U1" t="s">
        <v>108</v>
      </c>
      <c r="V1" t="s">
        <v>109</v>
      </c>
      <c r="W1" t="s">
        <v>110</v>
      </c>
      <c r="X1" t="s">
        <v>111</v>
      </c>
      <c r="Y1" t="s">
        <v>112</v>
      </c>
      <c r="Z1" t="s">
        <v>113</v>
      </c>
      <c r="AA1" t="s">
        <v>114</v>
      </c>
      <c r="AB1" t="s">
        <v>115</v>
      </c>
      <c r="AC1" t="s">
        <v>116</v>
      </c>
      <c r="AD1" t="s">
        <v>117</v>
      </c>
      <c r="AE1" t="s">
        <v>118</v>
      </c>
      <c r="AF1" t="s">
        <v>119</v>
      </c>
      <c r="AG1" t="s">
        <v>120</v>
      </c>
      <c r="AH1" t="s">
        <v>121</v>
      </c>
      <c r="AI1" t="s">
        <v>122</v>
      </c>
      <c r="AJ1" t="s">
        <v>123</v>
      </c>
      <c r="AK1" t="s">
        <v>83</v>
      </c>
      <c r="AL1" t="s">
        <v>124</v>
      </c>
      <c r="AM1" t="s">
        <v>125</v>
      </c>
      <c r="AN1" t="s">
        <v>126</v>
      </c>
      <c r="AO1" t="s">
        <v>127</v>
      </c>
      <c r="AP1" t="s">
        <v>128</v>
      </c>
      <c r="AQ1" t="s">
        <v>129</v>
      </c>
      <c r="AR1" t="s">
        <v>130</v>
      </c>
      <c r="AS1" t="s">
        <v>131</v>
      </c>
      <c r="AT1" t="s">
        <v>132</v>
      </c>
      <c r="AU1" t="s">
        <v>133</v>
      </c>
      <c r="AV1" t="s">
        <v>134</v>
      </c>
      <c r="AW1" t="s">
        <v>135</v>
      </c>
      <c r="AX1" t="s">
        <v>136</v>
      </c>
      <c r="AY1" t="s">
        <v>137</v>
      </c>
      <c r="AZ1" t="s">
        <v>138</v>
      </c>
      <c r="BA1" t="s">
        <v>139</v>
      </c>
      <c r="BB1" t="s">
        <v>140</v>
      </c>
      <c r="BC1" t="s">
        <v>141</v>
      </c>
      <c r="BD1" t="s">
        <v>142</v>
      </c>
      <c r="BE1" t="s">
        <v>143</v>
      </c>
      <c r="BF1" t="s">
        <v>144</v>
      </c>
      <c r="BG1" t="s">
        <v>145</v>
      </c>
      <c r="BH1" t="s">
        <v>146</v>
      </c>
      <c r="BI1" t="s">
        <v>147</v>
      </c>
      <c r="BJ1" t="s">
        <v>148</v>
      </c>
      <c r="BK1" t="s">
        <v>149</v>
      </c>
      <c r="BL1" t="s">
        <v>150</v>
      </c>
      <c r="BM1" t="s">
        <v>151</v>
      </c>
      <c r="BN1" t="s">
        <v>152</v>
      </c>
      <c r="BO1" t="s">
        <v>153</v>
      </c>
      <c r="BP1" t="s">
        <v>154</v>
      </c>
      <c r="BQ1" t="s">
        <v>155</v>
      </c>
      <c r="BR1" t="s">
        <v>156</v>
      </c>
      <c r="BS1" t="s">
        <v>157</v>
      </c>
      <c r="BT1" t="s">
        <v>158</v>
      </c>
      <c r="BU1" t="s">
        <v>159</v>
      </c>
      <c r="BV1" t="s">
        <v>160</v>
      </c>
      <c r="BW1" t="s">
        <v>161</v>
      </c>
      <c r="BX1" t="s">
        <v>162</v>
      </c>
      <c r="BY1" t="s">
        <v>163</v>
      </c>
      <c r="BZ1" t="s">
        <v>164</v>
      </c>
    </row>
    <row r="2" spans="1:78" x14ac:dyDescent="0.25">
      <c r="A2" t="s">
        <v>84</v>
      </c>
      <c r="B2">
        <v>4275</v>
      </c>
      <c r="C2">
        <v>10687.5</v>
      </c>
      <c r="D2">
        <v>7695</v>
      </c>
      <c r="E2">
        <v>8550</v>
      </c>
      <c r="F2">
        <v>10687.5</v>
      </c>
      <c r="G2">
        <v>427.5</v>
      </c>
      <c r="H2">
        <v>0</v>
      </c>
      <c r="I2">
        <v>0</v>
      </c>
      <c r="J2">
        <v>0</v>
      </c>
      <c r="K2">
        <v>0</v>
      </c>
      <c r="L2">
        <v>0</v>
      </c>
      <c r="M2" t="s">
        <v>165</v>
      </c>
      <c r="N2" t="s">
        <v>166</v>
      </c>
      <c r="O2" t="s">
        <v>167</v>
      </c>
      <c r="P2" t="s">
        <v>168</v>
      </c>
      <c r="Q2" t="s">
        <v>169</v>
      </c>
      <c r="R2" s="98">
        <v>45658</v>
      </c>
      <c r="S2" s="98">
        <v>45838</v>
      </c>
      <c r="T2" t="s">
        <v>170</v>
      </c>
      <c r="U2" t="s">
        <v>171</v>
      </c>
      <c r="V2">
        <v>47.5</v>
      </c>
      <c r="Y2">
        <v>0</v>
      </c>
      <c r="Z2">
        <v>0</v>
      </c>
      <c r="AA2">
        <v>0</v>
      </c>
      <c r="AB2">
        <v>0</v>
      </c>
      <c r="AD2">
        <v>0</v>
      </c>
      <c r="AE2">
        <v>0</v>
      </c>
      <c r="AF2">
        <v>0</v>
      </c>
      <c r="AG2">
        <v>0</v>
      </c>
      <c r="AI2">
        <v>1</v>
      </c>
      <c r="AJ2">
        <v>0</v>
      </c>
      <c r="AL2">
        <v>1048</v>
      </c>
      <c r="AM2">
        <v>157</v>
      </c>
      <c r="AN2">
        <v>90</v>
      </c>
      <c r="AO2">
        <v>225</v>
      </c>
      <c r="AP2">
        <v>162</v>
      </c>
      <c r="AQ2">
        <v>180</v>
      </c>
      <c r="AR2">
        <v>225</v>
      </c>
      <c r="AS2">
        <v>9</v>
      </c>
      <c r="AT2">
        <v>0</v>
      </c>
      <c r="AU2">
        <v>0</v>
      </c>
      <c r="AV2">
        <v>0</v>
      </c>
      <c r="AW2">
        <v>0</v>
      </c>
      <c r="AX2">
        <v>0</v>
      </c>
      <c r="AY2">
        <v>49780</v>
      </c>
      <c r="AZ2">
        <v>7457.5</v>
      </c>
      <c r="BA2">
        <v>4275</v>
      </c>
      <c r="BB2">
        <v>10687.5</v>
      </c>
      <c r="BC2">
        <v>7695</v>
      </c>
      <c r="BD2">
        <v>8550</v>
      </c>
      <c r="BE2">
        <v>10687.5</v>
      </c>
      <c r="BF2">
        <v>427.5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49780</v>
      </c>
      <c r="BZ2">
        <v>7457.5</v>
      </c>
    </row>
    <row r="3" spans="1:78" x14ac:dyDescent="0.25">
      <c r="A3" t="s">
        <v>84</v>
      </c>
      <c r="B3">
        <v>5937.5</v>
      </c>
      <c r="C3">
        <v>10687.5</v>
      </c>
      <c r="D3">
        <v>7695</v>
      </c>
      <c r="E3">
        <v>8550</v>
      </c>
      <c r="F3">
        <v>10687.5</v>
      </c>
      <c r="G3">
        <v>427.5</v>
      </c>
      <c r="H3">
        <v>0</v>
      </c>
      <c r="I3">
        <v>0</v>
      </c>
      <c r="J3">
        <v>0</v>
      </c>
      <c r="K3">
        <v>0</v>
      </c>
      <c r="L3">
        <v>0</v>
      </c>
      <c r="M3" t="s">
        <v>165</v>
      </c>
      <c r="N3" t="s">
        <v>166</v>
      </c>
      <c r="O3" t="s">
        <v>167</v>
      </c>
      <c r="P3" t="s">
        <v>168</v>
      </c>
      <c r="Q3" t="s">
        <v>169</v>
      </c>
      <c r="R3" s="98">
        <v>45658</v>
      </c>
      <c r="S3" s="98">
        <v>45838</v>
      </c>
      <c r="T3" t="s">
        <v>172</v>
      </c>
      <c r="U3" t="s">
        <v>173</v>
      </c>
      <c r="V3">
        <v>47.5</v>
      </c>
      <c r="Y3">
        <v>0</v>
      </c>
      <c r="Z3">
        <v>0</v>
      </c>
      <c r="AA3">
        <v>0</v>
      </c>
      <c r="AB3">
        <v>0</v>
      </c>
      <c r="AD3">
        <v>0</v>
      </c>
      <c r="AE3">
        <v>0</v>
      </c>
      <c r="AF3">
        <v>0</v>
      </c>
      <c r="AG3">
        <v>0</v>
      </c>
      <c r="AI3">
        <v>1</v>
      </c>
      <c r="AJ3">
        <v>0</v>
      </c>
      <c r="AL3">
        <v>1074</v>
      </c>
      <c r="AM3">
        <v>148</v>
      </c>
      <c r="AN3">
        <v>125</v>
      </c>
      <c r="AO3">
        <v>225</v>
      </c>
      <c r="AP3">
        <v>162</v>
      </c>
      <c r="AQ3">
        <v>180</v>
      </c>
      <c r="AR3">
        <v>225</v>
      </c>
      <c r="AS3">
        <v>9</v>
      </c>
      <c r="AT3">
        <v>0</v>
      </c>
      <c r="AU3">
        <v>0</v>
      </c>
      <c r="AV3">
        <v>0</v>
      </c>
      <c r="AW3">
        <v>0</v>
      </c>
      <c r="AX3">
        <v>0</v>
      </c>
      <c r="AY3">
        <v>51015</v>
      </c>
      <c r="AZ3">
        <v>7030</v>
      </c>
      <c r="BA3">
        <v>5937.5</v>
      </c>
      <c r="BB3">
        <v>10687.5</v>
      </c>
      <c r="BC3">
        <v>7695</v>
      </c>
      <c r="BD3">
        <v>8550</v>
      </c>
      <c r="BE3">
        <v>10687.5</v>
      </c>
      <c r="BF3">
        <v>427.5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51015</v>
      </c>
      <c r="BZ3">
        <v>7030</v>
      </c>
    </row>
    <row r="4" spans="1:78" x14ac:dyDescent="0.25">
      <c r="A4" t="s">
        <v>85</v>
      </c>
      <c r="B4">
        <v>0</v>
      </c>
      <c r="C4">
        <v>26200</v>
      </c>
      <c r="D4">
        <v>20960</v>
      </c>
      <c r="E4">
        <v>20960</v>
      </c>
      <c r="F4">
        <v>25152</v>
      </c>
      <c r="G4">
        <v>1048</v>
      </c>
      <c r="H4">
        <v>0</v>
      </c>
      <c r="I4">
        <v>0</v>
      </c>
      <c r="J4">
        <v>0</v>
      </c>
      <c r="K4">
        <v>0</v>
      </c>
      <c r="L4">
        <v>0</v>
      </c>
      <c r="M4" t="s">
        <v>174</v>
      </c>
      <c r="N4" t="s">
        <v>166</v>
      </c>
      <c r="O4" t="s">
        <v>167</v>
      </c>
      <c r="P4" t="s">
        <v>168</v>
      </c>
      <c r="Q4" t="s">
        <v>169</v>
      </c>
      <c r="R4" s="98">
        <v>45658</v>
      </c>
      <c r="S4" s="98">
        <v>45838</v>
      </c>
      <c r="T4" t="s">
        <v>175</v>
      </c>
      <c r="U4" t="s">
        <v>176</v>
      </c>
      <c r="V4">
        <v>131</v>
      </c>
      <c r="Y4">
        <v>0</v>
      </c>
      <c r="Z4">
        <v>0</v>
      </c>
      <c r="AA4">
        <v>0</v>
      </c>
      <c r="AB4">
        <v>0</v>
      </c>
      <c r="AD4">
        <v>0</v>
      </c>
      <c r="AE4">
        <v>0</v>
      </c>
      <c r="AF4">
        <v>0</v>
      </c>
      <c r="AG4">
        <v>0</v>
      </c>
      <c r="AI4">
        <v>1</v>
      </c>
      <c r="AJ4">
        <v>0</v>
      </c>
      <c r="AL4">
        <v>720</v>
      </c>
      <c r="AM4">
        <v>0</v>
      </c>
      <c r="AN4">
        <v>0</v>
      </c>
      <c r="AO4">
        <v>200</v>
      </c>
      <c r="AP4">
        <v>160</v>
      </c>
      <c r="AQ4">
        <v>160</v>
      </c>
      <c r="AR4">
        <v>192</v>
      </c>
      <c r="AS4">
        <v>8</v>
      </c>
      <c r="AT4">
        <v>0</v>
      </c>
      <c r="AU4">
        <v>0</v>
      </c>
      <c r="AV4">
        <v>0</v>
      </c>
      <c r="AW4">
        <v>0</v>
      </c>
      <c r="AX4">
        <v>0</v>
      </c>
      <c r="AY4">
        <v>94320</v>
      </c>
      <c r="AZ4">
        <v>0</v>
      </c>
      <c r="BA4">
        <v>0</v>
      </c>
      <c r="BB4">
        <v>26200</v>
      </c>
      <c r="BC4">
        <v>20960</v>
      </c>
      <c r="BD4">
        <v>20960</v>
      </c>
      <c r="BE4">
        <v>25152</v>
      </c>
      <c r="BF4">
        <v>1048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94320</v>
      </c>
      <c r="BZ4">
        <v>0</v>
      </c>
    </row>
    <row r="5" spans="1:78" x14ac:dyDescent="0.25">
      <c r="A5" t="s">
        <v>85</v>
      </c>
      <c r="B5">
        <v>30420</v>
      </c>
      <c r="C5">
        <v>33800</v>
      </c>
      <c r="D5">
        <v>27040</v>
      </c>
      <c r="E5">
        <v>27040</v>
      </c>
      <c r="F5">
        <v>32448</v>
      </c>
      <c r="G5">
        <v>1352</v>
      </c>
      <c r="H5">
        <v>0</v>
      </c>
      <c r="I5">
        <v>0</v>
      </c>
      <c r="J5">
        <v>0</v>
      </c>
      <c r="K5">
        <v>0</v>
      </c>
      <c r="L5">
        <v>0</v>
      </c>
      <c r="M5" t="s">
        <v>174</v>
      </c>
      <c r="N5" t="s">
        <v>166</v>
      </c>
      <c r="O5" t="s">
        <v>167</v>
      </c>
      <c r="P5" t="s">
        <v>168</v>
      </c>
      <c r="Q5" t="s">
        <v>169</v>
      </c>
      <c r="R5" s="98">
        <v>45658</v>
      </c>
      <c r="S5" s="98">
        <v>45838</v>
      </c>
      <c r="T5" t="s">
        <v>177</v>
      </c>
      <c r="U5" t="s">
        <v>178</v>
      </c>
      <c r="V5">
        <v>169</v>
      </c>
      <c r="Y5">
        <v>0</v>
      </c>
      <c r="Z5">
        <v>0</v>
      </c>
      <c r="AA5">
        <v>0</v>
      </c>
      <c r="AB5">
        <v>0</v>
      </c>
      <c r="AD5">
        <v>0</v>
      </c>
      <c r="AE5">
        <v>0</v>
      </c>
      <c r="AF5">
        <v>0</v>
      </c>
      <c r="AG5">
        <v>0</v>
      </c>
      <c r="AI5">
        <v>1</v>
      </c>
      <c r="AJ5">
        <v>0</v>
      </c>
      <c r="AL5">
        <v>1053</v>
      </c>
      <c r="AM5">
        <v>153</v>
      </c>
      <c r="AN5">
        <v>180</v>
      </c>
      <c r="AO5">
        <v>200</v>
      </c>
      <c r="AP5">
        <v>160</v>
      </c>
      <c r="AQ5">
        <v>160</v>
      </c>
      <c r="AR5">
        <v>192</v>
      </c>
      <c r="AS5">
        <v>8</v>
      </c>
      <c r="AT5">
        <v>0</v>
      </c>
      <c r="AU5">
        <v>0</v>
      </c>
      <c r="AV5">
        <v>0</v>
      </c>
      <c r="AW5">
        <v>0</v>
      </c>
      <c r="AX5">
        <v>0</v>
      </c>
      <c r="AY5">
        <v>177957</v>
      </c>
      <c r="AZ5">
        <v>25857</v>
      </c>
      <c r="BA5">
        <v>30420</v>
      </c>
      <c r="BB5">
        <v>33800</v>
      </c>
      <c r="BC5">
        <v>27040</v>
      </c>
      <c r="BD5">
        <v>27040</v>
      </c>
      <c r="BE5">
        <v>32448</v>
      </c>
      <c r="BF5">
        <v>1352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177957</v>
      </c>
      <c r="BZ5">
        <v>25857</v>
      </c>
    </row>
    <row r="6" spans="1:78" x14ac:dyDescent="0.25">
      <c r="A6" t="s">
        <v>179</v>
      </c>
      <c r="B6">
        <f t="shared" ref="B6:L6" si="0">SUBTOTAL(9,B2:B5)</f>
        <v>40632.5</v>
      </c>
      <c r="C6">
        <f t="shared" si="0"/>
        <v>81375</v>
      </c>
      <c r="D6">
        <f t="shared" si="0"/>
        <v>63390</v>
      </c>
      <c r="E6">
        <f t="shared" si="0"/>
        <v>65100</v>
      </c>
      <c r="F6">
        <f t="shared" si="0"/>
        <v>78975</v>
      </c>
      <c r="G6">
        <f t="shared" si="0"/>
        <v>3255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</row>
  </sheetData>
  <autoFilter ref="A1:BZ6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U56"/>
  <sheetViews>
    <sheetView topLeftCell="AG1" workbookViewId="0">
      <pane ySplit="1" topLeftCell="A6" activePane="bottomLeft" state="frozen"/>
      <selection pane="bottomLeft" activeCell="AV59" sqref="AV59"/>
    </sheetView>
  </sheetViews>
  <sheetFormatPr defaultRowHeight="15" outlineLevelCol="1" x14ac:dyDescent="0.25"/>
  <cols>
    <col min="1" max="1" width="12" customWidth="1"/>
    <col min="2" max="3" width="19" customWidth="1"/>
    <col min="4" max="4" width="34" customWidth="1"/>
    <col min="5" max="7" width="21" customWidth="1"/>
    <col min="8" max="9" width="52" customWidth="1"/>
    <col min="10" max="10" width="7" customWidth="1"/>
    <col min="11" max="11" width="23" customWidth="1"/>
    <col min="12" max="12" width="10" customWidth="1"/>
    <col min="13" max="47" width="13" customWidth="1" outlineLevel="1"/>
  </cols>
  <sheetData>
    <row r="1" spans="1:47" x14ac:dyDescent="0.25">
      <c r="A1" t="s">
        <v>180</v>
      </c>
      <c r="B1" t="s">
        <v>181</v>
      </c>
      <c r="C1" t="s">
        <v>182</v>
      </c>
      <c r="D1" t="s">
        <v>24</v>
      </c>
      <c r="E1" t="s">
        <v>183</v>
      </c>
      <c r="F1" t="s">
        <v>184</v>
      </c>
      <c r="G1" t="s">
        <v>185</v>
      </c>
      <c r="H1" t="s">
        <v>186</v>
      </c>
      <c r="I1" t="s">
        <v>187</v>
      </c>
      <c r="J1" t="s">
        <v>188</v>
      </c>
      <c r="K1" t="s">
        <v>189</v>
      </c>
      <c r="L1" t="s">
        <v>190</v>
      </c>
      <c r="M1" t="s">
        <v>191</v>
      </c>
      <c r="N1" t="s">
        <v>192</v>
      </c>
      <c r="O1" t="s">
        <v>193</v>
      </c>
      <c r="P1" t="s">
        <v>194</v>
      </c>
      <c r="Q1" t="s">
        <v>195</v>
      </c>
      <c r="R1" t="s">
        <v>196</v>
      </c>
      <c r="S1" t="s">
        <v>197</v>
      </c>
      <c r="T1" t="s">
        <v>198</v>
      </c>
      <c r="U1" t="s">
        <v>199</v>
      </c>
      <c r="V1" t="s">
        <v>200</v>
      </c>
      <c r="W1" t="s">
        <v>201</v>
      </c>
      <c r="X1" t="s">
        <v>202</v>
      </c>
      <c r="Y1" t="s">
        <v>203</v>
      </c>
      <c r="Z1" t="s">
        <v>204</v>
      </c>
      <c r="AA1" t="s">
        <v>205</v>
      </c>
      <c r="AB1" t="s">
        <v>206</v>
      </c>
      <c r="AC1" t="s">
        <v>207</v>
      </c>
      <c r="AD1" t="s">
        <v>208</v>
      </c>
      <c r="AE1" t="s">
        <v>209</v>
      </c>
      <c r="AF1" t="s">
        <v>210</v>
      </c>
      <c r="AG1" t="s">
        <v>211</v>
      </c>
      <c r="AH1" t="s">
        <v>212</v>
      </c>
      <c r="AI1" t="s">
        <v>213</v>
      </c>
      <c r="AJ1" t="s">
        <v>28</v>
      </c>
      <c r="AK1" t="s">
        <v>214</v>
      </c>
      <c r="AL1" t="s">
        <v>215</v>
      </c>
      <c r="AM1" t="s">
        <v>216</v>
      </c>
      <c r="AN1" t="s">
        <v>217</v>
      </c>
      <c r="AO1" t="s">
        <v>218</v>
      </c>
      <c r="AP1" t="s">
        <v>219</v>
      </c>
      <c r="AQ1" t="s">
        <v>220</v>
      </c>
      <c r="AR1" t="s">
        <v>221</v>
      </c>
      <c r="AS1" t="s">
        <v>222</v>
      </c>
      <c r="AT1" t="s">
        <v>223</v>
      </c>
      <c r="AU1" t="s">
        <v>224</v>
      </c>
    </row>
    <row r="2" spans="1:47" hidden="1" x14ac:dyDescent="0.25">
      <c r="A2" t="s">
        <v>84</v>
      </c>
      <c r="B2">
        <v>202502</v>
      </c>
      <c r="C2">
        <v>5107267072</v>
      </c>
      <c r="D2" t="s">
        <v>225</v>
      </c>
      <c r="E2" t="s">
        <v>226</v>
      </c>
      <c r="F2" s="98">
        <v>45702</v>
      </c>
      <c r="G2" s="98">
        <v>45702</v>
      </c>
      <c r="H2" t="s">
        <v>227</v>
      </c>
      <c r="I2" t="s">
        <v>227</v>
      </c>
      <c r="J2">
        <v>2</v>
      </c>
      <c r="K2">
        <v>13822.5</v>
      </c>
      <c r="L2" t="s">
        <v>228</v>
      </c>
      <c r="M2">
        <v>2025</v>
      </c>
      <c r="N2" s="98">
        <v>45689</v>
      </c>
      <c r="O2" t="s">
        <v>229</v>
      </c>
      <c r="P2" t="s">
        <v>230</v>
      </c>
      <c r="Q2">
        <v>2320521</v>
      </c>
      <c r="R2" t="s">
        <v>231</v>
      </c>
      <c r="S2" t="s">
        <v>232</v>
      </c>
      <c r="T2" t="s">
        <v>233</v>
      </c>
      <c r="U2" t="s">
        <v>229</v>
      </c>
      <c r="V2" t="s">
        <v>234</v>
      </c>
      <c r="W2" t="s">
        <v>235</v>
      </c>
      <c r="X2" t="s">
        <v>236</v>
      </c>
      <c r="Y2" t="s">
        <v>237</v>
      </c>
      <c r="Z2">
        <v>890</v>
      </c>
      <c r="AA2">
        <v>915</v>
      </c>
      <c r="AB2" t="s">
        <v>238</v>
      </c>
      <c r="AC2" t="s">
        <v>239</v>
      </c>
      <c r="AD2">
        <v>41010100</v>
      </c>
      <c r="AE2">
        <v>2</v>
      </c>
      <c r="AF2">
        <v>9318</v>
      </c>
      <c r="AG2">
        <v>10</v>
      </c>
      <c r="AH2" t="s">
        <v>240</v>
      </c>
      <c r="AI2">
        <v>1400</v>
      </c>
      <c r="AJ2" t="s">
        <v>241</v>
      </c>
      <c r="AK2" t="s">
        <v>242</v>
      </c>
      <c r="AL2" t="s">
        <v>226</v>
      </c>
      <c r="AN2">
        <v>51072670722</v>
      </c>
      <c r="AO2" t="s">
        <v>243</v>
      </c>
      <c r="AP2" t="s">
        <v>244</v>
      </c>
      <c r="AQ2" t="s">
        <v>245</v>
      </c>
      <c r="AR2" t="s">
        <v>244</v>
      </c>
      <c r="AS2">
        <v>13822.5</v>
      </c>
      <c r="AT2">
        <v>13822.5</v>
      </c>
      <c r="AU2">
        <v>13822.5</v>
      </c>
    </row>
    <row r="3" spans="1:47" hidden="1" x14ac:dyDescent="0.25">
      <c r="A3" t="s">
        <v>85</v>
      </c>
      <c r="B3">
        <v>202502</v>
      </c>
      <c r="C3">
        <v>5107267040</v>
      </c>
      <c r="D3" t="s">
        <v>225</v>
      </c>
      <c r="E3" t="s">
        <v>246</v>
      </c>
      <c r="F3" s="98">
        <v>45702</v>
      </c>
      <c r="G3" s="98">
        <v>45702</v>
      </c>
      <c r="H3" t="s">
        <v>247</v>
      </c>
      <c r="I3" t="s">
        <v>247</v>
      </c>
      <c r="J3">
        <v>2</v>
      </c>
      <c r="K3">
        <v>34040</v>
      </c>
      <c r="L3" t="s">
        <v>228</v>
      </c>
      <c r="M3">
        <v>2025</v>
      </c>
      <c r="N3" s="98">
        <v>45689</v>
      </c>
      <c r="O3" t="s">
        <v>229</v>
      </c>
      <c r="P3" t="s">
        <v>230</v>
      </c>
      <c r="Q3">
        <v>2320521</v>
      </c>
      <c r="R3" t="s">
        <v>231</v>
      </c>
      <c r="S3" t="s">
        <v>232</v>
      </c>
      <c r="T3" t="s">
        <v>233</v>
      </c>
      <c r="U3" t="s">
        <v>229</v>
      </c>
      <c r="V3" t="s">
        <v>234</v>
      </c>
      <c r="W3" t="s">
        <v>235</v>
      </c>
      <c r="X3" t="s">
        <v>236</v>
      </c>
      <c r="Y3" t="s">
        <v>237</v>
      </c>
      <c r="Z3">
        <v>890</v>
      </c>
      <c r="AA3">
        <v>915</v>
      </c>
      <c r="AB3" t="s">
        <v>238</v>
      </c>
      <c r="AC3" t="s">
        <v>239</v>
      </c>
      <c r="AD3">
        <v>41010100</v>
      </c>
      <c r="AE3">
        <v>2</v>
      </c>
      <c r="AF3">
        <v>9318</v>
      </c>
      <c r="AG3">
        <v>10</v>
      </c>
      <c r="AH3" t="s">
        <v>240</v>
      </c>
      <c r="AI3">
        <v>1400</v>
      </c>
      <c r="AJ3" t="s">
        <v>241</v>
      </c>
      <c r="AK3" t="s">
        <v>242</v>
      </c>
      <c r="AL3" t="s">
        <v>246</v>
      </c>
      <c r="AN3">
        <v>51072670402</v>
      </c>
      <c r="AO3" t="s">
        <v>248</v>
      </c>
      <c r="AP3" t="s">
        <v>244</v>
      </c>
      <c r="AQ3" t="s">
        <v>245</v>
      </c>
      <c r="AR3" t="s">
        <v>244</v>
      </c>
      <c r="AS3">
        <v>34040</v>
      </c>
      <c r="AT3">
        <v>34040</v>
      </c>
      <c r="AU3">
        <v>34040</v>
      </c>
    </row>
    <row r="4" spans="1:47" hidden="1" x14ac:dyDescent="0.25">
      <c r="A4" t="s">
        <v>84</v>
      </c>
      <c r="B4">
        <v>202502</v>
      </c>
      <c r="C4">
        <v>2100077443</v>
      </c>
      <c r="D4" t="s">
        <v>249</v>
      </c>
      <c r="E4" t="s">
        <v>226</v>
      </c>
      <c r="F4" s="98">
        <v>45712</v>
      </c>
      <c r="G4" s="98">
        <v>45703</v>
      </c>
      <c r="H4" t="s">
        <v>250</v>
      </c>
      <c r="I4" t="s">
        <v>250</v>
      </c>
      <c r="J4">
        <v>2</v>
      </c>
      <c r="K4">
        <v>19385.28</v>
      </c>
      <c r="L4" t="s">
        <v>251</v>
      </c>
      <c r="M4">
        <v>2025</v>
      </c>
      <c r="N4" s="98">
        <v>45689</v>
      </c>
      <c r="O4" t="s">
        <v>229</v>
      </c>
      <c r="P4" t="s">
        <v>230</v>
      </c>
      <c r="Q4">
        <v>2320521</v>
      </c>
      <c r="R4" t="s">
        <v>231</v>
      </c>
      <c r="S4" t="s">
        <v>232</v>
      </c>
      <c r="T4" t="s">
        <v>233</v>
      </c>
      <c r="U4" t="s">
        <v>229</v>
      </c>
      <c r="V4" t="s">
        <v>234</v>
      </c>
      <c r="W4" t="s">
        <v>235</v>
      </c>
      <c r="X4" t="s">
        <v>236</v>
      </c>
      <c r="Y4" t="s">
        <v>237</v>
      </c>
      <c r="Z4">
        <v>890</v>
      </c>
      <c r="AA4">
        <v>915</v>
      </c>
      <c r="AB4" t="s">
        <v>238</v>
      </c>
      <c r="AC4" t="s">
        <v>239</v>
      </c>
      <c r="AD4">
        <v>41010100</v>
      </c>
      <c r="AE4">
        <v>2</v>
      </c>
      <c r="AF4">
        <v>9318</v>
      </c>
      <c r="AG4">
        <v>10</v>
      </c>
      <c r="AH4" t="s">
        <v>252</v>
      </c>
      <c r="AI4">
        <v>1400</v>
      </c>
      <c r="AJ4" t="s">
        <v>241</v>
      </c>
      <c r="AK4" t="s">
        <v>242</v>
      </c>
      <c r="AL4" t="s">
        <v>226</v>
      </c>
      <c r="AN4">
        <v>2100077443174</v>
      </c>
      <c r="AO4" t="s">
        <v>253</v>
      </c>
      <c r="AP4" t="s">
        <v>244</v>
      </c>
      <c r="AQ4" t="s">
        <v>245</v>
      </c>
      <c r="AR4" t="s">
        <v>244</v>
      </c>
      <c r="AS4">
        <v>19385.28</v>
      </c>
      <c r="AT4">
        <v>19385.28</v>
      </c>
      <c r="AU4">
        <v>19385.28</v>
      </c>
    </row>
    <row r="5" spans="1:47" hidden="1" x14ac:dyDescent="0.25">
      <c r="A5" t="s">
        <v>85</v>
      </c>
      <c r="B5">
        <v>202502</v>
      </c>
      <c r="C5">
        <v>2100077443</v>
      </c>
      <c r="D5" t="s">
        <v>249</v>
      </c>
      <c r="E5" t="s">
        <v>246</v>
      </c>
      <c r="F5" s="98">
        <v>45712</v>
      </c>
      <c r="G5" s="98">
        <v>45703</v>
      </c>
      <c r="H5" t="s">
        <v>254</v>
      </c>
      <c r="I5" t="s">
        <v>254</v>
      </c>
      <c r="J5">
        <v>2</v>
      </c>
      <c r="K5">
        <v>62210</v>
      </c>
      <c r="L5" t="s">
        <v>251</v>
      </c>
      <c r="M5">
        <v>2025</v>
      </c>
      <c r="N5" s="98">
        <v>45689</v>
      </c>
      <c r="O5" t="s">
        <v>229</v>
      </c>
      <c r="P5" t="s">
        <v>230</v>
      </c>
      <c r="Q5">
        <v>2320521</v>
      </c>
      <c r="R5" t="s">
        <v>231</v>
      </c>
      <c r="S5" t="s">
        <v>232</v>
      </c>
      <c r="T5" t="s">
        <v>233</v>
      </c>
      <c r="U5" t="s">
        <v>229</v>
      </c>
      <c r="V5" t="s">
        <v>234</v>
      </c>
      <c r="W5" t="s">
        <v>235</v>
      </c>
      <c r="X5" t="s">
        <v>236</v>
      </c>
      <c r="Y5" t="s">
        <v>237</v>
      </c>
      <c r="Z5">
        <v>890</v>
      </c>
      <c r="AA5">
        <v>915</v>
      </c>
      <c r="AB5" t="s">
        <v>238</v>
      </c>
      <c r="AC5" t="s">
        <v>239</v>
      </c>
      <c r="AD5">
        <v>41010100</v>
      </c>
      <c r="AE5">
        <v>2</v>
      </c>
      <c r="AF5">
        <v>9318</v>
      </c>
      <c r="AG5">
        <v>10</v>
      </c>
      <c r="AH5" t="s">
        <v>252</v>
      </c>
      <c r="AI5">
        <v>1400</v>
      </c>
      <c r="AJ5" t="s">
        <v>241</v>
      </c>
      <c r="AK5" t="s">
        <v>242</v>
      </c>
      <c r="AL5" t="s">
        <v>246</v>
      </c>
      <c r="AN5">
        <v>2100077443177</v>
      </c>
      <c r="AO5" t="s">
        <v>253</v>
      </c>
      <c r="AP5" t="s">
        <v>244</v>
      </c>
      <c r="AQ5" t="s">
        <v>245</v>
      </c>
      <c r="AR5" t="s">
        <v>244</v>
      </c>
      <c r="AS5">
        <v>62210</v>
      </c>
      <c r="AT5">
        <v>62210</v>
      </c>
      <c r="AU5">
        <v>62210</v>
      </c>
    </row>
    <row r="6" spans="1:47" x14ac:dyDescent="0.25">
      <c r="A6" t="s">
        <v>84</v>
      </c>
      <c r="B6">
        <v>202503</v>
      </c>
      <c r="C6">
        <v>2100077864</v>
      </c>
      <c r="D6" t="s">
        <v>249</v>
      </c>
      <c r="E6" t="s">
        <v>255</v>
      </c>
      <c r="F6" s="98">
        <v>45747</v>
      </c>
      <c r="G6" s="98">
        <v>45731</v>
      </c>
      <c r="H6" t="s">
        <v>250</v>
      </c>
      <c r="I6" t="s">
        <v>250</v>
      </c>
      <c r="J6">
        <v>3</v>
      </c>
      <c r="K6">
        <v>22813.72</v>
      </c>
      <c r="L6" t="s">
        <v>251</v>
      </c>
      <c r="M6">
        <v>2025</v>
      </c>
      <c r="N6" s="98">
        <v>45717</v>
      </c>
      <c r="O6" t="s">
        <v>229</v>
      </c>
      <c r="P6" t="s">
        <v>230</v>
      </c>
      <c r="Q6">
        <v>2320521</v>
      </c>
      <c r="R6" t="s">
        <v>231</v>
      </c>
      <c r="S6" t="s">
        <v>232</v>
      </c>
      <c r="T6" t="s">
        <v>233</v>
      </c>
      <c r="U6" t="s">
        <v>229</v>
      </c>
      <c r="V6" t="s">
        <v>234</v>
      </c>
      <c r="W6" t="s">
        <v>235</v>
      </c>
      <c r="X6" t="s">
        <v>236</v>
      </c>
      <c r="Y6" t="s">
        <v>237</v>
      </c>
      <c r="Z6">
        <v>890</v>
      </c>
      <c r="AA6">
        <v>915</v>
      </c>
      <c r="AB6" t="s">
        <v>238</v>
      </c>
      <c r="AC6" t="s">
        <v>239</v>
      </c>
      <c r="AD6">
        <v>41010100</v>
      </c>
      <c r="AE6">
        <v>2</v>
      </c>
      <c r="AF6">
        <v>9318</v>
      </c>
      <c r="AG6">
        <v>10</v>
      </c>
      <c r="AH6" t="s">
        <v>252</v>
      </c>
      <c r="AI6">
        <v>1400</v>
      </c>
      <c r="AJ6" t="s">
        <v>241</v>
      </c>
      <c r="AK6" t="s">
        <v>242</v>
      </c>
      <c r="AL6" t="s">
        <v>255</v>
      </c>
      <c r="AN6">
        <v>2100077864157</v>
      </c>
      <c r="AO6" t="s">
        <v>256</v>
      </c>
      <c r="AP6" t="s">
        <v>244</v>
      </c>
      <c r="AQ6" t="s">
        <v>245</v>
      </c>
      <c r="AR6" t="s">
        <v>244</v>
      </c>
      <c r="AS6">
        <v>22813.72</v>
      </c>
      <c r="AT6">
        <v>22813.72</v>
      </c>
      <c r="AU6">
        <v>22813.72</v>
      </c>
    </row>
    <row r="7" spans="1:47" hidden="1" x14ac:dyDescent="0.25">
      <c r="A7" t="s">
        <v>85</v>
      </c>
      <c r="B7">
        <v>202504</v>
      </c>
      <c r="C7">
        <v>5107369850</v>
      </c>
      <c r="D7" t="s">
        <v>225</v>
      </c>
      <c r="E7" t="s">
        <v>246</v>
      </c>
      <c r="F7" s="98">
        <v>45758</v>
      </c>
      <c r="G7" s="98">
        <v>45761</v>
      </c>
      <c r="H7" t="s">
        <v>247</v>
      </c>
      <c r="I7" t="s">
        <v>247</v>
      </c>
      <c r="J7">
        <v>4</v>
      </c>
      <c r="K7">
        <v>58648</v>
      </c>
      <c r="L7" t="s">
        <v>228</v>
      </c>
      <c r="M7">
        <v>2025</v>
      </c>
      <c r="N7" s="98">
        <v>45748</v>
      </c>
      <c r="O7" t="s">
        <v>229</v>
      </c>
      <c r="P7" t="s">
        <v>230</v>
      </c>
      <c r="Q7">
        <v>2320521</v>
      </c>
      <c r="R7" t="s">
        <v>231</v>
      </c>
      <c r="S7" t="s">
        <v>232</v>
      </c>
      <c r="T7" t="s">
        <v>233</v>
      </c>
      <c r="U7" t="s">
        <v>229</v>
      </c>
      <c r="V7" t="s">
        <v>234</v>
      </c>
      <c r="W7" t="s">
        <v>235</v>
      </c>
      <c r="X7" t="s">
        <v>236</v>
      </c>
      <c r="Y7" t="s">
        <v>237</v>
      </c>
      <c r="Z7">
        <v>890</v>
      </c>
      <c r="AA7">
        <v>915</v>
      </c>
      <c r="AB7" t="s">
        <v>238</v>
      </c>
      <c r="AC7" t="s">
        <v>239</v>
      </c>
      <c r="AD7">
        <v>41010100</v>
      </c>
      <c r="AE7">
        <v>2</v>
      </c>
      <c r="AF7">
        <v>9318</v>
      </c>
      <c r="AG7">
        <v>10</v>
      </c>
      <c r="AH7" t="s">
        <v>240</v>
      </c>
      <c r="AI7">
        <v>1400</v>
      </c>
      <c r="AJ7" t="s">
        <v>241</v>
      </c>
      <c r="AK7" t="s">
        <v>242</v>
      </c>
      <c r="AL7" t="s">
        <v>246</v>
      </c>
      <c r="AN7">
        <v>51073698502</v>
      </c>
      <c r="AO7" t="s">
        <v>257</v>
      </c>
      <c r="AP7" t="s">
        <v>244</v>
      </c>
      <c r="AQ7" t="s">
        <v>245</v>
      </c>
      <c r="AR7" t="s">
        <v>244</v>
      </c>
      <c r="AS7">
        <v>58648</v>
      </c>
      <c r="AT7">
        <v>58648</v>
      </c>
      <c r="AU7">
        <v>58648</v>
      </c>
    </row>
    <row r="8" spans="1:47" hidden="1" x14ac:dyDescent="0.25">
      <c r="A8" t="s">
        <v>84</v>
      </c>
      <c r="B8">
        <v>202504</v>
      </c>
      <c r="C8">
        <v>5107366814</v>
      </c>
      <c r="D8" t="s">
        <v>225</v>
      </c>
      <c r="E8" t="s">
        <v>255</v>
      </c>
      <c r="F8" s="98">
        <v>45758</v>
      </c>
      <c r="G8" s="98">
        <v>45758</v>
      </c>
      <c r="H8" t="s">
        <v>227</v>
      </c>
      <c r="I8" t="s">
        <v>227</v>
      </c>
      <c r="J8">
        <v>4</v>
      </c>
      <c r="K8">
        <v>20425</v>
      </c>
      <c r="L8" t="s">
        <v>228</v>
      </c>
      <c r="M8">
        <v>2025</v>
      </c>
      <c r="N8" s="98">
        <v>45748</v>
      </c>
      <c r="O8" t="s">
        <v>229</v>
      </c>
      <c r="P8" t="s">
        <v>230</v>
      </c>
      <c r="Q8">
        <v>2320521</v>
      </c>
      <c r="R8" t="s">
        <v>231</v>
      </c>
      <c r="S8" t="s">
        <v>232</v>
      </c>
      <c r="T8" t="s">
        <v>233</v>
      </c>
      <c r="U8" t="s">
        <v>229</v>
      </c>
      <c r="V8" t="s">
        <v>234</v>
      </c>
      <c r="W8" t="s">
        <v>235</v>
      </c>
      <c r="X8" t="s">
        <v>236</v>
      </c>
      <c r="Y8" t="s">
        <v>237</v>
      </c>
      <c r="Z8">
        <v>890</v>
      </c>
      <c r="AA8">
        <v>915</v>
      </c>
      <c r="AB8" t="s">
        <v>238</v>
      </c>
      <c r="AC8" t="s">
        <v>239</v>
      </c>
      <c r="AD8">
        <v>41010100</v>
      </c>
      <c r="AE8">
        <v>2</v>
      </c>
      <c r="AF8">
        <v>9318</v>
      </c>
      <c r="AG8">
        <v>10</v>
      </c>
      <c r="AH8" t="s">
        <v>240</v>
      </c>
      <c r="AI8">
        <v>1400</v>
      </c>
      <c r="AJ8" t="s">
        <v>241</v>
      </c>
      <c r="AK8" t="s">
        <v>242</v>
      </c>
      <c r="AL8" t="s">
        <v>255</v>
      </c>
      <c r="AN8">
        <v>51073668142</v>
      </c>
      <c r="AO8" t="s">
        <v>258</v>
      </c>
      <c r="AP8" t="s">
        <v>244</v>
      </c>
      <c r="AQ8" t="s">
        <v>245</v>
      </c>
      <c r="AR8" t="s">
        <v>244</v>
      </c>
      <c r="AS8">
        <v>20425</v>
      </c>
      <c r="AT8">
        <v>20425</v>
      </c>
      <c r="AU8">
        <v>20425</v>
      </c>
    </row>
    <row r="9" spans="1:47" hidden="1" x14ac:dyDescent="0.25">
      <c r="A9" t="s">
        <v>85</v>
      </c>
      <c r="B9">
        <v>202504</v>
      </c>
      <c r="C9">
        <v>2100078176</v>
      </c>
      <c r="D9" t="s">
        <v>249</v>
      </c>
      <c r="E9" t="s">
        <v>246</v>
      </c>
      <c r="F9" s="98">
        <v>45747</v>
      </c>
      <c r="G9" s="98">
        <v>45754</v>
      </c>
      <c r="H9" t="s">
        <v>254</v>
      </c>
      <c r="I9" t="s">
        <v>254</v>
      </c>
      <c r="J9">
        <v>4</v>
      </c>
      <c r="K9">
        <v>-121710</v>
      </c>
      <c r="L9" t="s">
        <v>259</v>
      </c>
      <c r="M9">
        <v>2025</v>
      </c>
      <c r="N9" s="98">
        <v>45748</v>
      </c>
      <c r="O9" t="s">
        <v>229</v>
      </c>
      <c r="P9" t="s">
        <v>230</v>
      </c>
      <c r="Q9">
        <v>2320521</v>
      </c>
      <c r="R9" t="s">
        <v>231</v>
      </c>
      <c r="S9" t="s">
        <v>232</v>
      </c>
      <c r="T9" t="s">
        <v>233</v>
      </c>
      <c r="U9" t="s">
        <v>229</v>
      </c>
      <c r="V9" t="s">
        <v>234</v>
      </c>
      <c r="W9" t="s">
        <v>235</v>
      </c>
      <c r="X9" t="s">
        <v>236</v>
      </c>
      <c r="Y9" t="s">
        <v>237</v>
      </c>
      <c r="Z9">
        <v>890</v>
      </c>
      <c r="AA9">
        <v>915</v>
      </c>
      <c r="AB9" t="s">
        <v>238</v>
      </c>
      <c r="AC9" t="s">
        <v>239</v>
      </c>
      <c r="AD9">
        <v>41010100</v>
      </c>
      <c r="AE9">
        <v>2</v>
      </c>
      <c r="AF9">
        <v>9318</v>
      </c>
      <c r="AG9">
        <v>10</v>
      </c>
      <c r="AH9" t="s">
        <v>252</v>
      </c>
      <c r="AI9">
        <v>1400</v>
      </c>
      <c r="AJ9" t="s">
        <v>241</v>
      </c>
      <c r="AK9" t="s">
        <v>242</v>
      </c>
      <c r="AL9" t="s">
        <v>246</v>
      </c>
      <c r="AN9">
        <v>210007817614</v>
      </c>
      <c r="AO9" t="s">
        <v>260</v>
      </c>
      <c r="AP9" t="s">
        <v>244</v>
      </c>
      <c r="AQ9" t="s">
        <v>245</v>
      </c>
      <c r="AR9" t="s">
        <v>244</v>
      </c>
      <c r="AS9">
        <v>-121710</v>
      </c>
      <c r="AT9">
        <v>-121710</v>
      </c>
      <c r="AU9">
        <v>-121710</v>
      </c>
    </row>
    <row r="10" spans="1:47" hidden="1" x14ac:dyDescent="0.25">
      <c r="A10" t="s">
        <v>85</v>
      </c>
      <c r="B10">
        <v>202504</v>
      </c>
      <c r="C10">
        <v>2100078226</v>
      </c>
      <c r="D10" t="s">
        <v>249</v>
      </c>
      <c r="E10" t="s">
        <v>246</v>
      </c>
      <c r="F10" s="98">
        <v>45748</v>
      </c>
      <c r="G10" s="98">
        <v>45754</v>
      </c>
      <c r="H10" t="s">
        <v>254</v>
      </c>
      <c r="I10" t="s">
        <v>254</v>
      </c>
      <c r="J10">
        <v>4</v>
      </c>
      <c r="K10">
        <v>16110</v>
      </c>
      <c r="L10" t="s">
        <v>251</v>
      </c>
      <c r="M10">
        <v>2025</v>
      </c>
      <c r="N10" s="98">
        <v>45748</v>
      </c>
      <c r="O10" t="s">
        <v>229</v>
      </c>
      <c r="P10" t="s">
        <v>230</v>
      </c>
      <c r="Q10">
        <v>2320521</v>
      </c>
      <c r="R10" t="s">
        <v>231</v>
      </c>
      <c r="S10" t="s">
        <v>232</v>
      </c>
      <c r="T10" t="s">
        <v>233</v>
      </c>
      <c r="U10" t="s">
        <v>229</v>
      </c>
      <c r="V10" t="s">
        <v>234</v>
      </c>
      <c r="W10" t="s">
        <v>235</v>
      </c>
      <c r="X10" t="s">
        <v>236</v>
      </c>
      <c r="Y10" t="s">
        <v>237</v>
      </c>
      <c r="Z10">
        <v>890</v>
      </c>
      <c r="AA10">
        <v>915</v>
      </c>
      <c r="AB10" t="s">
        <v>238</v>
      </c>
      <c r="AC10" t="s">
        <v>239</v>
      </c>
      <c r="AD10">
        <v>41010100</v>
      </c>
      <c r="AE10">
        <v>2</v>
      </c>
      <c r="AF10">
        <v>9318</v>
      </c>
      <c r="AG10">
        <v>10</v>
      </c>
      <c r="AH10" t="s">
        <v>252</v>
      </c>
      <c r="AI10">
        <v>1400</v>
      </c>
      <c r="AJ10" t="s">
        <v>241</v>
      </c>
      <c r="AK10" t="s">
        <v>242</v>
      </c>
      <c r="AL10" t="s">
        <v>246</v>
      </c>
      <c r="AN10">
        <v>21000782268</v>
      </c>
      <c r="AO10" t="s">
        <v>261</v>
      </c>
      <c r="AP10" t="s">
        <v>244</v>
      </c>
      <c r="AQ10" t="s">
        <v>245</v>
      </c>
      <c r="AR10" t="s">
        <v>244</v>
      </c>
      <c r="AS10">
        <v>16110</v>
      </c>
      <c r="AT10">
        <v>16110</v>
      </c>
      <c r="AU10">
        <v>16110</v>
      </c>
    </row>
    <row r="11" spans="1:47" hidden="1" x14ac:dyDescent="0.25">
      <c r="A11" t="s">
        <v>85</v>
      </c>
      <c r="B11">
        <v>202504</v>
      </c>
      <c r="C11">
        <v>2100078519</v>
      </c>
      <c r="D11" t="s">
        <v>249</v>
      </c>
      <c r="E11" t="s">
        <v>246</v>
      </c>
      <c r="F11" s="98">
        <v>45775</v>
      </c>
      <c r="G11" s="98">
        <v>45762</v>
      </c>
      <c r="H11" t="s">
        <v>254</v>
      </c>
      <c r="I11" t="s">
        <v>254</v>
      </c>
      <c r="J11">
        <v>4</v>
      </c>
      <c r="K11">
        <v>112062</v>
      </c>
      <c r="L11" t="s">
        <v>251</v>
      </c>
      <c r="M11">
        <v>2025</v>
      </c>
      <c r="N11" s="98">
        <v>45748</v>
      </c>
      <c r="O11" t="s">
        <v>229</v>
      </c>
      <c r="P11" t="s">
        <v>230</v>
      </c>
      <c r="Q11">
        <v>2320521</v>
      </c>
      <c r="R11" t="s">
        <v>231</v>
      </c>
      <c r="S11" t="s">
        <v>232</v>
      </c>
      <c r="T11" t="s">
        <v>233</v>
      </c>
      <c r="U11" t="s">
        <v>229</v>
      </c>
      <c r="V11" t="s">
        <v>234</v>
      </c>
      <c r="W11" t="s">
        <v>235</v>
      </c>
      <c r="X11" t="s">
        <v>236</v>
      </c>
      <c r="Y11" t="s">
        <v>237</v>
      </c>
      <c r="Z11">
        <v>890</v>
      </c>
      <c r="AA11">
        <v>915</v>
      </c>
      <c r="AB11" t="s">
        <v>238</v>
      </c>
      <c r="AC11" t="s">
        <v>239</v>
      </c>
      <c r="AD11">
        <v>41010100</v>
      </c>
      <c r="AE11">
        <v>2</v>
      </c>
      <c r="AF11">
        <v>9318</v>
      </c>
      <c r="AG11">
        <v>10</v>
      </c>
      <c r="AH11" t="s">
        <v>252</v>
      </c>
      <c r="AI11">
        <v>1400</v>
      </c>
      <c r="AJ11" t="s">
        <v>241</v>
      </c>
      <c r="AK11" t="s">
        <v>242</v>
      </c>
      <c r="AL11" t="s">
        <v>246</v>
      </c>
      <c r="AN11">
        <v>210007851915</v>
      </c>
      <c r="AO11" t="s">
        <v>260</v>
      </c>
      <c r="AP11" t="s">
        <v>244</v>
      </c>
      <c r="AQ11" t="s">
        <v>245</v>
      </c>
      <c r="AR11" t="s">
        <v>244</v>
      </c>
      <c r="AS11">
        <v>112062</v>
      </c>
      <c r="AT11">
        <v>112062</v>
      </c>
      <c r="AU11">
        <v>112062</v>
      </c>
    </row>
    <row r="12" spans="1:47" hidden="1" x14ac:dyDescent="0.25">
      <c r="A12" t="s">
        <v>85</v>
      </c>
      <c r="B12">
        <v>202504</v>
      </c>
      <c r="C12">
        <v>2100078580</v>
      </c>
      <c r="D12" t="s">
        <v>249</v>
      </c>
      <c r="E12" t="s">
        <v>246</v>
      </c>
      <c r="F12" s="98">
        <v>45776</v>
      </c>
      <c r="G12" s="98">
        <v>45762</v>
      </c>
      <c r="H12" t="s">
        <v>254</v>
      </c>
      <c r="I12" t="s">
        <v>254</v>
      </c>
      <c r="J12">
        <v>4</v>
      </c>
      <c r="K12">
        <v>-18462</v>
      </c>
      <c r="L12" t="s">
        <v>259</v>
      </c>
      <c r="M12">
        <v>2025</v>
      </c>
      <c r="N12" s="98">
        <v>45748</v>
      </c>
      <c r="O12" t="s">
        <v>229</v>
      </c>
      <c r="P12" t="s">
        <v>230</v>
      </c>
      <c r="Q12">
        <v>2320521</v>
      </c>
      <c r="R12" t="s">
        <v>231</v>
      </c>
      <c r="S12" t="s">
        <v>232</v>
      </c>
      <c r="T12" t="s">
        <v>233</v>
      </c>
      <c r="U12" t="s">
        <v>229</v>
      </c>
      <c r="V12" t="s">
        <v>234</v>
      </c>
      <c r="W12" t="s">
        <v>235</v>
      </c>
      <c r="X12" t="s">
        <v>236</v>
      </c>
      <c r="Y12" t="s">
        <v>237</v>
      </c>
      <c r="Z12">
        <v>890</v>
      </c>
      <c r="AA12">
        <v>915</v>
      </c>
      <c r="AB12" t="s">
        <v>238</v>
      </c>
      <c r="AC12" t="s">
        <v>239</v>
      </c>
      <c r="AD12">
        <v>41010100</v>
      </c>
      <c r="AE12">
        <v>2</v>
      </c>
      <c r="AF12">
        <v>9318</v>
      </c>
      <c r="AG12">
        <v>10</v>
      </c>
      <c r="AH12" t="s">
        <v>252</v>
      </c>
      <c r="AI12">
        <v>1400</v>
      </c>
      <c r="AJ12" t="s">
        <v>241</v>
      </c>
      <c r="AK12" t="s">
        <v>242</v>
      </c>
      <c r="AL12" t="s">
        <v>246</v>
      </c>
      <c r="AN12">
        <v>210007858011</v>
      </c>
      <c r="AO12" t="s">
        <v>261</v>
      </c>
      <c r="AP12" t="s">
        <v>244</v>
      </c>
      <c r="AQ12" t="s">
        <v>245</v>
      </c>
      <c r="AR12" t="s">
        <v>244</v>
      </c>
      <c r="AS12">
        <v>-18462</v>
      </c>
      <c r="AT12">
        <v>-18462</v>
      </c>
      <c r="AU12">
        <v>-18462</v>
      </c>
    </row>
    <row r="13" spans="1:47" hidden="1" x14ac:dyDescent="0.25">
      <c r="A13" t="s">
        <v>84</v>
      </c>
      <c r="B13">
        <v>202504</v>
      </c>
      <c r="C13">
        <v>2100078170</v>
      </c>
      <c r="D13" t="s">
        <v>249</v>
      </c>
      <c r="E13" t="s">
        <v>255</v>
      </c>
      <c r="F13" s="98">
        <v>45747</v>
      </c>
      <c r="G13" s="98">
        <v>45754</v>
      </c>
      <c r="H13" t="s">
        <v>250</v>
      </c>
      <c r="I13" t="s">
        <v>250</v>
      </c>
      <c r="J13">
        <v>4</v>
      </c>
      <c r="K13">
        <v>-22813.72</v>
      </c>
      <c r="L13" t="s">
        <v>259</v>
      </c>
      <c r="M13">
        <v>2025</v>
      </c>
      <c r="N13" s="98">
        <v>45748</v>
      </c>
      <c r="O13" t="s">
        <v>229</v>
      </c>
      <c r="P13" t="s">
        <v>230</v>
      </c>
      <c r="Q13">
        <v>2320521</v>
      </c>
      <c r="R13" t="s">
        <v>231</v>
      </c>
      <c r="S13" t="s">
        <v>232</v>
      </c>
      <c r="T13" t="s">
        <v>233</v>
      </c>
      <c r="U13" t="s">
        <v>229</v>
      </c>
      <c r="V13" t="s">
        <v>234</v>
      </c>
      <c r="W13" t="s">
        <v>235</v>
      </c>
      <c r="X13" t="s">
        <v>236</v>
      </c>
      <c r="Y13" t="s">
        <v>237</v>
      </c>
      <c r="Z13">
        <v>890</v>
      </c>
      <c r="AA13">
        <v>915</v>
      </c>
      <c r="AB13" t="s">
        <v>238</v>
      </c>
      <c r="AC13" t="s">
        <v>239</v>
      </c>
      <c r="AD13">
        <v>41010100</v>
      </c>
      <c r="AE13">
        <v>2</v>
      </c>
      <c r="AF13">
        <v>9318</v>
      </c>
      <c r="AG13">
        <v>10</v>
      </c>
      <c r="AH13" t="s">
        <v>252</v>
      </c>
      <c r="AI13">
        <v>1400</v>
      </c>
      <c r="AJ13" t="s">
        <v>241</v>
      </c>
      <c r="AK13" t="s">
        <v>242</v>
      </c>
      <c r="AL13" t="s">
        <v>255</v>
      </c>
      <c r="AN13">
        <v>2100078170157</v>
      </c>
      <c r="AO13" t="s">
        <v>256</v>
      </c>
      <c r="AP13" t="s">
        <v>244</v>
      </c>
      <c r="AQ13" t="s">
        <v>245</v>
      </c>
      <c r="AR13" t="s">
        <v>244</v>
      </c>
      <c r="AS13">
        <v>-22813.72</v>
      </c>
      <c r="AT13">
        <v>-22813.72</v>
      </c>
      <c r="AU13">
        <v>-22813.72</v>
      </c>
    </row>
    <row r="14" spans="1:47" hidden="1" x14ac:dyDescent="0.25">
      <c r="A14" t="s">
        <v>84</v>
      </c>
      <c r="B14">
        <v>202504</v>
      </c>
      <c r="C14">
        <v>2100078515</v>
      </c>
      <c r="D14" t="s">
        <v>249</v>
      </c>
      <c r="E14" t="s">
        <v>255</v>
      </c>
      <c r="F14" s="98">
        <v>45775</v>
      </c>
      <c r="G14" s="98">
        <v>45762</v>
      </c>
      <c r="H14" t="s">
        <v>250</v>
      </c>
      <c r="I14" t="s">
        <v>250</v>
      </c>
      <c r="J14">
        <v>4</v>
      </c>
      <c r="K14">
        <v>19294.5</v>
      </c>
      <c r="L14" t="s">
        <v>251</v>
      </c>
      <c r="M14">
        <v>2025</v>
      </c>
      <c r="N14" s="98">
        <v>45748</v>
      </c>
      <c r="O14" t="s">
        <v>229</v>
      </c>
      <c r="P14" t="s">
        <v>230</v>
      </c>
      <c r="Q14">
        <v>2320521</v>
      </c>
      <c r="R14" t="s">
        <v>231</v>
      </c>
      <c r="S14" t="s">
        <v>232</v>
      </c>
      <c r="T14" t="s">
        <v>233</v>
      </c>
      <c r="U14" t="s">
        <v>229</v>
      </c>
      <c r="V14" t="s">
        <v>234</v>
      </c>
      <c r="W14" t="s">
        <v>235</v>
      </c>
      <c r="X14" t="s">
        <v>236</v>
      </c>
      <c r="Y14" t="s">
        <v>237</v>
      </c>
      <c r="Z14">
        <v>890</v>
      </c>
      <c r="AA14">
        <v>915</v>
      </c>
      <c r="AB14" t="s">
        <v>238</v>
      </c>
      <c r="AC14" t="s">
        <v>239</v>
      </c>
      <c r="AD14">
        <v>41010100</v>
      </c>
      <c r="AE14">
        <v>2</v>
      </c>
      <c r="AF14">
        <v>9318</v>
      </c>
      <c r="AG14">
        <v>10</v>
      </c>
      <c r="AH14" t="s">
        <v>252</v>
      </c>
      <c r="AI14">
        <v>1400</v>
      </c>
      <c r="AJ14" t="s">
        <v>241</v>
      </c>
      <c r="AK14" t="s">
        <v>242</v>
      </c>
      <c r="AL14" t="s">
        <v>255</v>
      </c>
      <c r="AN14">
        <v>2100078515140</v>
      </c>
      <c r="AO14" t="s">
        <v>262</v>
      </c>
      <c r="AP14" t="s">
        <v>244</v>
      </c>
      <c r="AQ14" t="s">
        <v>245</v>
      </c>
      <c r="AR14" t="s">
        <v>244</v>
      </c>
      <c r="AS14">
        <v>19294.5</v>
      </c>
      <c r="AT14">
        <v>19294.5</v>
      </c>
      <c r="AU14">
        <v>19294.5</v>
      </c>
    </row>
    <row r="15" spans="1:47" hidden="1" x14ac:dyDescent="0.25">
      <c r="A15" t="s">
        <v>84</v>
      </c>
      <c r="B15">
        <v>202503</v>
      </c>
      <c r="C15">
        <v>5107325007</v>
      </c>
      <c r="D15" t="s">
        <v>225</v>
      </c>
      <c r="E15" t="s">
        <v>255</v>
      </c>
      <c r="F15" s="98">
        <v>45733</v>
      </c>
      <c r="G15" s="98">
        <v>45733</v>
      </c>
      <c r="H15" t="s">
        <v>227</v>
      </c>
      <c r="I15" t="s">
        <v>227</v>
      </c>
      <c r="J15">
        <v>3</v>
      </c>
      <c r="K15">
        <v>17100</v>
      </c>
      <c r="L15" t="s">
        <v>228</v>
      </c>
      <c r="M15">
        <v>2025</v>
      </c>
      <c r="N15" s="98">
        <v>45717</v>
      </c>
      <c r="O15" t="s">
        <v>229</v>
      </c>
      <c r="P15" t="s">
        <v>230</v>
      </c>
      <c r="Q15">
        <v>2320521</v>
      </c>
      <c r="R15" t="s">
        <v>231</v>
      </c>
      <c r="S15" t="s">
        <v>232</v>
      </c>
      <c r="T15" t="s">
        <v>233</v>
      </c>
      <c r="U15" t="s">
        <v>229</v>
      </c>
      <c r="V15" t="s">
        <v>234</v>
      </c>
      <c r="W15" t="s">
        <v>235</v>
      </c>
      <c r="X15" t="s">
        <v>236</v>
      </c>
      <c r="Y15" t="s">
        <v>237</v>
      </c>
      <c r="Z15">
        <v>890</v>
      </c>
      <c r="AA15">
        <v>915</v>
      </c>
      <c r="AB15" t="s">
        <v>238</v>
      </c>
      <c r="AC15" t="s">
        <v>239</v>
      </c>
      <c r="AD15">
        <v>41010100</v>
      </c>
      <c r="AE15">
        <v>2</v>
      </c>
      <c r="AF15">
        <v>9318</v>
      </c>
      <c r="AG15">
        <v>10</v>
      </c>
      <c r="AH15" t="s">
        <v>240</v>
      </c>
      <c r="AI15">
        <v>1400</v>
      </c>
      <c r="AJ15" t="s">
        <v>241</v>
      </c>
      <c r="AK15" t="s">
        <v>242</v>
      </c>
      <c r="AL15" t="s">
        <v>255</v>
      </c>
      <c r="AN15">
        <v>51073250072</v>
      </c>
      <c r="AO15" t="s">
        <v>263</v>
      </c>
      <c r="AP15" t="s">
        <v>244</v>
      </c>
      <c r="AQ15" t="s">
        <v>245</v>
      </c>
      <c r="AR15" t="s">
        <v>244</v>
      </c>
      <c r="AS15">
        <v>17100</v>
      </c>
      <c r="AT15">
        <v>17100</v>
      </c>
      <c r="AU15">
        <v>17100</v>
      </c>
    </row>
    <row r="16" spans="1:47" hidden="1" x14ac:dyDescent="0.25">
      <c r="A16" t="s">
        <v>84</v>
      </c>
      <c r="B16">
        <v>202503</v>
      </c>
      <c r="C16">
        <v>9005719467</v>
      </c>
      <c r="D16" t="s">
        <v>249</v>
      </c>
      <c r="E16" t="s">
        <v>226</v>
      </c>
      <c r="F16" s="98">
        <v>45743</v>
      </c>
      <c r="G16" s="98">
        <v>45731</v>
      </c>
      <c r="H16" t="s">
        <v>264</v>
      </c>
      <c r="I16" t="s">
        <v>264</v>
      </c>
      <c r="J16">
        <v>3</v>
      </c>
      <c r="K16">
        <v>-15096</v>
      </c>
      <c r="L16" t="s">
        <v>265</v>
      </c>
      <c r="M16">
        <v>2025</v>
      </c>
      <c r="N16" s="98">
        <v>45717</v>
      </c>
      <c r="O16" t="s">
        <v>229</v>
      </c>
      <c r="P16" t="s">
        <v>230</v>
      </c>
      <c r="Q16">
        <v>2320521</v>
      </c>
      <c r="R16" t="s">
        <v>231</v>
      </c>
      <c r="S16" t="s">
        <v>232</v>
      </c>
      <c r="T16" t="s">
        <v>233</v>
      </c>
      <c r="U16" t="s">
        <v>229</v>
      </c>
      <c r="V16" t="s">
        <v>234</v>
      </c>
      <c r="W16" t="s">
        <v>235</v>
      </c>
      <c r="X16" t="s">
        <v>236</v>
      </c>
      <c r="Y16" t="s">
        <v>237</v>
      </c>
      <c r="Z16">
        <v>890</v>
      </c>
      <c r="AA16">
        <v>915</v>
      </c>
      <c r="AB16" t="s">
        <v>238</v>
      </c>
      <c r="AC16" t="s">
        <v>239</v>
      </c>
      <c r="AD16">
        <v>41010100</v>
      </c>
      <c r="AE16">
        <v>2</v>
      </c>
      <c r="AF16">
        <v>9318</v>
      </c>
      <c r="AG16">
        <v>10</v>
      </c>
      <c r="AH16" t="s">
        <v>266</v>
      </c>
      <c r="AI16">
        <v>1400</v>
      </c>
      <c r="AJ16" t="s">
        <v>241</v>
      </c>
      <c r="AK16" t="s">
        <v>242</v>
      </c>
      <c r="AL16" t="s">
        <v>226</v>
      </c>
      <c r="AN16">
        <v>900571946771</v>
      </c>
      <c r="AO16" t="s">
        <v>267</v>
      </c>
      <c r="AP16" t="s">
        <v>244</v>
      </c>
      <c r="AQ16" t="s">
        <v>245</v>
      </c>
      <c r="AR16" t="s">
        <v>244</v>
      </c>
      <c r="AS16">
        <v>-15096</v>
      </c>
      <c r="AT16">
        <v>-15096</v>
      </c>
      <c r="AU16">
        <v>-15096</v>
      </c>
    </row>
    <row r="17" spans="1:47" hidden="1" x14ac:dyDescent="0.25">
      <c r="A17" t="s">
        <v>84</v>
      </c>
      <c r="B17">
        <v>202503</v>
      </c>
      <c r="C17">
        <v>9005719467</v>
      </c>
      <c r="D17" t="s">
        <v>249</v>
      </c>
      <c r="E17" t="s">
        <v>226</v>
      </c>
      <c r="F17" s="98">
        <v>45743</v>
      </c>
      <c r="G17" s="98">
        <v>45731</v>
      </c>
      <c r="H17" t="s">
        <v>264</v>
      </c>
      <c r="I17" t="s">
        <v>264</v>
      </c>
      <c r="J17">
        <v>3</v>
      </c>
      <c r="K17">
        <v>-18112</v>
      </c>
      <c r="L17" t="s">
        <v>265</v>
      </c>
      <c r="M17">
        <v>2025</v>
      </c>
      <c r="N17" s="98">
        <v>45717</v>
      </c>
      <c r="O17" t="s">
        <v>229</v>
      </c>
      <c r="P17" t="s">
        <v>230</v>
      </c>
      <c r="Q17">
        <v>2320521</v>
      </c>
      <c r="R17" t="s">
        <v>231</v>
      </c>
      <c r="S17" t="s">
        <v>232</v>
      </c>
      <c r="T17" t="s">
        <v>233</v>
      </c>
      <c r="U17" t="s">
        <v>229</v>
      </c>
      <c r="V17" t="s">
        <v>234</v>
      </c>
      <c r="W17" t="s">
        <v>235</v>
      </c>
      <c r="X17" t="s">
        <v>236</v>
      </c>
      <c r="Y17" t="s">
        <v>237</v>
      </c>
      <c r="Z17">
        <v>890</v>
      </c>
      <c r="AA17">
        <v>915</v>
      </c>
      <c r="AB17" t="s">
        <v>238</v>
      </c>
      <c r="AC17" t="s">
        <v>239</v>
      </c>
      <c r="AD17">
        <v>41010100</v>
      </c>
      <c r="AE17">
        <v>2</v>
      </c>
      <c r="AF17">
        <v>9318</v>
      </c>
      <c r="AG17">
        <v>10</v>
      </c>
      <c r="AH17" t="s">
        <v>266</v>
      </c>
      <c r="AI17">
        <v>1400</v>
      </c>
      <c r="AJ17" t="s">
        <v>241</v>
      </c>
      <c r="AK17" t="s">
        <v>242</v>
      </c>
      <c r="AL17" t="s">
        <v>226</v>
      </c>
      <c r="AN17">
        <v>900571946778</v>
      </c>
      <c r="AO17" t="s">
        <v>267</v>
      </c>
      <c r="AP17" t="s">
        <v>244</v>
      </c>
      <c r="AQ17" t="s">
        <v>245</v>
      </c>
      <c r="AR17" t="s">
        <v>244</v>
      </c>
      <c r="AS17">
        <v>-18112</v>
      </c>
      <c r="AT17">
        <v>-18112</v>
      </c>
      <c r="AU17">
        <v>-18112</v>
      </c>
    </row>
    <row r="18" spans="1:47" hidden="1" x14ac:dyDescent="0.25">
      <c r="A18" t="s">
        <v>84</v>
      </c>
      <c r="B18">
        <v>202503</v>
      </c>
      <c r="C18">
        <v>9005719467</v>
      </c>
      <c r="D18" t="s">
        <v>249</v>
      </c>
      <c r="E18" t="s">
        <v>255</v>
      </c>
      <c r="F18" s="98">
        <v>45743</v>
      </c>
      <c r="G18" s="98">
        <v>45731</v>
      </c>
      <c r="H18" t="s">
        <v>264</v>
      </c>
      <c r="I18" t="s">
        <v>264</v>
      </c>
      <c r="J18">
        <v>3</v>
      </c>
      <c r="K18">
        <v>15096</v>
      </c>
      <c r="L18" t="s">
        <v>265</v>
      </c>
      <c r="M18">
        <v>2025</v>
      </c>
      <c r="N18" s="98">
        <v>45717</v>
      </c>
      <c r="O18" t="s">
        <v>229</v>
      </c>
      <c r="P18" t="s">
        <v>230</v>
      </c>
      <c r="Q18">
        <v>2320521</v>
      </c>
      <c r="R18" t="s">
        <v>231</v>
      </c>
      <c r="S18" t="s">
        <v>232</v>
      </c>
      <c r="T18" t="s">
        <v>233</v>
      </c>
      <c r="U18" t="s">
        <v>229</v>
      </c>
      <c r="V18" t="s">
        <v>234</v>
      </c>
      <c r="W18" t="s">
        <v>235</v>
      </c>
      <c r="X18" t="s">
        <v>236</v>
      </c>
      <c r="Y18" t="s">
        <v>237</v>
      </c>
      <c r="Z18">
        <v>890</v>
      </c>
      <c r="AA18">
        <v>915</v>
      </c>
      <c r="AB18" t="s">
        <v>238</v>
      </c>
      <c r="AC18" t="s">
        <v>239</v>
      </c>
      <c r="AD18">
        <v>41010100</v>
      </c>
      <c r="AE18">
        <v>2</v>
      </c>
      <c r="AF18">
        <v>9318</v>
      </c>
      <c r="AG18">
        <v>10</v>
      </c>
      <c r="AH18" t="s">
        <v>266</v>
      </c>
      <c r="AI18">
        <v>1400</v>
      </c>
      <c r="AJ18" t="s">
        <v>241</v>
      </c>
      <c r="AK18" t="s">
        <v>242</v>
      </c>
      <c r="AL18" t="s">
        <v>255</v>
      </c>
      <c r="AN18">
        <v>900571946774</v>
      </c>
      <c r="AO18" t="s">
        <v>267</v>
      </c>
      <c r="AP18" t="s">
        <v>244</v>
      </c>
      <c r="AQ18" t="s">
        <v>245</v>
      </c>
      <c r="AR18" t="s">
        <v>244</v>
      </c>
      <c r="AS18">
        <v>15096</v>
      </c>
      <c r="AT18">
        <v>15096</v>
      </c>
      <c r="AU18">
        <v>15096</v>
      </c>
    </row>
    <row r="19" spans="1:47" hidden="1" x14ac:dyDescent="0.25">
      <c r="A19" t="s">
        <v>84</v>
      </c>
      <c r="B19">
        <v>202503</v>
      </c>
      <c r="C19">
        <v>9005719467</v>
      </c>
      <c r="D19" t="s">
        <v>249</v>
      </c>
      <c r="E19" t="s">
        <v>255</v>
      </c>
      <c r="F19" s="98">
        <v>45743</v>
      </c>
      <c r="G19" s="98">
        <v>45731</v>
      </c>
      <c r="H19" t="s">
        <v>264</v>
      </c>
      <c r="I19" t="s">
        <v>264</v>
      </c>
      <c r="J19">
        <v>3</v>
      </c>
      <c r="K19">
        <v>18112</v>
      </c>
      <c r="L19" t="s">
        <v>265</v>
      </c>
      <c r="M19">
        <v>2025</v>
      </c>
      <c r="N19" s="98">
        <v>45717</v>
      </c>
      <c r="O19" t="s">
        <v>229</v>
      </c>
      <c r="P19" t="s">
        <v>230</v>
      </c>
      <c r="Q19">
        <v>2320521</v>
      </c>
      <c r="R19" t="s">
        <v>231</v>
      </c>
      <c r="S19" t="s">
        <v>232</v>
      </c>
      <c r="T19" t="s">
        <v>233</v>
      </c>
      <c r="U19" t="s">
        <v>229</v>
      </c>
      <c r="V19" t="s">
        <v>234</v>
      </c>
      <c r="W19" t="s">
        <v>235</v>
      </c>
      <c r="X19" t="s">
        <v>236</v>
      </c>
      <c r="Y19" t="s">
        <v>237</v>
      </c>
      <c r="Z19">
        <v>890</v>
      </c>
      <c r="AA19">
        <v>915</v>
      </c>
      <c r="AB19" t="s">
        <v>238</v>
      </c>
      <c r="AC19" t="s">
        <v>239</v>
      </c>
      <c r="AD19">
        <v>41010100</v>
      </c>
      <c r="AE19">
        <v>2</v>
      </c>
      <c r="AF19">
        <v>9318</v>
      </c>
      <c r="AG19">
        <v>10</v>
      </c>
      <c r="AH19" t="s">
        <v>266</v>
      </c>
      <c r="AI19">
        <v>1400</v>
      </c>
      <c r="AJ19" t="s">
        <v>241</v>
      </c>
      <c r="AK19" t="s">
        <v>242</v>
      </c>
      <c r="AL19" t="s">
        <v>255</v>
      </c>
      <c r="AN19">
        <v>900571946775</v>
      </c>
      <c r="AO19" t="s">
        <v>267</v>
      </c>
      <c r="AP19" t="s">
        <v>244</v>
      </c>
      <c r="AQ19" t="s">
        <v>245</v>
      </c>
      <c r="AR19" t="s">
        <v>244</v>
      </c>
      <c r="AS19">
        <v>18112</v>
      </c>
      <c r="AT19">
        <v>18112</v>
      </c>
      <c r="AU19">
        <v>18112</v>
      </c>
    </row>
    <row r="20" spans="1:47" hidden="1" x14ac:dyDescent="0.25">
      <c r="A20" t="s">
        <v>84</v>
      </c>
      <c r="B20">
        <v>202503</v>
      </c>
      <c r="C20">
        <v>2100077618</v>
      </c>
      <c r="D20" t="s">
        <v>249</v>
      </c>
      <c r="E20" t="s">
        <v>226</v>
      </c>
      <c r="F20" s="98">
        <v>45712</v>
      </c>
      <c r="G20" s="98">
        <v>45719</v>
      </c>
      <c r="H20" t="s">
        <v>250</v>
      </c>
      <c r="I20" t="s">
        <v>250</v>
      </c>
      <c r="J20">
        <v>3</v>
      </c>
      <c r="K20">
        <v>-19385.28</v>
      </c>
      <c r="L20" t="s">
        <v>259</v>
      </c>
      <c r="M20">
        <v>2025</v>
      </c>
      <c r="N20" s="98">
        <v>45717</v>
      </c>
      <c r="O20" t="s">
        <v>229</v>
      </c>
      <c r="P20" t="s">
        <v>230</v>
      </c>
      <c r="Q20">
        <v>2320521</v>
      </c>
      <c r="R20" t="s">
        <v>231</v>
      </c>
      <c r="S20" t="s">
        <v>232</v>
      </c>
      <c r="T20" t="s">
        <v>233</v>
      </c>
      <c r="U20" t="s">
        <v>229</v>
      </c>
      <c r="V20" t="s">
        <v>234</v>
      </c>
      <c r="W20" t="s">
        <v>235</v>
      </c>
      <c r="X20" t="s">
        <v>236</v>
      </c>
      <c r="Y20" t="s">
        <v>237</v>
      </c>
      <c r="Z20">
        <v>890</v>
      </c>
      <c r="AA20">
        <v>915</v>
      </c>
      <c r="AB20" t="s">
        <v>238</v>
      </c>
      <c r="AC20" t="s">
        <v>239</v>
      </c>
      <c r="AD20">
        <v>41010100</v>
      </c>
      <c r="AE20">
        <v>2</v>
      </c>
      <c r="AF20">
        <v>9318</v>
      </c>
      <c r="AG20">
        <v>10</v>
      </c>
      <c r="AH20" t="s">
        <v>252</v>
      </c>
      <c r="AI20">
        <v>1400</v>
      </c>
      <c r="AJ20" t="s">
        <v>241</v>
      </c>
      <c r="AK20" t="s">
        <v>242</v>
      </c>
      <c r="AL20" t="s">
        <v>226</v>
      </c>
      <c r="AN20">
        <v>2100077618174</v>
      </c>
      <c r="AO20" t="s">
        <v>253</v>
      </c>
      <c r="AP20" t="s">
        <v>244</v>
      </c>
      <c r="AQ20" t="s">
        <v>245</v>
      </c>
      <c r="AR20" t="s">
        <v>244</v>
      </c>
      <c r="AS20">
        <v>-19385.28</v>
      </c>
      <c r="AT20">
        <v>-19385.28</v>
      </c>
      <c r="AU20">
        <v>-19385.28</v>
      </c>
    </row>
    <row r="21" spans="1:47" hidden="1" x14ac:dyDescent="0.25">
      <c r="A21" t="s">
        <v>85</v>
      </c>
      <c r="B21">
        <v>202503</v>
      </c>
      <c r="C21">
        <v>2100077618</v>
      </c>
      <c r="D21" t="s">
        <v>249</v>
      </c>
      <c r="E21" t="s">
        <v>246</v>
      </c>
      <c r="F21" s="98">
        <v>45712</v>
      </c>
      <c r="G21" s="98">
        <v>45719</v>
      </c>
      <c r="H21" t="s">
        <v>254</v>
      </c>
      <c r="I21" t="s">
        <v>254</v>
      </c>
      <c r="J21">
        <v>3</v>
      </c>
      <c r="K21">
        <v>-62210</v>
      </c>
      <c r="L21" t="s">
        <v>259</v>
      </c>
      <c r="M21">
        <v>2025</v>
      </c>
      <c r="N21" s="98">
        <v>45717</v>
      </c>
      <c r="O21" t="s">
        <v>229</v>
      </c>
      <c r="P21" t="s">
        <v>230</v>
      </c>
      <c r="Q21">
        <v>2320521</v>
      </c>
      <c r="R21" t="s">
        <v>231</v>
      </c>
      <c r="S21" t="s">
        <v>232</v>
      </c>
      <c r="T21" t="s">
        <v>233</v>
      </c>
      <c r="U21" t="s">
        <v>229</v>
      </c>
      <c r="V21" t="s">
        <v>234</v>
      </c>
      <c r="W21" t="s">
        <v>235</v>
      </c>
      <c r="X21" t="s">
        <v>236</v>
      </c>
      <c r="Y21" t="s">
        <v>237</v>
      </c>
      <c r="Z21">
        <v>890</v>
      </c>
      <c r="AA21">
        <v>915</v>
      </c>
      <c r="AB21" t="s">
        <v>238</v>
      </c>
      <c r="AC21" t="s">
        <v>239</v>
      </c>
      <c r="AD21">
        <v>41010100</v>
      </c>
      <c r="AE21">
        <v>2</v>
      </c>
      <c r="AF21">
        <v>9318</v>
      </c>
      <c r="AG21">
        <v>10</v>
      </c>
      <c r="AH21" t="s">
        <v>252</v>
      </c>
      <c r="AI21">
        <v>1400</v>
      </c>
      <c r="AJ21" t="s">
        <v>241</v>
      </c>
      <c r="AK21" t="s">
        <v>242</v>
      </c>
      <c r="AL21" t="s">
        <v>246</v>
      </c>
      <c r="AN21">
        <v>2100077618177</v>
      </c>
      <c r="AO21" t="s">
        <v>253</v>
      </c>
      <c r="AP21" t="s">
        <v>244</v>
      </c>
      <c r="AQ21" t="s">
        <v>245</v>
      </c>
      <c r="AR21" t="s">
        <v>244</v>
      </c>
      <c r="AS21">
        <v>-62210</v>
      </c>
      <c r="AT21">
        <v>-62210</v>
      </c>
      <c r="AU21">
        <v>-62210</v>
      </c>
    </row>
    <row r="22" spans="1:47" hidden="1" x14ac:dyDescent="0.25">
      <c r="A22" t="s">
        <v>85</v>
      </c>
      <c r="B22">
        <v>202503</v>
      </c>
      <c r="C22">
        <v>2100077870</v>
      </c>
      <c r="D22" t="s">
        <v>249</v>
      </c>
      <c r="E22" t="s">
        <v>246</v>
      </c>
      <c r="F22" s="98">
        <v>45747</v>
      </c>
      <c r="G22" s="98">
        <v>45731</v>
      </c>
      <c r="H22" t="s">
        <v>254</v>
      </c>
      <c r="I22" t="s">
        <v>254</v>
      </c>
      <c r="J22">
        <v>3</v>
      </c>
      <c r="K22">
        <v>121710</v>
      </c>
      <c r="L22" t="s">
        <v>251</v>
      </c>
      <c r="M22">
        <v>2025</v>
      </c>
      <c r="N22" s="98">
        <v>45717</v>
      </c>
      <c r="O22" t="s">
        <v>229</v>
      </c>
      <c r="P22" t="s">
        <v>230</v>
      </c>
      <c r="Q22">
        <v>2320521</v>
      </c>
      <c r="R22" t="s">
        <v>231</v>
      </c>
      <c r="S22" t="s">
        <v>232</v>
      </c>
      <c r="T22" t="s">
        <v>233</v>
      </c>
      <c r="U22" t="s">
        <v>229</v>
      </c>
      <c r="V22" t="s">
        <v>234</v>
      </c>
      <c r="W22" t="s">
        <v>235</v>
      </c>
      <c r="X22" t="s">
        <v>236</v>
      </c>
      <c r="Y22" t="s">
        <v>237</v>
      </c>
      <c r="Z22">
        <v>890</v>
      </c>
      <c r="AA22">
        <v>915</v>
      </c>
      <c r="AB22" t="s">
        <v>238</v>
      </c>
      <c r="AC22" t="s">
        <v>239</v>
      </c>
      <c r="AD22">
        <v>41010100</v>
      </c>
      <c r="AE22">
        <v>2</v>
      </c>
      <c r="AF22">
        <v>9318</v>
      </c>
      <c r="AG22">
        <v>10</v>
      </c>
      <c r="AH22" t="s">
        <v>252</v>
      </c>
      <c r="AI22">
        <v>1400</v>
      </c>
      <c r="AJ22" t="s">
        <v>241</v>
      </c>
      <c r="AK22" t="s">
        <v>242</v>
      </c>
      <c r="AL22" t="s">
        <v>246</v>
      </c>
      <c r="AN22">
        <v>210007787014</v>
      </c>
      <c r="AO22" t="s">
        <v>260</v>
      </c>
      <c r="AP22" t="s">
        <v>244</v>
      </c>
      <c r="AQ22" t="s">
        <v>245</v>
      </c>
      <c r="AR22" t="s">
        <v>244</v>
      </c>
      <c r="AS22">
        <v>121710</v>
      </c>
      <c r="AT22">
        <v>121710</v>
      </c>
      <c r="AU22">
        <v>121710</v>
      </c>
    </row>
    <row r="23" spans="1:47" hidden="1" x14ac:dyDescent="0.25">
      <c r="A23" t="s">
        <v>85</v>
      </c>
      <c r="B23">
        <v>202503</v>
      </c>
      <c r="C23">
        <v>2100077928</v>
      </c>
      <c r="D23" t="s">
        <v>249</v>
      </c>
      <c r="E23" t="s">
        <v>246</v>
      </c>
      <c r="F23" s="98">
        <v>45748</v>
      </c>
      <c r="G23" s="98">
        <v>45731</v>
      </c>
      <c r="H23" t="s">
        <v>254</v>
      </c>
      <c r="I23" t="s">
        <v>254</v>
      </c>
      <c r="J23">
        <v>3</v>
      </c>
      <c r="K23">
        <v>-16110</v>
      </c>
      <c r="L23" t="s">
        <v>259</v>
      </c>
      <c r="M23">
        <v>2025</v>
      </c>
      <c r="N23" s="98">
        <v>45717</v>
      </c>
      <c r="O23" t="s">
        <v>229</v>
      </c>
      <c r="P23" t="s">
        <v>230</v>
      </c>
      <c r="Q23">
        <v>2320521</v>
      </c>
      <c r="R23" t="s">
        <v>231</v>
      </c>
      <c r="S23" t="s">
        <v>232</v>
      </c>
      <c r="T23" t="s">
        <v>233</v>
      </c>
      <c r="U23" t="s">
        <v>229</v>
      </c>
      <c r="V23" t="s">
        <v>234</v>
      </c>
      <c r="W23" t="s">
        <v>235</v>
      </c>
      <c r="X23" t="s">
        <v>236</v>
      </c>
      <c r="Y23" t="s">
        <v>237</v>
      </c>
      <c r="Z23">
        <v>890</v>
      </c>
      <c r="AA23">
        <v>915</v>
      </c>
      <c r="AB23" t="s">
        <v>238</v>
      </c>
      <c r="AC23" t="s">
        <v>239</v>
      </c>
      <c r="AD23">
        <v>41010100</v>
      </c>
      <c r="AE23">
        <v>2</v>
      </c>
      <c r="AF23">
        <v>9318</v>
      </c>
      <c r="AG23">
        <v>10</v>
      </c>
      <c r="AH23" t="s">
        <v>252</v>
      </c>
      <c r="AI23">
        <v>1400</v>
      </c>
      <c r="AJ23" t="s">
        <v>241</v>
      </c>
      <c r="AK23" t="s">
        <v>242</v>
      </c>
      <c r="AL23" t="s">
        <v>246</v>
      </c>
      <c r="AN23">
        <v>21000779288</v>
      </c>
      <c r="AO23" t="s">
        <v>261</v>
      </c>
      <c r="AP23" t="s">
        <v>244</v>
      </c>
      <c r="AQ23" t="s">
        <v>245</v>
      </c>
      <c r="AR23" t="s">
        <v>244</v>
      </c>
      <c r="AS23">
        <v>-16110</v>
      </c>
      <c r="AT23">
        <v>-16110</v>
      </c>
      <c r="AU23">
        <v>-16110</v>
      </c>
    </row>
    <row r="24" spans="1:47" hidden="1" x14ac:dyDescent="0.25">
      <c r="A24" t="s">
        <v>84</v>
      </c>
      <c r="B24">
        <v>202505</v>
      </c>
      <c r="C24">
        <v>9005790523</v>
      </c>
      <c r="D24" t="s">
        <v>249</v>
      </c>
      <c r="E24" t="s">
        <v>268</v>
      </c>
      <c r="F24" s="98">
        <v>45799</v>
      </c>
      <c r="G24" s="98">
        <v>45792</v>
      </c>
      <c r="H24" t="s">
        <v>269</v>
      </c>
      <c r="I24" t="s">
        <v>269</v>
      </c>
      <c r="J24">
        <v>5</v>
      </c>
      <c r="K24">
        <v>-2286</v>
      </c>
      <c r="L24" t="s">
        <v>265</v>
      </c>
      <c r="M24">
        <v>2025</v>
      </c>
      <c r="N24" s="98">
        <v>45778</v>
      </c>
      <c r="O24" t="s">
        <v>229</v>
      </c>
      <c r="P24" t="s">
        <v>230</v>
      </c>
      <c r="Q24">
        <v>2320521</v>
      </c>
      <c r="R24" t="s">
        <v>231</v>
      </c>
      <c r="S24" t="s">
        <v>232</v>
      </c>
      <c r="T24" t="s">
        <v>233</v>
      </c>
      <c r="U24" t="s">
        <v>229</v>
      </c>
      <c r="V24" t="s">
        <v>234</v>
      </c>
      <c r="W24" t="s">
        <v>235</v>
      </c>
      <c r="X24" t="s">
        <v>236</v>
      </c>
      <c r="Y24" t="s">
        <v>237</v>
      </c>
      <c r="Z24">
        <v>890</v>
      </c>
      <c r="AA24">
        <v>915</v>
      </c>
      <c r="AB24" t="s">
        <v>238</v>
      </c>
      <c r="AC24" t="s">
        <v>239</v>
      </c>
      <c r="AD24">
        <v>41010000</v>
      </c>
      <c r="AE24">
        <v>2</v>
      </c>
      <c r="AF24">
        <v>9318</v>
      </c>
      <c r="AG24">
        <v>10</v>
      </c>
      <c r="AH24" t="s">
        <v>266</v>
      </c>
      <c r="AI24">
        <v>1400</v>
      </c>
      <c r="AJ24" t="s">
        <v>241</v>
      </c>
      <c r="AK24" t="s">
        <v>242</v>
      </c>
      <c r="AL24" t="s">
        <v>268</v>
      </c>
      <c r="AN24">
        <v>9005790523692</v>
      </c>
      <c r="AO24" t="s">
        <v>270</v>
      </c>
      <c r="AP24" t="s">
        <v>244</v>
      </c>
      <c r="AQ24" t="s">
        <v>245</v>
      </c>
      <c r="AR24" t="s">
        <v>244</v>
      </c>
      <c r="AS24">
        <v>-2286</v>
      </c>
      <c r="AT24">
        <v>-2286</v>
      </c>
      <c r="AU24">
        <v>-2286</v>
      </c>
    </row>
    <row r="25" spans="1:47" hidden="1" x14ac:dyDescent="0.25">
      <c r="A25" t="s">
        <v>85</v>
      </c>
      <c r="B25">
        <v>202505</v>
      </c>
      <c r="C25">
        <v>5107435533</v>
      </c>
      <c r="D25" t="s">
        <v>225</v>
      </c>
      <c r="E25" t="s">
        <v>246</v>
      </c>
      <c r="F25" s="98">
        <v>45797</v>
      </c>
      <c r="G25" s="98">
        <v>45797</v>
      </c>
      <c r="H25" t="s">
        <v>247</v>
      </c>
      <c r="I25" t="s">
        <v>247</v>
      </c>
      <c r="J25">
        <v>5</v>
      </c>
      <c r="K25">
        <v>20960</v>
      </c>
      <c r="L25" t="s">
        <v>228</v>
      </c>
      <c r="M25">
        <v>2025</v>
      </c>
      <c r="N25" s="98">
        <v>45778</v>
      </c>
      <c r="O25" t="s">
        <v>229</v>
      </c>
      <c r="P25" t="s">
        <v>230</v>
      </c>
      <c r="Q25">
        <v>2320521</v>
      </c>
      <c r="R25" t="s">
        <v>231</v>
      </c>
      <c r="S25" t="s">
        <v>232</v>
      </c>
      <c r="T25" t="s">
        <v>233</v>
      </c>
      <c r="U25" t="s">
        <v>229</v>
      </c>
      <c r="V25" t="s">
        <v>234</v>
      </c>
      <c r="W25" t="s">
        <v>235</v>
      </c>
      <c r="X25" t="s">
        <v>236</v>
      </c>
      <c r="Y25" t="s">
        <v>237</v>
      </c>
      <c r="Z25">
        <v>890</v>
      </c>
      <c r="AA25">
        <v>915</v>
      </c>
      <c r="AB25" t="s">
        <v>238</v>
      </c>
      <c r="AC25" t="s">
        <v>239</v>
      </c>
      <c r="AD25">
        <v>41010100</v>
      </c>
      <c r="AE25">
        <v>2</v>
      </c>
      <c r="AF25">
        <v>9318</v>
      </c>
      <c r="AG25">
        <v>10</v>
      </c>
      <c r="AH25" t="s">
        <v>240</v>
      </c>
      <c r="AI25">
        <v>1400</v>
      </c>
      <c r="AJ25" t="s">
        <v>241</v>
      </c>
      <c r="AK25" t="s">
        <v>242</v>
      </c>
      <c r="AL25" t="s">
        <v>246</v>
      </c>
      <c r="AN25">
        <v>51074355332</v>
      </c>
      <c r="AO25" t="s">
        <v>271</v>
      </c>
      <c r="AP25" t="s">
        <v>244</v>
      </c>
      <c r="AQ25" t="s">
        <v>245</v>
      </c>
      <c r="AR25" t="s">
        <v>244</v>
      </c>
      <c r="AS25">
        <v>20960</v>
      </c>
      <c r="AT25">
        <v>20960</v>
      </c>
      <c r="AU25">
        <v>20960</v>
      </c>
    </row>
    <row r="26" spans="1:47" hidden="1" x14ac:dyDescent="0.25">
      <c r="A26" t="s">
        <v>84</v>
      </c>
      <c r="B26">
        <v>202505</v>
      </c>
      <c r="C26">
        <v>5107435534</v>
      </c>
      <c r="D26" t="s">
        <v>225</v>
      </c>
      <c r="E26" t="s">
        <v>255</v>
      </c>
      <c r="F26" s="98">
        <v>45797</v>
      </c>
      <c r="G26" s="98">
        <v>45797</v>
      </c>
      <c r="H26" t="s">
        <v>227</v>
      </c>
      <c r="I26" t="s">
        <v>227</v>
      </c>
      <c r="J26">
        <v>5</v>
      </c>
      <c r="K26">
        <v>15247.5</v>
      </c>
      <c r="L26" t="s">
        <v>228</v>
      </c>
      <c r="M26">
        <v>2025</v>
      </c>
      <c r="N26" s="98">
        <v>45778</v>
      </c>
      <c r="O26" t="s">
        <v>229</v>
      </c>
      <c r="P26" t="s">
        <v>230</v>
      </c>
      <c r="Q26">
        <v>2320521</v>
      </c>
      <c r="R26" t="s">
        <v>231</v>
      </c>
      <c r="S26" t="s">
        <v>232</v>
      </c>
      <c r="T26" t="s">
        <v>233</v>
      </c>
      <c r="U26" t="s">
        <v>229</v>
      </c>
      <c r="V26" t="s">
        <v>234</v>
      </c>
      <c r="W26" t="s">
        <v>235</v>
      </c>
      <c r="X26" t="s">
        <v>236</v>
      </c>
      <c r="Y26" t="s">
        <v>237</v>
      </c>
      <c r="Z26">
        <v>890</v>
      </c>
      <c r="AA26">
        <v>915</v>
      </c>
      <c r="AB26" t="s">
        <v>238</v>
      </c>
      <c r="AC26" t="s">
        <v>239</v>
      </c>
      <c r="AD26">
        <v>41010100</v>
      </c>
      <c r="AE26">
        <v>2</v>
      </c>
      <c r="AF26">
        <v>9318</v>
      </c>
      <c r="AG26">
        <v>10</v>
      </c>
      <c r="AH26" t="s">
        <v>240</v>
      </c>
      <c r="AI26">
        <v>1400</v>
      </c>
      <c r="AJ26" t="s">
        <v>241</v>
      </c>
      <c r="AK26" t="s">
        <v>242</v>
      </c>
      <c r="AL26" t="s">
        <v>255</v>
      </c>
      <c r="AN26">
        <v>51074355342</v>
      </c>
      <c r="AO26" t="s">
        <v>272</v>
      </c>
      <c r="AP26" t="s">
        <v>244</v>
      </c>
      <c r="AQ26" t="s">
        <v>245</v>
      </c>
      <c r="AR26" t="s">
        <v>244</v>
      </c>
      <c r="AS26">
        <v>15247.5</v>
      </c>
      <c r="AT26">
        <v>15247.5</v>
      </c>
      <c r="AU26">
        <v>15247.5</v>
      </c>
    </row>
    <row r="27" spans="1:47" hidden="1" x14ac:dyDescent="0.25">
      <c r="A27" t="s">
        <v>85</v>
      </c>
      <c r="B27">
        <v>202505</v>
      </c>
      <c r="C27">
        <v>2100078712</v>
      </c>
      <c r="D27" t="s">
        <v>249</v>
      </c>
      <c r="E27" t="s">
        <v>246</v>
      </c>
      <c r="F27" s="98">
        <v>45775</v>
      </c>
      <c r="G27" s="98">
        <v>45782</v>
      </c>
      <c r="H27" t="s">
        <v>254</v>
      </c>
      <c r="I27" t="s">
        <v>254</v>
      </c>
      <c r="J27">
        <v>5</v>
      </c>
      <c r="K27">
        <v>-112062</v>
      </c>
      <c r="L27" t="s">
        <v>259</v>
      </c>
      <c r="M27">
        <v>2025</v>
      </c>
      <c r="N27" s="98">
        <v>45778</v>
      </c>
      <c r="O27" t="s">
        <v>229</v>
      </c>
      <c r="P27" t="s">
        <v>230</v>
      </c>
      <c r="Q27">
        <v>2320521</v>
      </c>
      <c r="R27" t="s">
        <v>231</v>
      </c>
      <c r="S27" t="s">
        <v>232</v>
      </c>
      <c r="T27" t="s">
        <v>233</v>
      </c>
      <c r="U27" t="s">
        <v>229</v>
      </c>
      <c r="V27" t="s">
        <v>234</v>
      </c>
      <c r="W27" t="s">
        <v>235</v>
      </c>
      <c r="X27" t="s">
        <v>236</v>
      </c>
      <c r="Y27" t="s">
        <v>237</v>
      </c>
      <c r="Z27">
        <v>890</v>
      </c>
      <c r="AA27">
        <v>915</v>
      </c>
      <c r="AB27" t="s">
        <v>238</v>
      </c>
      <c r="AC27" t="s">
        <v>239</v>
      </c>
      <c r="AD27">
        <v>41010100</v>
      </c>
      <c r="AE27">
        <v>2</v>
      </c>
      <c r="AF27">
        <v>9318</v>
      </c>
      <c r="AG27">
        <v>10</v>
      </c>
      <c r="AH27" t="s">
        <v>252</v>
      </c>
      <c r="AI27">
        <v>1400</v>
      </c>
      <c r="AJ27" t="s">
        <v>241</v>
      </c>
      <c r="AK27" t="s">
        <v>242</v>
      </c>
      <c r="AL27" t="s">
        <v>246</v>
      </c>
      <c r="AN27">
        <v>210007871215</v>
      </c>
      <c r="AO27" t="s">
        <v>260</v>
      </c>
      <c r="AP27" t="s">
        <v>244</v>
      </c>
      <c r="AQ27" t="s">
        <v>245</v>
      </c>
      <c r="AR27" t="s">
        <v>244</v>
      </c>
      <c r="AS27">
        <v>-112062</v>
      </c>
      <c r="AT27">
        <v>-112062</v>
      </c>
      <c r="AU27">
        <v>-112062</v>
      </c>
    </row>
    <row r="28" spans="1:47" hidden="1" x14ac:dyDescent="0.25">
      <c r="A28" t="s">
        <v>85</v>
      </c>
      <c r="B28">
        <v>202505</v>
      </c>
      <c r="C28">
        <v>2100078772</v>
      </c>
      <c r="D28" t="s">
        <v>249</v>
      </c>
      <c r="E28" t="s">
        <v>246</v>
      </c>
      <c r="F28" s="98">
        <v>45776</v>
      </c>
      <c r="G28" s="98">
        <v>45782</v>
      </c>
      <c r="H28" t="s">
        <v>254</v>
      </c>
      <c r="I28" t="s">
        <v>254</v>
      </c>
      <c r="J28">
        <v>5</v>
      </c>
      <c r="K28">
        <v>18462</v>
      </c>
      <c r="L28" t="s">
        <v>251</v>
      </c>
      <c r="M28">
        <v>2025</v>
      </c>
      <c r="N28" s="98">
        <v>45778</v>
      </c>
      <c r="O28" t="s">
        <v>229</v>
      </c>
      <c r="P28" t="s">
        <v>230</v>
      </c>
      <c r="Q28">
        <v>2320521</v>
      </c>
      <c r="R28" t="s">
        <v>231</v>
      </c>
      <c r="S28" t="s">
        <v>232</v>
      </c>
      <c r="T28" t="s">
        <v>233</v>
      </c>
      <c r="U28" t="s">
        <v>229</v>
      </c>
      <c r="V28" t="s">
        <v>234</v>
      </c>
      <c r="W28" t="s">
        <v>235</v>
      </c>
      <c r="X28" t="s">
        <v>236</v>
      </c>
      <c r="Y28" t="s">
        <v>237</v>
      </c>
      <c r="Z28">
        <v>890</v>
      </c>
      <c r="AA28">
        <v>915</v>
      </c>
      <c r="AB28" t="s">
        <v>238</v>
      </c>
      <c r="AC28" t="s">
        <v>239</v>
      </c>
      <c r="AD28">
        <v>41010100</v>
      </c>
      <c r="AE28">
        <v>2</v>
      </c>
      <c r="AF28">
        <v>9318</v>
      </c>
      <c r="AG28">
        <v>10</v>
      </c>
      <c r="AH28" t="s">
        <v>252</v>
      </c>
      <c r="AI28">
        <v>1400</v>
      </c>
      <c r="AJ28" t="s">
        <v>241</v>
      </c>
      <c r="AK28" t="s">
        <v>242</v>
      </c>
      <c r="AL28" t="s">
        <v>246</v>
      </c>
      <c r="AN28">
        <v>210007877211</v>
      </c>
      <c r="AO28" t="s">
        <v>261</v>
      </c>
      <c r="AP28" t="s">
        <v>244</v>
      </c>
      <c r="AQ28" t="s">
        <v>245</v>
      </c>
      <c r="AR28" t="s">
        <v>244</v>
      </c>
      <c r="AS28">
        <v>18462</v>
      </c>
      <c r="AT28">
        <v>18462</v>
      </c>
      <c r="AU28">
        <v>18462</v>
      </c>
    </row>
    <row r="29" spans="1:47" hidden="1" x14ac:dyDescent="0.25">
      <c r="A29" t="s">
        <v>85</v>
      </c>
      <c r="B29">
        <v>202505</v>
      </c>
      <c r="C29">
        <v>2100078931</v>
      </c>
      <c r="D29" t="s">
        <v>249</v>
      </c>
      <c r="E29" t="s">
        <v>246</v>
      </c>
      <c r="F29" s="98">
        <v>45804</v>
      </c>
      <c r="G29" s="98">
        <v>45792</v>
      </c>
      <c r="H29" t="s">
        <v>254</v>
      </c>
      <c r="I29" t="s">
        <v>254</v>
      </c>
      <c r="J29">
        <v>5</v>
      </c>
      <c r="K29">
        <v>140102</v>
      </c>
      <c r="L29" t="s">
        <v>251</v>
      </c>
      <c r="M29">
        <v>2025</v>
      </c>
      <c r="N29" s="98">
        <v>45778</v>
      </c>
      <c r="O29" t="s">
        <v>229</v>
      </c>
      <c r="P29" t="s">
        <v>230</v>
      </c>
      <c r="Q29">
        <v>2320521</v>
      </c>
      <c r="R29" t="s">
        <v>231</v>
      </c>
      <c r="S29" t="s">
        <v>232</v>
      </c>
      <c r="T29" t="s">
        <v>233</v>
      </c>
      <c r="U29" t="s">
        <v>229</v>
      </c>
      <c r="V29" t="s">
        <v>234</v>
      </c>
      <c r="W29" t="s">
        <v>235</v>
      </c>
      <c r="X29" t="s">
        <v>236</v>
      </c>
      <c r="Y29" t="s">
        <v>237</v>
      </c>
      <c r="Z29">
        <v>890</v>
      </c>
      <c r="AA29">
        <v>915</v>
      </c>
      <c r="AB29" t="s">
        <v>238</v>
      </c>
      <c r="AC29" t="s">
        <v>239</v>
      </c>
      <c r="AD29">
        <v>41010100</v>
      </c>
      <c r="AE29">
        <v>2</v>
      </c>
      <c r="AF29">
        <v>9318</v>
      </c>
      <c r="AG29">
        <v>10</v>
      </c>
      <c r="AH29" t="s">
        <v>252</v>
      </c>
      <c r="AI29">
        <v>1400</v>
      </c>
      <c r="AJ29" t="s">
        <v>241</v>
      </c>
      <c r="AK29" t="s">
        <v>242</v>
      </c>
      <c r="AL29" t="s">
        <v>246</v>
      </c>
      <c r="AN29">
        <v>210007893113</v>
      </c>
      <c r="AO29" t="s">
        <v>260</v>
      </c>
      <c r="AP29" t="s">
        <v>244</v>
      </c>
      <c r="AQ29" t="s">
        <v>245</v>
      </c>
      <c r="AR29" t="s">
        <v>244</v>
      </c>
      <c r="AS29">
        <v>140102</v>
      </c>
      <c r="AT29">
        <v>140102</v>
      </c>
      <c r="AU29">
        <v>140102</v>
      </c>
    </row>
    <row r="30" spans="1:47" hidden="1" x14ac:dyDescent="0.25">
      <c r="A30" t="s">
        <v>85</v>
      </c>
      <c r="B30">
        <v>202505</v>
      </c>
      <c r="C30">
        <v>2100079005</v>
      </c>
      <c r="D30" t="s">
        <v>249</v>
      </c>
      <c r="E30" t="s">
        <v>246</v>
      </c>
      <c r="F30" s="98">
        <v>45805</v>
      </c>
      <c r="G30" s="98">
        <v>45792</v>
      </c>
      <c r="H30" t="s">
        <v>254</v>
      </c>
      <c r="I30" t="s">
        <v>254</v>
      </c>
      <c r="J30">
        <v>5</v>
      </c>
      <c r="K30">
        <v>-18502</v>
      </c>
      <c r="L30" t="s">
        <v>259</v>
      </c>
      <c r="M30">
        <v>2025</v>
      </c>
      <c r="N30" s="98">
        <v>45778</v>
      </c>
      <c r="O30" t="s">
        <v>229</v>
      </c>
      <c r="P30" t="s">
        <v>230</v>
      </c>
      <c r="Q30">
        <v>2320521</v>
      </c>
      <c r="R30" t="s">
        <v>231</v>
      </c>
      <c r="S30" t="s">
        <v>232</v>
      </c>
      <c r="T30" t="s">
        <v>233</v>
      </c>
      <c r="U30" t="s">
        <v>229</v>
      </c>
      <c r="V30" t="s">
        <v>234</v>
      </c>
      <c r="W30" t="s">
        <v>235</v>
      </c>
      <c r="X30" t="s">
        <v>236</v>
      </c>
      <c r="Y30" t="s">
        <v>237</v>
      </c>
      <c r="Z30">
        <v>890</v>
      </c>
      <c r="AA30">
        <v>915</v>
      </c>
      <c r="AB30" t="s">
        <v>238</v>
      </c>
      <c r="AC30" t="s">
        <v>239</v>
      </c>
      <c r="AD30">
        <v>41010100</v>
      </c>
      <c r="AE30">
        <v>2</v>
      </c>
      <c r="AF30">
        <v>9318</v>
      </c>
      <c r="AG30">
        <v>10</v>
      </c>
      <c r="AH30" t="s">
        <v>252</v>
      </c>
      <c r="AI30">
        <v>1400</v>
      </c>
      <c r="AJ30" t="s">
        <v>241</v>
      </c>
      <c r="AK30" t="s">
        <v>242</v>
      </c>
      <c r="AL30" t="s">
        <v>246</v>
      </c>
      <c r="AN30">
        <v>210007900510</v>
      </c>
      <c r="AO30" t="s">
        <v>261</v>
      </c>
      <c r="AP30" t="s">
        <v>244</v>
      </c>
      <c r="AQ30" t="s">
        <v>245</v>
      </c>
      <c r="AR30" t="s">
        <v>244</v>
      </c>
      <c r="AS30">
        <v>-18502</v>
      </c>
      <c r="AT30">
        <v>-18502</v>
      </c>
      <c r="AU30">
        <v>-18502</v>
      </c>
    </row>
    <row r="31" spans="1:47" hidden="1" x14ac:dyDescent="0.25">
      <c r="A31" t="s">
        <v>84</v>
      </c>
      <c r="B31">
        <v>202505</v>
      </c>
      <c r="C31">
        <v>2100078708</v>
      </c>
      <c r="D31" t="s">
        <v>249</v>
      </c>
      <c r="E31" t="s">
        <v>255</v>
      </c>
      <c r="F31" s="98">
        <v>45775</v>
      </c>
      <c r="G31" s="98">
        <v>45782</v>
      </c>
      <c r="H31" t="s">
        <v>250</v>
      </c>
      <c r="I31" t="s">
        <v>250</v>
      </c>
      <c r="J31">
        <v>5</v>
      </c>
      <c r="K31">
        <v>-19294.5</v>
      </c>
      <c r="L31" t="s">
        <v>259</v>
      </c>
      <c r="M31">
        <v>2025</v>
      </c>
      <c r="N31" s="98">
        <v>45778</v>
      </c>
      <c r="O31" t="s">
        <v>229</v>
      </c>
      <c r="P31" t="s">
        <v>230</v>
      </c>
      <c r="Q31">
        <v>2320521</v>
      </c>
      <c r="R31" t="s">
        <v>231</v>
      </c>
      <c r="S31" t="s">
        <v>232</v>
      </c>
      <c r="T31" t="s">
        <v>233</v>
      </c>
      <c r="U31" t="s">
        <v>229</v>
      </c>
      <c r="V31" t="s">
        <v>234</v>
      </c>
      <c r="W31" t="s">
        <v>235</v>
      </c>
      <c r="X31" t="s">
        <v>236</v>
      </c>
      <c r="Y31" t="s">
        <v>237</v>
      </c>
      <c r="Z31">
        <v>890</v>
      </c>
      <c r="AA31">
        <v>915</v>
      </c>
      <c r="AB31" t="s">
        <v>238</v>
      </c>
      <c r="AC31" t="s">
        <v>239</v>
      </c>
      <c r="AD31">
        <v>41010100</v>
      </c>
      <c r="AE31">
        <v>2</v>
      </c>
      <c r="AF31">
        <v>9318</v>
      </c>
      <c r="AG31">
        <v>10</v>
      </c>
      <c r="AH31" t="s">
        <v>252</v>
      </c>
      <c r="AI31">
        <v>1400</v>
      </c>
      <c r="AJ31" t="s">
        <v>241</v>
      </c>
      <c r="AK31" t="s">
        <v>242</v>
      </c>
      <c r="AL31" t="s">
        <v>255</v>
      </c>
      <c r="AN31">
        <v>2100078708140</v>
      </c>
      <c r="AO31" t="s">
        <v>262</v>
      </c>
      <c r="AP31" t="s">
        <v>244</v>
      </c>
      <c r="AQ31" t="s">
        <v>245</v>
      </c>
      <c r="AR31" t="s">
        <v>244</v>
      </c>
      <c r="AS31">
        <v>-19294.5</v>
      </c>
      <c r="AT31">
        <v>-19294.5</v>
      </c>
      <c r="AU31">
        <v>-19294.5</v>
      </c>
    </row>
    <row r="32" spans="1:47" hidden="1" x14ac:dyDescent="0.25">
      <c r="A32" t="s">
        <v>84</v>
      </c>
      <c r="B32">
        <v>202505</v>
      </c>
      <c r="C32">
        <v>2100078972</v>
      </c>
      <c r="D32" t="s">
        <v>249</v>
      </c>
      <c r="E32" t="s">
        <v>255</v>
      </c>
      <c r="F32" s="98">
        <v>45804</v>
      </c>
      <c r="G32" s="98">
        <v>45792</v>
      </c>
      <c r="H32" t="s">
        <v>250</v>
      </c>
      <c r="I32" t="s">
        <v>250</v>
      </c>
      <c r="J32">
        <v>5</v>
      </c>
      <c r="K32">
        <v>20952.78</v>
      </c>
      <c r="L32" t="s">
        <v>251</v>
      </c>
      <c r="M32">
        <v>2025</v>
      </c>
      <c r="N32" s="98">
        <v>45778</v>
      </c>
      <c r="O32" t="s">
        <v>229</v>
      </c>
      <c r="P32" t="s">
        <v>230</v>
      </c>
      <c r="Q32">
        <v>2320521</v>
      </c>
      <c r="R32" t="s">
        <v>231</v>
      </c>
      <c r="S32" t="s">
        <v>232</v>
      </c>
      <c r="T32" t="s">
        <v>233</v>
      </c>
      <c r="U32" t="s">
        <v>229</v>
      </c>
      <c r="V32" t="s">
        <v>234</v>
      </c>
      <c r="W32" t="s">
        <v>235</v>
      </c>
      <c r="X32" t="s">
        <v>236</v>
      </c>
      <c r="Y32" t="s">
        <v>237</v>
      </c>
      <c r="Z32">
        <v>890</v>
      </c>
      <c r="AA32">
        <v>915</v>
      </c>
      <c r="AB32" t="s">
        <v>238</v>
      </c>
      <c r="AC32" t="s">
        <v>239</v>
      </c>
      <c r="AD32">
        <v>41010100</v>
      </c>
      <c r="AE32">
        <v>2</v>
      </c>
      <c r="AF32">
        <v>9318</v>
      </c>
      <c r="AG32">
        <v>10</v>
      </c>
      <c r="AH32" t="s">
        <v>252</v>
      </c>
      <c r="AI32">
        <v>1400</v>
      </c>
      <c r="AJ32" t="s">
        <v>241</v>
      </c>
      <c r="AK32" t="s">
        <v>242</v>
      </c>
      <c r="AL32" t="s">
        <v>255</v>
      </c>
      <c r="AN32">
        <v>2100078972119</v>
      </c>
      <c r="AO32" t="s">
        <v>273</v>
      </c>
      <c r="AP32" t="s">
        <v>244</v>
      </c>
      <c r="AQ32" t="s">
        <v>245</v>
      </c>
      <c r="AR32" t="s">
        <v>244</v>
      </c>
      <c r="AS32">
        <v>20952.78</v>
      </c>
      <c r="AT32">
        <v>20952.78</v>
      </c>
      <c r="AU32">
        <v>20952.78</v>
      </c>
    </row>
    <row r="33" spans="1:47" hidden="1" x14ac:dyDescent="0.25">
      <c r="A33" t="s">
        <v>84</v>
      </c>
      <c r="B33">
        <v>202505</v>
      </c>
      <c r="C33">
        <v>9005790523</v>
      </c>
      <c r="D33" t="s">
        <v>249</v>
      </c>
      <c r="E33" t="s">
        <v>226</v>
      </c>
      <c r="F33" s="98">
        <v>45799</v>
      </c>
      <c r="G33" s="98">
        <v>45792</v>
      </c>
      <c r="H33" t="s">
        <v>269</v>
      </c>
      <c r="I33" t="s">
        <v>269</v>
      </c>
      <c r="J33">
        <v>5</v>
      </c>
      <c r="K33">
        <v>2286</v>
      </c>
      <c r="L33" t="s">
        <v>265</v>
      </c>
      <c r="M33">
        <v>2025</v>
      </c>
      <c r="N33" s="98">
        <v>45778</v>
      </c>
      <c r="O33" t="s">
        <v>229</v>
      </c>
      <c r="P33" t="s">
        <v>230</v>
      </c>
      <c r="Q33">
        <v>2320521</v>
      </c>
      <c r="R33" t="s">
        <v>231</v>
      </c>
      <c r="S33" t="s">
        <v>232</v>
      </c>
      <c r="T33" t="s">
        <v>233</v>
      </c>
      <c r="U33" t="s">
        <v>229</v>
      </c>
      <c r="V33" t="s">
        <v>234</v>
      </c>
      <c r="W33" t="s">
        <v>235</v>
      </c>
      <c r="X33" t="s">
        <v>236</v>
      </c>
      <c r="Y33" t="s">
        <v>237</v>
      </c>
      <c r="Z33">
        <v>890</v>
      </c>
      <c r="AA33">
        <v>923</v>
      </c>
      <c r="AB33" t="s">
        <v>274</v>
      </c>
      <c r="AC33" t="s">
        <v>274</v>
      </c>
      <c r="AD33">
        <v>41500000</v>
      </c>
      <c r="AE33">
        <v>2</v>
      </c>
      <c r="AF33">
        <v>9318</v>
      </c>
      <c r="AG33">
        <v>10</v>
      </c>
      <c r="AH33" t="s">
        <v>266</v>
      </c>
      <c r="AI33">
        <v>1400</v>
      </c>
      <c r="AJ33" t="s">
        <v>241</v>
      </c>
      <c r="AK33" t="s">
        <v>242</v>
      </c>
      <c r="AL33" t="s">
        <v>226</v>
      </c>
      <c r="AN33">
        <v>9005790523688</v>
      </c>
      <c r="AO33" t="s">
        <v>270</v>
      </c>
      <c r="AP33" t="s">
        <v>244</v>
      </c>
      <c r="AQ33" t="s">
        <v>245</v>
      </c>
      <c r="AR33" t="s">
        <v>244</v>
      </c>
      <c r="AS33">
        <v>2286</v>
      </c>
      <c r="AT33">
        <v>2286</v>
      </c>
      <c r="AU33">
        <v>2286</v>
      </c>
    </row>
    <row r="34" spans="1:47" hidden="1" x14ac:dyDescent="0.25">
      <c r="A34" t="s">
        <v>85</v>
      </c>
      <c r="B34">
        <v>202506</v>
      </c>
      <c r="C34">
        <v>5107443439</v>
      </c>
      <c r="D34" t="s">
        <v>225</v>
      </c>
      <c r="E34" t="s">
        <v>246</v>
      </c>
      <c r="F34" s="98">
        <v>45805</v>
      </c>
      <c r="G34" s="98">
        <v>45805</v>
      </c>
      <c r="H34" t="s">
        <v>247</v>
      </c>
      <c r="I34" t="s">
        <v>247</v>
      </c>
      <c r="J34">
        <v>6</v>
      </c>
      <c r="K34">
        <v>27720</v>
      </c>
      <c r="L34" t="s">
        <v>228</v>
      </c>
      <c r="M34">
        <v>2025</v>
      </c>
      <c r="N34" s="98">
        <v>45809</v>
      </c>
      <c r="O34" t="s">
        <v>229</v>
      </c>
      <c r="P34" t="s">
        <v>230</v>
      </c>
      <c r="Q34">
        <v>2320521</v>
      </c>
      <c r="R34" t="s">
        <v>231</v>
      </c>
      <c r="S34" t="s">
        <v>232</v>
      </c>
      <c r="T34" t="s">
        <v>233</v>
      </c>
      <c r="U34" t="s">
        <v>229</v>
      </c>
      <c r="V34" t="s">
        <v>234</v>
      </c>
      <c r="W34" t="s">
        <v>235</v>
      </c>
      <c r="X34" t="s">
        <v>236</v>
      </c>
      <c r="Y34" t="s">
        <v>237</v>
      </c>
      <c r="Z34">
        <v>890</v>
      </c>
      <c r="AA34">
        <v>915</v>
      </c>
      <c r="AB34" t="s">
        <v>238</v>
      </c>
      <c r="AC34" t="s">
        <v>239</v>
      </c>
      <c r="AD34">
        <v>41010100</v>
      </c>
      <c r="AE34">
        <v>2</v>
      </c>
      <c r="AF34">
        <v>9318</v>
      </c>
      <c r="AG34">
        <v>10</v>
      </c>
      <c r="AH34" t="s">
        <v>240</v>
      </c>
      <c r="AI34">
        <v>1400</v>
      </c>
      <c r="AJ34" t="s">
        <v>241</v>
      </c>
      <c r="AK34" t="s">
        <v>242</v>
      </c>
      <c r="AL34" t="s">
        <v>246</v>
      </c>
      <c r="AN34">
        <v>51074434392</v>
      </c>
      <c r="AO34" t="s">
        <v>275</v>
      </c>
      <c r="AP34" t="s">
        <v>244</v>
      </c>
      <c r="AQ34" t="s">
        <v>245</v>
      </c>
      <c r="AR34" t="s">
        <v>244</v>
      </c>
      <c r="AS34">
        <v>27720</v>
      </c>
      <c r="AT34">
        <v>27720</v>
      </c>
      <c r="AU34">
        <v>27720</v>
      </c>
    </row>
    <row r="35" spans="1:47" hidden="1" x14ac:dyDescent="0.25">
      <c r="A35" t="s">
        <v>85</v>
      </c>
      <c r="B35">
        <v>202506</v>
      </c>
      <c r="C35">
        <v>5107470913</v>
      </c>
      <c r="D35" t="s">
        <v>225</v>
      </c>
      <c r="E35" t="s">
        <v>246</v>
      </c>
      <c r="F35" s="98">
        <v>45821</v>
      </c>
      <c r="G35" s="98">
        <v>45821</v>
      </c>
      <c r="H35" t="s">
        <v>247</v>
      </c>
      <c r="I35" t="s">
        <v>247</v>
      </c>
      <c r="J35">
        <v>6</v>
      </c>
      <c r="K35">
        <v>27040</v>
      </c>
      <c r="L35" t="s">
        <v>228</v>
      </c>
      <c r="M35">
        <v>2025</v>
      </c>
      <c r="N35" s="98">
        <v>45809</v>
      </c>
      <c r="O35" t="s">
        <v>229</v>
      </c>
      <c r="P35" t="s">
        <v>230</v>
      </c>
      <c r="Q35">
        <v>2320521</v>
      </c>
      <c r="R35" t="s">
        <v>231</v>
      </c>
      <c r="S35" t="s">
        <v>232</v>
      </c>
      <c r="T35" t="s">
        <v>233</v>
      </c>
      <c r="U35" t="s">
        <v>229</v>
      </c>
      <c r="V35" t="s">
        <v>234</v>
      </c>
      <c r="W35" t="s">
        <v>235</v>
      </c>
      <c r="X35" t="s">
        <v>236</v>
      </c>
      <c r="Y35" t="s">
        <v>237</v>
      </c>
      <c r="Z35">
        <v>890</v>
      </c>
      <c r="AA35">
        <v>915</v>
      </c>
      <c r="AB35" t="s">
        <v>238</v>
      </c>
      <c r="AC35" t="s">
        <v>239</v>
      </c>
      <c r="AD35">
        <v>41010100</v>
      </c>
      <c r="AE35">
        <v>2</v>
      </c>
      <c r="AF35">
        <v>9318</v>
      </c>
      <c r="AG35">
        <v>10</v>
      </c>
      <c r="AH35" t="s">
        <v>240</v>
      </c>
      <c r="AI35">
        <v>1400</v>
      </c>
      <c r="AJ35" t="s">
        <v>241</v>
      </c>
      <c r="AK35" t="s">
        <v>242</v>
      </c>
      <c r="AL35" t="s">
        <v>246</v>
      </c>
      <c r="AN35">
        <v>51074709132</v>
      </c>
      <c r="AO35" t="s">
        <v>276</v>
      </c>
      <c r="AP35" t="s">
        <v>244</v>
      </c>
      <c r="AQ35" t="s">
        <v>245</v>
      </c>
      <c r="AR35" t="s">
        <v>244</v>
      </c>
      <c r="AS35">
        <v>27040</v>
      </c>
      <c r="AT35">
        <v>27040</v>
      </c>
      <c r="AU35">
        <v>27040</v>
      </c>
    </row>
    <row r="36" spans="1:47" hidden="1" x14ac:dyDescent="0.25">
      <c r="A36" t="s">
        <v>85</v>
      </c>
      <c r="B36">
        <v>202506</v>
      </c>
      <c r="C36">
        <v>5107471190</v>
      </c>
      <c r="D36" t="s">
        <v>225</v>
      </c>
      <c r="E36" t="s">
        <v>246</v>
      </c>
      <c r="F36" s="98">
        <v>45821</v>
      </c>
      <c r="G36" s="98">
        <v>45821</v>
      </c>
      <c r="H36" t="s">
        <v>247</v>
      </c>
      <c r="I36" t="s">
        <v>247</v>
      </c>
      <c r="J36">
        <v>6</v>
      </c>
      <c r="K36">
        <v>48000</v>
      </c>
      <c r="L36" t="s">
        <v>228</v>
      </c>
      <c r="M36">
        <v>2025</v>
      </c>
      <c r="N36" s="98">
        <v>45809</v>
      </c>
      <c r="O36" t="s">
        <v>229</v>
      </c>
      <c r="P36" t="s">
        <v>230</v>
      </c>
      <c r="Q36">
        <v>2320521</v>
      </c>
      <c r="R36" t="s">
        <v>231</v>
      </c>
      <c r="S36" t="s">
        <v>232</v>
      </c>
      <c r="T36" t="s">
        <v>233</v>
      </c>
      <c r="U36" t="s">
        <v>229</v>
      </c>
      <c r="V36" t="s">
        <v>234</v>
      </c>
      <c r="W36" t="s">
        <v>235</v>
      </c>
      <c r="X36" t="s">
        <v>236</v>
      </c>
      <c r="Y36" t="s">
        <v>237</v>
      </c>
      <c r="Z36">
        <v>890</v>
      </c>
      <c r="AA36">
        <v>915</v>
      </c>
      <c r="AB36" t="s">
        <v>238</v>
      </c>
      <c r="AC36" t="s">
        <v>239</v>
      </c>
      <c r="AD36">
        <v>41010100</v>
      </c>
      <c r="AE36">
        <v>2</v>
      </c>
      <c r="AF36">
        <v>9318</v>
      </c>
      <c r="AG36">
        <v>10</v>
      </c>
      <c r="AH36" t="s">
        <v>240</v>
      </c>
      <c r="AI36">
        <v>1400</v>
      </c>
      <c r="AJ36" t="s">
        <v>241</v>
      </c>
      <c r="AK36" t="s">
        <v>242</v>
      </c>
      <c r="AL36" t="s">
        <v>246</v>
      </c>
      <c r="AN36">
        <v>51074711902</v>
      </c>
      <c r="AO36" t="s">
        <v>277</v>
      </c>
      <c r="AP36" t="s">
        <v>244</v>
      </c>
      <c r="AQ36" t="s">
        <v>245</v>
      </c>
      <c r="AR36" t="s">
        <v>244</v>
      </c>
      <c r="AS36">
        <v>48000</v>
      </c>
      <c r="AT36">
        <v>48000</v>
      </c>
      <c r="AU36">
        <v>48000</v>
      </c>
    </row>
    <row r="37" spans="1:47" hidden="1" x14ac:dyDescent="0.25">
      <c r="A37" t="s">
        <v>84</v>
      </c>
      <c r="B37">
        <v>202506</v>
      </c>
      <c r="C37">
        <v>5107471189</v>
      </c>
      <c r="D37" t="s">
        <v>225</v>
      </c>
      <c r="E37" t="s">
        <v>255</v>
      </c>
      <c r="F37" s="98">
        <v>45821</v>
      </c>
      <c r="G37" s="98">
        <v>45821</v>
      </c>
      <c r="H37" t="s">
        <v>227</v>
      </c>
      <c r="I37" t="s">
        <v>227</v>
      </c>
      <c r="J37">
        <v>6</v>
      </c>
      <c r="K37">
        <v>11162.5</v>
      </c>
      <c r="L37" t="s">
        <v>228</v>
      </c>
      <c r="M37">
        <v>2025</v>
      </c>
      <c r="N37" s="98">
        <v>45809</v>
      </c>
      <c r="O37" t="s">
        <v>229</v>
      </c>
      <c r="P37" t="s">
        <v>230</v>
      </c>
      <c r="Q37">
        <v>2320521</v>
      </c>
      <c r="R37" t="s">
        <v>231</v>
      </c>
      <c r="S37" t="s">
        <v>232</v>
      </c>
      <c r="T37" t="s">
        <v>233</v>
      </c>
      <c r="U37" t="s">
        <v>229</v>
      </c>
      <c r="V37" t="s">
        <v>234</v>
      </c>
      <c r="W37" t="s">
        <v>235</v>
      </c>
      <c r="X37" t="s">
        <v>236</v>
      </c>
      <c r="Y37" t="s">
        <v>237</v>
      </c>
      <c r="Z37">
        <v>890</v>
      </c>
      <c r="AA37">
        <v>915</v>
      </c>
      <c r="AB37" t="s">
        <v>238</v>
      </c>
      <c r="AC37" t="s">
        <v>239</v>
      </c>
      <c r="AD37">
        <v>41010100</v>
      </c>
      <c r="AE37">
        <v>2</v>
      </c>
      <c r="AF37">
        <v>9318</v>
      </c>
      <c r="AG37">
        <v>10</v>
      </c>
      <c r="AH37" t="s">
        <v>240</v>
      </c>
      <c r="AI37">
        <v>1400</v>
      </c>
      <c r="AJ37" t="s">
        <v>241</v>
      </c>
      <c r="AK37" t="s">
        <v>242</v>
      </c>
      <c r="AL37" t="s">
        <v>255</v>
      </c>
      <c r="AN37">
        <v>51074711892</v>
      </c>
      <c r="AO37" t="s">
        <v>278</v>
      </c>
      <c r="AP37" t="s">
        <v>244</v>
      </c>
      <c r="AQ37" t="s">
        <v>245</v>
      </c>
      <c r="AR37" t="s">
        <v>244</v>
      </c>
      <c r="AS37">
        <v>11162.5</v>
      </c>
      <c r="AT37">
        <v>11162.5</v>
      </c>
      <c r="AU37">
        <v>11162.5</v>
      </c>
    </row>
    <row r="38" spans="1:47" hidden="1" x14ac:dyDescent="0.25">
      <c r="A38" t="s">
        <v>85</v>
      </c>
      <c r="B38">
        <v>202506</v>
      </c>
      <c r="C38">
        <v>2100079100</v>
      </c>
      <c r="D38" t="s">
        <v>249</v>
      </c>
      <c r="E38" t="s">
        <v>246</v>
      </c>
      <c r="F38" s="98">
        <v>45804</v>
      </c>
      <c r="G38" s="98">
        <v>45810</v>
      </c>
      <c r="H38" t="s">
        <v>254</v>
      </c>
      <c r="I38" t="s">
        <v>254</v>
      </c>
      <c r="J38">
        <v>6</v>
      </c>
      <c r="K38">
        <v>-140102</v>
      </c>
      <c r="L38" t="s">
        <v>259</v>
      </c>
      <c r="M38">
        <v>2025</v>
      </c>
      <c r="N38" s="98">
        <v>45809</v>
      </c>
      <c r="O38" t="s">
        <v>229</v>
      </c>
      <c r="P38" t="s">
        <v>230</v>
      </c>
      <c r="Q38">
        <v>2320521</v>
      </c>
      <c r="R38" t="s">
        <v>231</v>
      </c>
      <c r="S38" t="s">
        <v>232</v>
      </c>
      <c r="T38" t="s">
        <v>233</v>
      </c>
      <c r="U38" t="s">
        <v>229</v>
      </c>
      <c r="V38" t="s">
        <v>234</v>
      </c>
      <c r="W38" t="s">
        <v>235</v>
      </c>
      <c r="X38" t="s">
        <v>236</v>
      </c>
      <c r="Y38" t="s">
        <v>237</v>
      </c>
      <c r="Z38">
        <v>890</v>
      </c>
      <c r="AA38">
        <v>915</v>
      </c>
      <c r="AB38" t="s">
        <v>238</v>
      </c>
      <c r="AC38" t="s">
        <v>239</v>
      </c>
      <c r="AD38">
        <v>41010100</v>
      </c>
      <c r="AE38">
        <v>2</v>
      </c>
      <c r="AF38">
        <v>9318</v>
      </c>
      <c r="AG38">
        <v>10</v>
      </c>
      <c r="AH38" t="s">
        <v>252</v>
      </c>
      <c r="AI38">
        <v>1400</v>
      </c>
      <c r="AJ38" t="s">
        <v>241</v>
      </c>
      <c r="AK38" t="s">
        <v>242</v>
      </c>
      <c r="AL38" t="s">
        <v>246</v>
      </c>
      <c r="AN38">
        <v>210007910013</v>
      </c>
      <c r="AO38" t="s">
        <v>260</v>
      </c>
      <c r="AP38" t="s">
        <v>244</v>
      </c>
      <c r="AQ38" t="s">
        <v>245</v>
      </c>
      <c r="AR38" t="s">
        <v>244</v>
      </c>
      <c r="AS38">
        <v>-140102</v>
      </c>
      <c r="AT38">
        <v>-140102</v>
      </c>
      <c r="AU38">
        <v>-140102</v>
      </c>
    </row>
    <row r="39" spans="1:47" hidden="1" x14ac:dyDescent="0.25">
      <c r="A39" t="s">
        <v>85</v>
      </c>
      <c r="B39">
        <v>202506</v>
      </c>
      <c r="C39">
        <v>2100079171</v>
      </c>
      <c r="D39" t="s">
        <v>249</v>
      </c>
      <c r="E39" t="s">
        <v>246</v>
      </c>
      <c r="F39" s="98">
        <v>45805</v>
      </c>
      <c r="G39" s="98">
        <v>45810</v>
      </c>
      <c r="H39" t="s">
        <v>254</v>
      </c>
      <c r="I39" t="s">
        <v>254</v>
      </c>
      <c r="J39">
        <v>6</v>
      </c>
      <c r="K39">
        <v>18502</v>
      </c>
      <c r="L39" t="s">
        <v>251</v>
      </c>
      <c r="M39">
        <v>2025</v>
      </c>
      <c r="N39" s="98">
        <v>45809</v>
      </c>
      <c r="O39" t="s">
        <v>229</v>
      </c>
      <c r="P39" t="s">
        <v>230</v>
      </c>
      <c r="Q39">
        <v>2320521</v>
      </c>
      <c r="R39" t="s">
        <v>231</v>
      </c>
      <c r="S39" t="s">
        <v>232</v>
      </c>
      <c r="T39" t="s">
        <v>233</v>
      </c>
      <c r="U39" t="s">
        <v>229</v>
      </c>
      <c r="V39" t="s">
        <v>234</v>
      </c>
      <c r="W39" t="s">
        <v>235</v>
      </c>
      <c r="X39" t="s">
        <v>236</v>
      </c>
      <c r="Y39" t="s">
        <v>237</v>
      </c>
      <c r="Z39">
        <v>890</v>
      </c>
      <c r="AA39">
        <v>915</v>
      </c>
      <c r="AB39" t="s">
        <v>238</v>
      </c>
      <c r="AC39" t="s">
        <v>239</v>
      </c>
      <c r="AD39">
        <v>41010100</v>
      </c>
      <c r="AE39">
        <v>2</v>
      </c>
      <c r="AF39">
        <v>9318</v>
      </c>
      <c r="AG39">
        <v>10</v>
      </c>
      <c r="AH39" t="s">
        <v>252</v>
      </c>
      <c r="AI39">
        <v>1400</v>
      </c>
      <c r="AJ39" t="s">
        <v>241</v>
      </c>
      <c r="AK39" t="s">
        <v>242</v>
      </c>
      <c r="AL39" t="s">
        <v>246</v>
      </c>
      <c r="AN39">
        <v>210007917110</v>
      </c>
      <c r="AO39" t="s">
        <v>261</v>
      </c>
      <c r="AP39" t="s">
        <v>244</v>
      </c>
      <c r="AQ39" t="s">
        <v>245</v>
      </c>
      <c r="AR39" t="s">
        <v>244</v>
      </c>
      <c r="AS39">
        <v>18502</v>
      </c>
      <c r="AT39">
        <v>18502</v>
      </c>
      <c r="AU39">
        <v>18502</v>
      </c>
    </row>
    <row r="40" spans="1:47" hidden="1" x14ac:dyDescent="0.25">
      <c r="A40" t="s">
        <v>85</v>
      </c>
      <c r="B40">
        <v>202506</v>
      </c>
      <c r="C40">
        <v>2100079327</v>
      </c>
      <c r="D40" t="s">
        <v>249</v>
      </c>
      <c r="E40" t="s">
        <v>246</v>
      </c>
      <c r="F40" s="98">
        <v>45838</v>
      </c>
      <c r="G40" s="98">
        <v>45823</v>
      </c>
      <c r="H40" t="s">
        <v>254</v>
      </c>
      <c r="I40" t="s">
        <v>254</v>
      </c>
      <c r="J40">
        <v>6</v>
      </c>
      <c r="K40">
        <v>98592</v>
      </c>
      <c r="L40" t="s">
        <v>251</v>
      </c>
      <c r="M40">
        <v>2025</v>
      </c>
      <c r="N40" s="98">
        <v>45809</v>
      </c>
      <c r="O40" t="s">
        <v>229</v>
      </c>
      <c r="P40" t="s">
        <v>230</v>
      </c>
      <c r="Q40">
        <v>2320521</v>
      </c>
      <c r="R40" t="s">
        <v>231</v>
      </c>
      <c r="S40" t="s">
        <v>232</v>
      </c>
      <c r="T40" t="s">
        <v>233</v>
      </c>
      <c r="U40" t="s">
        <v>229</v>
      </c>
      <c r="V40" t="s">
        <v>234</v>
      </c>
      <c r="W40" t="s">
        <v>235</v>
      </c>
      <c r="X40" t="s">
        <v>236</v>
      </c>
      <c r="Y40" t="s">
        <v>237</v>
      </c>
      <c r="Z40">
        <v>890</v>
      </c>
      <c r="AA40">
        <v>915</v>
      </c>
      <c r="AB40" t="s">
        <v>238</v>
      </c>
      <c r="AC40" t="s">
        <v>239</v>
      </c>
      <c r="AD40">
        <v>41010100</v>
      </c>
      <c r="AE40">
        <v>2</v>
      </c>
      <c r="AF40">
        <v>9318</v>
      </c>
      <c r="AG40">
        <v>10</v>
      </c>
      <c r="AH40" t="s">
        <v>252</v>
      </c>
      <c r="AI40">
        <v>1400</v>
      </c>
      <c r="AJ40" t="s">
        <v>241</v>
      </c>
      <c r="AK40" t="s">
        <v>242</v>
      </c>
      <c r="AL40" t="s">
        <v>246</v>
      </c>
      <c r="AN40">
        <v>2100079327124</v>
      </c>
      <c r="AO40" t="s">
        <v>279</v>
      </c>
      <c r="AP40" t="s">
        <v>244</v>
      </c>
      <c r="AQ40" t="s">
        <v>245</v>
      </c>
      <c r="AR40" t="s">
        <v>244</v>
      </c>
      <c r="AS40">
        <v>98592</v>
      </c>
      <c r="AT40">
        <v>98592</v>
      </c>
      <c r="AU40">
        <v>98592</v>
      </c>
    </row>
    <row r="41" spans="1:47" hidden="1" x14ac:dyDescent="0.25">
      <c r="A41" t="s">
        <v>84</v>
      </c>
      <c r="B41">
        <v>202506</v>
      </c>
      <c r="C41">
        <v>2100079139</v>
      </c>
      <c r="D41" t="s">
        <v>249</v>
      </c>
      <c r="E41" t="s">
        <v>255</v>
      </c>
      <c r="F41" s="98">
        <v>45804</v>
      </c>
      <c r="G41" s="98">
        <v>45810</v>
      </c>
      <c r="H41" t="s">
        <v>250</v>
      </c>
      <c r="I41" t="s">
        <v>250</v>
      </c>
      <c r="J41">
        <v>6</v>
      </c>
      <c r="K41">
        <v>-20952.78</v>
      </c>
      <c r="L41" t="s">
        <v>259</v>
      </c>
      <c r="M41">
        <v>2025</v>
      </c>
      <c r="N41" s="98">
        <v>45809</v>
      </c>
      <c r="O41" t="s">
        <v>229</v>
      </c>
      <c r="P41" t="s">
        <v>230</v>
      </c>
      <c r="Q41">
        <v>2320521</v>
      </c>
      <c r="R41" t="s">
        <v>231</v>
      </c>
      <c r="S41" t="s">
        <v>232</v>
      </c>
      <c r="T41" t="s">
        <v>233</v>
      </c>
      <c r="U41" t="s">
        <v>229</v>
      </c>
      <c r="V41" t="s">
        <v>234</v>
      </c>
      <c r="W41" t="s">
        <v>235</v>
      </c>
      <c r="X41" t="s">
        <v>236</v>
      </c>
      <c r="Y41" t="s">
        <v>237</v>
      </c>
      <c r="Z41">
        <v>890</v>
      </c>
      <c r="AA41">
        <v>915</v>
      </c>
      <c r="AB41" t="s">
        <v>238</v>
      </c>
      <c r="AC41" t="s">
        <v>239</v>
      </c>
      <c r="AD41">
        <v>41010100</v>
      </c>
      <c r="AE41">
        <v>2</v>
      </c>
      <c r="AF41">
        <v>9318</v>
      </c>
      <c r="AG41">
        <v>10</v>
      </c>
      <c r="AH41" t="s">
        <v>252</v>
      </c>
      <c r="AI41">
        <v>1400</v>
      </c>
      <c r="AJ41" t="s">
        <v>241</v>
      </c>
      <c r="AK41" t="s">
        <v>242</v>
      </c>
      <c r="AL41" t="s">
        <v>255</v>
      </c>
      <c r="AN41">
        <v>2100079139119</v>
      </c>
      <c r="AO41" t="s">
        <v>273</v>
      </c>
      <c r="AP41" t="s">
        <v>244</v>
      </c>
      <c r="AQ41" t="s">
        <v>245</v>
      </c>
      <c r="AR41" t="s">
        <v>244</v>
      </c>
      <c r="AS41">
        <v>-20952.78</v>
      </c>
      <c r="AT41">
        <v>-20952.78</v>
      </c>
      <c r="AU41">
        <v>-20952.78</v>
      </c>
    </row>
    <row r="42" spans="1:47" hidden="1" x14ac:dyDescent="0.25">
      <c r="A42" t="s">
        <v>84</v>
      </c>
      <c r="B42">
        <v>202506</v>
      </c>
      <c r="C42">
        <v>2100079327</v>
      </c>
      <c r="D42" t="s">
        <v>249</v>
      </c>
      <c r="E42" t="s">
        <v>255</v>
      </c>
      <c r="F42" s="98">
        <v>45838</v>
      </c>
      <c r="G42" s="98">
        <v>45823</v>
      </c>
      <c r="H42" t="s">
        <v>250</v>
      </c>
      <c r="I42" t="s">
        <v>250</v>
      </c>
      <c r="J42">
        <v>6</v>
      </c>
      <c r="K42">
        <v>30922.5</v>
      </c>
      <c r="L42" t="s">
        <v>251</v>
      </c>
      <c r="M42">
        <v>2025</v>
      </c>
      <c r="N42" s="98">
        <v>45809</v>
      </c>
      <c r="O42" t="s">
        <v>229</v>
      </c>
      <c r="P42" t="s">
        <v>230</v>
      </c>
      <c r="Q42">
        <v>2320521</v>
      </c>
      <c r="R42" t="s">
        <v>231</v>
      </c>
      <c r="S42" t="s">
        <v>232</v>
      </c>
      <c r="T42" t="s">
        <v>233</v>
      </c>
      <c r="U42" t="s">
        <v>229</v>
      </c>
      <c r="V42" t="s">
        <v>234</v>
      </c>
      <c r="W42" t="s">
        <v>235</v>
      </c>
      <c r="X42" t="s">
        <v>236</v>
      </c>
      <c r="Y42" t="s">
        <v>237</v>
      </c>
      <c r="Z42">
        <v>890</v>
      </c>
      <c r="AA42">
        <v>915</v>
      </c>
      <c r="AB42" t="s">
        <v>238</v>
      </c>
      <c r="AC42" t="s">
        <v>239</v>
      </c>
      <c r="AD42">
        <v>41010100</v>
      </c>
      <c r="AE42">
        <v>2</v>
      </c>
      <c r="AF42">
        <v>9318</v>
      </c>
      <c r="AG42">
        <v>10</v>
      </c>
      <c r="AH42" t="s">
        <v>252</v>
      </c>
      <c r="AI42">
        <v>1400</v>
      </c>
      <c r="AJ42" t="s">
        <v>241</v>
      </c>
      <c r="AK42" t="s">
        <v>242</v>
      </c>
      <c r="AL42" t="s">
        <v>255</v>
      </c>
      <c r="AN42">
        <v>2100079327122</v>
      </c>
      <c r="AO42" t="s">
        <v>279</v>
      </c>
      <c r="AP42" t="s">
        <v>244</v>
      </c>
      <c r="AQ42" t="s">
        <v>245</v>
      </c>
      <c r="AR42" t="s">
        <v>244</v>
      </c>
      <c r="AS42">
        <v>30922.5</v>
      </c>
      <c r="AT42">
        <v>30922.5</v>
      </c>
      <c r="AU42">
        <v>30922.5</v>
      </c>
    </row>
    <row r="43" spans="1:47" hidden="1" x14ac:dyDescent="0.25">
      <c r="A43" t="s">
        <v>85</v>
      </c>
      <c r="B43">
        <v>202509</v>
      </c>
      <c r="C43">
        <v>5107592031</v>
      </c>
      <c r="D43" t="s">
        <v>225</v>
      </c>
      <c r="E43" t="s">
        <v>246</v>
      </c>
      <c r="F43" s="98">
        <v>45890</v>
      </c>
      <c r="G43" s="98">
        <v>45902</v>
      </c>
      <c r="H43" t="s">
        <v>247</v>
      </c>
      <c r="I43" t="s">
        <v>247</v>
      </c>
      <c r="J43">
        <v>9</v>
      </c>
      <c r="K43">
        <v>2400</v>
      </c>
      <c r="L43" t="s">
        <v>228</v>
      </c>
      <c r="M43">
        <v>2025</v>
      </c>
      <c r="N43" s="98">
        <v>45901</v>
      </c>
      <c r="O43" t="s">
        <v>229</v>
      </c>
      <c r="P43" t="s">
        <v>230</v>
      </c>
      <c r="Q43">
        <v>2320521</v>
      </c>
      <c r="R43" t="s">
        <v>231</v>
      </c>
      <c r="S43" t="s">
        <v>232</v>
      </c>
      <c r="T43" t="s">
        <v>233</v>
      </c>
      <c r="U43" t="s">
        <v>229</v>
      </c>
      <c r="V43" t="s">
        <v>234</v>
      </c>
      <c r="W43" t="s">
        <v>235</v>
      </c>
      <c r="X43" t="s">
        <v>236</v>
      </c>
      <c r="Y43" t="s">
        <v>237</v>
      </c>
      <c r="Z43">
        <v>890</v>
      </c>
      <c r="AA43">
        <v>915</v>
      </c>
      <c r="AB43" t="s">
        <v>238</v>
      </c>
      <c r="AC43" t="s">
        <v>239</v>
      </c>
      <c r="AD43">
        <v>41010100</v>
      </c>
      <c r="AE43">
        <v>2</v>
      </c>
      <c r="AF43">
        <v>9318</v>
      </c>
      <c r="AG43">
        <v>10</v>
      </c>
      <c r="AH43" t="s">
        <v>240</v>
      </c>
      <c r="AI43">
        <v>1400</v>
      </c>
      <c r="AJ43" t="s">
        <v>241</v>
      </c>
      <c r="AK43" t="s">
        <v>242</v>
      </c>
      <c r="AL43" t="s">
        <v>246</v>
      </c>
      <c r="AN43">
        <v>51075920312</v>
      </c>
      <c r="AO43" t="s">
        <v>280</v>
      </c>
      <c r="AP43" t="s">
        <v>244</v>
      </c>
      <c r="AQ43" t="s">
        <v>245</v>
      </c>
      <c r="AR43" t="s">
        <v>244</v>
      </c>
      <c r="AS43">
        <v>2400</v>
      </c>
      <c r="AT43">
        <v>2400</v>
      </c>
      <c r="AU43">
        <v>2400</v>
      </c>
    </row>
    <row r="44" spans="1:47" hidden="1" x14ac:dyDescent="0.25">
      <c r="A44" t="s">
        <v>85</v>
      </c>
      <c r="B44">
        <v>202509</v>
      </c>
      <c r="C44">
        <v>2100080552</v>
      </c>
      <c r="D44" t="s">
        <v>249</v>
      </c>
      <c r="E44" t="s">
        <v>246</v>
      </c>
      <c r="F44" s="98">
        <v>45929</v>
      </c>
      <c r="G44" s="98">
        <v>45915</v>
      </c>
      <c r="H44" t="s">
        <v>281</v>
      </c>
      <c r="I44" t="s">
        <v>281</v>
      </c>
      <c r="J44">
        <v>9</v>
      </c>
      <c r="K44">
        <v>57824</v>
      </c>
      <c r="L44" t="s">
        <v>251</v>
      </c>
      <c r="M44">
        <v>2025</v>
      </c>
      <c r="N44" s="98">
        <v>45901</v>
      </c>
      <c r="O44" t="s">
        <v>229</v>
      </c>
      <c r="P44" t="s">
        <v>230</v>
      </c>
      <c r="Q44">
        <v>2320521</v>
      </c>
      <c r="R44" t="s">
        <v>231</v>
      </c>
      <c r="S44" t="s">
        <v>232</v>
      </c>
      <c r="T44" t="s">
        <v>233</v>
      </c>
      <c r="U44" t="s">
        <v>229</v>
      </c>
      <c r="V44" t="s">
        <v>234</v>
      </c>
      <c r="W44" t="s">
        <v>235</v>
      </c>
      <c r="X44" t="s">
        <v>236</v>
      </c>
      <c r="Y44" t="s">
        <v>237</v>
      </c>
      <c r="Z44">
        <v>890</v>
      </c>
      <c r="AA44">
        <v>915</v>
      </c>
      <c r="AB44" t="s">
        <v>238</v>
      </c>
      <c r="AC44" t="s">
        <v>239</v>
      </c>
      <c r="AD44">
        <v>41010100</v>
      </c>
      <c r="AE44">
        <v>2</v>
      </c>
      <c r="AF44">
        <v>9318</v>
      </c>
      <c r="AG44">
        <v>10</v>
      </c>
      <c r="AH44" t="s">
        <v>252</v>
      </c>
      <c r="AI44">
        <v>1400</v>
      </c>
      <c r="AJ44" t="s">
        <v>241</v>
      </c>
      <c r="AK44" t="s">
        <v>242</v>
      </c>
      <c r="AL44" t="s">
        <v>246</v>
      </c>
      <c r="AN44">
        <v>210008055249</v>
      </c>
      <c r="AO44" t="s">
        <v>282</v>
      </c>
      <c r="AP44" t="s">
        <v>244</v>
      </c>
      <c r="AQ44" t="s">
        <v>245</v>
      </c>
      <c r="AR44" t="s">
        <v>244</v>
      </c>
      <c r="AS44">
        <v>57824</v>
      </c>
      <c r="AT44">
        <v>57824</v>
      </c>
      <c r="AU44">
        <v>57824</v>
      </c>
    </row>
    <row r="45" spans="1:47" hidden="1" x14ac:dyDescent="0.25">
      <c r="A45" t="s">
        <v>84</v>
      </c>
      <c r="B45">
        <v>202509</v>
      </c>
      <c r="C45">
        <v>2100080320</v>
      </c>
      <c r="D45" t="s">
        <v>249</v>
      </c>
      <c r="E45" t="s">
        <v>255</v>
      </c>
      <c r="F45" s="98">
        <v>45894</v>
      </c>
      <c r="G45" s="98">
        <v>45901</v>
      </c>
      <c r="H45" t="s">
        <v>250</v>
      </c>
      <c r="I45" t="s">
        <v>250</v>
      </c>
      <c r="J45">
        <v>9</v>
      </c>
      <c r="K45">
        <v>-13632.5</v>
      </c>
      <c r="L45" t="s">
        <v>259</v>
      </c>
      <c r="M45">
        <v>2025</v>
      </c>
      <c r="N45" s="98">
        <v>45901</v>
      </c>
      <c r="O45" t="s">
        <v>229</v>
      </c>
      <c r="P45" t="s">
        <v>230</v>
      </c>
      <c r="Q45">
        <v>2320521</v>
      </c>
      <c r="R45" t="s">
        <v>231</v>
      </c>
      <c r="S45" t="s">
        <v>232</v>
      </c>
      <c r="T45" t="s">
        <v>233</v>
      </c>
      <c r="U45" t="s">
        <v>229</v>
      </c>
      <c r="V45" t="s">
        <v>234</v>
      </c>
      <c r="W45" t="s">
        <v>235</v>
      </c>
      <c r="X45" t="s">
        <v>236</v>
      </c>
      <c r="Y45" t="s">
        <v>237</v>
      </c>
      <c r="Z45">
        <v>890</v>
      </c>
      <c r="AA45">
        <v>915</v>
      </c>
      <c r="AB45" t="s">
        <v>238</v>
      </c>
      <c r="AC45" t="s">
        <v>239</v>
      </c>
      <c r="AD45">
        <v>41010100</v>
      </c>
      <c r="AE45">
        <v>2</v>
      </c>
      <c r="AF45">
        <v>9318</v>
      </c>
      <c r="AG45">
        <v>10</v>
      </c>
      <c r="AH45" t="s">
        <v>252</v>
      </c>
      <c r="AI45">
        <v>1400</v>
      </c>
      <c r="AJ45" t="s">
        <v>241</v>
      </c>
      <c r="AK45" t="s">
        <v>242</v>
      </c>
      <c r="AL45" t="s">
        <v>255</v>
      </c>
      <c r="AN45">
        <v>2100080320120</v>
      </c>
      <c r="AO45" t="s">
        <v>282</v>
      </c>
      <c r="AP45" t="s">
        <v>244</v>
      </c>
      <c r="AQ45" t="s">
        <v>245</v>
      </c>
      <c r="AR45" t="s">
        <v>244</v>
      </c>
      <c r="AS45">
        <v>-13632.5</v>
      </c>
      <c r="AT45">
        <v>-13632.5</v>
      </c>
      <c r="AU45">
        <v>-13632.5</v>
      </c>
    </row>
    <row r="46" spans="1:47" hidden="1" x14ac:dyDescent="0.25">
      <c r="A46" t="s">
        <v>84</v>
      </c>
      <c r="B46">
        <v>202509</v>
      </c>
      <c r="C46">
        <v>2100080552</v>
      </c>
      <c r="D46" t="s">
        <v>249</v>
      </c>
      <c r="E46" t="s">
        <v>255</v>
      </c>
      <c r="F46" s="98">
        <v>45929</v>
      </c>
      <c r="G46" s="98">
        <v>45915</v>
      </c>
      <c r="H46" t="s">
        <v>283</v>
      </c>
      <c r="I46" t="s">
        <v>283</v>
      </c>
      <c r="J46">
        <v>9</v>
      </c>
      <c r="K46">
        <v>13632.5</v>
      </c>
      <c r="L46" t="s">
        <v>251</v>
      </c>
      <c r="M46">
        <v>2025</v>
      </c>
      <c r="N46" s="98">
        <v>45901</v>
      </c>
      <c r="O46" t="s">
        <v>229</v>
      </c>
      <c r="P46" t="s">
        <v>230</v>
      </c>
      <c r="Q46">
        <v>2320521</v>
      </c>
      <c r="R46" t="s">
        <v>231</v>
      </c>
      <c r="S46" t="s">
        <v>232</v>
      </c>
      <c r="T46" t="s">
        <v>233</v>
      </c>
      <c r="U46" t="s">
        <v>229</v>
      </c>
      <c r="V46" t="s">
        <v>234</v>
      </c>
      <c r="W46" t="s">
        <v>235</v>
      </c>
      <c r="X46" t="s">
        <v>236</v>
      </c>
      <c r="Y46" t="s">
        <v>237</v>
      </c>
      <c r="Z46">
        <v>890</v>
      </c>
      <c r="AA46">
        <v>915</v>
      </c>
      <c r="AB46" t="s">
        <v>238</v>
      </c>
      <c r="AC46" t="s">
        <v>239</v>
      </c>
      <c r="AD46">
        <v>41010100</v>
      </c>
      <c r="AE46">
        <v>2</v>
      </c>
      <c r="AF46">
        <v>9318</v>
      </c>
      <c r="AG46">
        <v>10</v>
      </c>
      <c r="AH46" t="s">
        <v>252</v>
      </c>
      <c r="AI46">
        <v>1400</v>
      </c>
      <c r="AJ46" t="s">
        <v>241</v>
      </c>
      <c r="AK46" t="s">
        <v>242</v>
      </c>
      <c r="AL46" t="s">
        <v>255</v>
      </c>
      <c r="AN46">
        <v>210008055250</v>
      </c>
      <c r="AO46" t="s">
        <v>282</v>
      </c>
      <c r="AP46" t="s">
        <v>244</v>
      </c>
      <c r="AQ46" t="s">
        <v>245</v>
      </c>
      <c r="AR46" t="s">
        <v>244</v>
      </c>
      <c r="AS46">
        <v>13632.5</v>
      </c>
      <c r="AT46">
        <v>13632.5</v>
      </c>
      <c r="AU46">
        <v>13632.5</v>
      </c>
    </row>
    <row r="47" spans="1:47" hidden="1" x14ac:dyDescent="0.25">
      <c r="A47" t="s">
        <v>84</v>
      </c>
      <c r="B47">
        <v>202508</v>
      </c>
      <c r="C47">
        <v>5107557829</v>
      </c>
      <c r="D47" t="s">
        <v>225</v>
      </c>
      <c r="E47" t="s">
        <v>255</v>
      </c>
      <c r="F47" s="98">
        <v>45881</v>
      </c>
      <c r="G47" s="98">
        <v>45881</v>
      </c>
      <c r="H47" t="s">
        <v>227</v>
      </c>
      <c r="I47" t="s">
        <v>227</v>
      </c>
      <c r="J47">
        <v>8</v>
      </c>
      <c r="K47">
        <v>427.5</v>
      </c>
      <c r="L47" t="s">
        <v>228</v>
      </c>
      <c r="M47">
        <v>2025</v>
      </c>
      <c r="N47" s="98">
        <v>45870</v>
      </c>
      <c r="O47" t="s">
        <v>229</v>
      </c>
      <c r="P47" t="s">
        <v>230</v>
      </c>
      <c r="Q47">
        <v>2320521</v>
      </c>
      <c r="R47" t="s">
        <v>231</v>
      </c>
      <c r="S47" t="s">
        <v>232</v>
      </c>
      <c r="T47" t="s">
        <v>233</v>
      </c>
      <c r="U47" t="s">
        <v>229</v>
      </c>
      <c r="V47" t="s">
        <v>234</v>
      </c>
      <c r="W47" t="s">
        <v>235</v>
      </c>
      <c r="X47" t="s">
        <v>236</v>
      </c>
      <c r="Y47" t="s">
        <v>237</v>
      </c>
      <c r="Z47">
        <v>890</v>
      </c>
      <c r="AA47">
        <v>915</v>
      </c>
      <c r="AB47" t="s">
        <v>238</v>
      </c>
      <c r="AC47" t="s">
        <v>239</v>
      </c>
      <c r="AD47">
        <v>41010100</v>
      </c>
      <c r="AE47">
        <v>2</v>
      </c>
      <c r="AF47">
        <v>9318</v>
      </c>
      <c r="AG47">
        <v>10</v>
      </c>
      <c r="AH47" t="s">
        <v>240</v>
      </c>
      <c r="AI47">
        <v>1400</v>
      </c>
      <c r="AJ47" t="s">
        <v>241</v>
      </c>
      <c r="AK47" t="s">
        <v>242</v>
      </c>
      <c r="AL47" t="s">
        <v>255</v>
      </c>
      <c r="AN47">
        <v>51075578292</v>
      </c>
      <c r="AO47" t="s">
        <v>284</v>
      </c>
      <c r="AP47" t="s">
        <v>244</v>
      </c>
      <c r="AQ47" t="s">
        <v>245</v>
      </c>
      <c r="AR47" t="s">
        <v>244</v>
      </c>
      <c r="AS47">
        <v>427.5</v>
      </c>
      <c r="AT47">
        <v>427.5</v>
      </c>
      <c r="AU47">
        <v>427.5</v>
      </c>
    </row>
    <row r="48" spans="1:47" hidden="1" x14ac:dyDescent="0.25">
      <c r="A48" t="s">
        <v>85</v>
      </c>
      <c r="B48">
        <v>202508</v>
      </c>
      <c r="C48">
        <v>2100080021</v>
      </c>
      <c r="D48" t="s">
        <v>249</v>
      </c>
      <c r="E48" t="s">
        <v>246</v>
      </c>
      <c r="F48" s="98">
        <v>45866</v>
      </c>
      <c r="G48" s="98">
        <v>45873</v>
      </c>
      <c r="H48" t="s">
        <v>254</v>
      </c>
      <c r="I48" t="s">
        <v>254</v>
      </c>
      <c r="J48">
        <v>8</v>
      </c>
      <c r="K48">
        <v>-60224</v>
      </c>
      <c r="L48" t="s">
        <v>259</v>
      </c>
      <c r="M48">
        <v>2025</v>
      </c>
      <c r="N48" s="98">
        <v>45870</v>
      </c>
      <c r="O48" t="s">
        <v>229</v>
      </c>
      <c r="P48" t="s">
        <v>230</v>
      </c>
      <c r="Q48">
        <v>2320521</v>
      </c>
      <c r="R48" t="s">
        <v>231</v>
      </c>
      <c r="S48" t="s">
        <v>232</v>
      </c>
      <c r="T48" t="s">
        <v>233</v>
      </c>
      <c r="U48" t="s">
        <v>229</v>
      </c>
      <c r="V48" t="s">
        <v>234</v>
      </c>
      <c r="W48" t="s">
        <v>235</v>
      </c>
      <c r="X48" t="s">
        <v>236</v>
      </c>
      <c r="Y48" t="s">
        <v>237</v>
      </c>
      <c r="Z48">
        <v>890</v>
      </c>
      <c r="AA48">
        <v>915</v>
      </c>
      <c r="AB48" t="s">
        <v>238</v>
      </c>
      <c r="AC48" t="s">
        <v>239</v>
      </c>
      <c r="AD48">
        <v>41010100</v>
      </c>
      <c r="AE48">
        <v>2</v>
      </c>
      <c r="AF48">
        <v>9318</v>
      </c>
      <c r="AG48">
        <v>10</v>
      </c>
      <c r="AH48" t="s">
        <v>252</v>
      </c>
      <c r="AI48">
        <v>1400</v>
      </c>
      <c r="AJ48" t="s">
        <v>241</v>
      </c>
      <c r="AK48" t="s">
        <v>242</v>
      </c>
      <c r="AL48" t="s">
        <v>246</v>
      </c>
      <c r="AN48">
        <v>2100080021131</v>
      </c>
      <c r="AO48" t="s">
        <v>285</v>
      </c>
      <c r="AP48" t="s">
        <v>244</v>
      </c>
      <c r="AQ48" t="s">
        <v>245</v>
      </c>
      <c r="AR48" t="s">
        <v>244</v>
      </c>
      <c r="AS48">
        <v>-60224</v>
      </c>
      <c r="AT48">
        <v>-60224</v>
      </c>
      <c r="AU48">
        <v>-60224</v>
      </c>
    </row>
    <row r="49" spans="1:47" hidden="1" x14ac:dyDescent="0.25">
      <c r="A49" t="s">
        <v>84</v>
      </c>
      <c r="B49">
        <v>202508</v>
      </c>
      <c r="C49">
        <v>2100080021</v>
      </c>
      <c r="D49" t="s">
        <v>249</v>
      </c>
      <c r="E49" t="s">
        <v>255</v>
      </c>
      <c r="F49" s="98">
        <v>45866</v>
      </c>
      <c r="G49" s="98">
        <v>45873</v>
      </c>
      <c r="H49" t="s">
        <v>250</v>
      </c>
      <c r="I49" t="s">
        <v>250</v>
      </c>
      <c r="J49">
        <v>8</v>
      </c>
      <c r="K49">
        <v>-14060</v>
      </c>
      <c r="L49" t="s">
        <v>259</v>
      </c>
      <c r="M49">
        <v>2025</v>
      </c>
      <c r="N49" s="98">
        <v>45870</v>
      </c>
      <c r="O49" t="s">
        <v>229</v>
      </c>
      <c r="P49" t="s">
        <v>230</v>
      </c>
      <c r="Q49">
        <v>2320521</v>
      </c>
      <c r="R49" t="s">
        <v>231</v>
      </c>
      <c r="S49" t="s">
        <v>232</v>
      </c>
      <c r="T49" t="s">
        <v>233</v>
      </c>
      <c r="U49" t="s">
        <v>229</v>
      </c>
      <c r="V49" t="s">
        <v>234</v>
      </c>
      <c r="W49" t="s">
        <v>235</v>
      </c>
      <c r="X49" t="s">
        <v>236</v>
      </c>
      <c r="Y49" t="s">
        <v>237</v>
      </c>
      <c r="Z49">
        <v>890</v>
      </c>
      <c r="AA49">
        <v>915</v>
      </c>
      <c r="AB49" t="s">
        <v>238</v>
      </c>
      <c r="AC49" t="s">
        <v>239</v>
      </c>
      <c r="AD49">
        <v>41010100</v>
      </c>
      <c r="AE49">
        <v>2</v>
      </c>
      <c r="AF49">
        <v>9318</v>
      </c>
      <c r="AG49">
        <v>10</v>
      </c>
      <c r="AH49" t="s">
        <v>252</v>
      </c>
      <c r="AI49">
        <v>1400</v>
      </c>
      <c r="AJ49" t="s">
        <v>241</v>
      </c>
      <c r="AK49" t="s">
        <v>242</v>
      </c>
      <c r="AL49" t="s">
        <v>255</v>
      </c>
      <c r="AN49">
        <v>2100080021129</v>
      </c>
      <c r="AO49" t="s">
        <v>285</v>
      </c>
      <c r="AP49" t="s">
        <v>244</v>
      </c>
      <c r="AQ49" t="s">
        <v>245</v>
      </c>
      <c r="AR49" t="s">
        <v>244</v>
      </c>
      <c r="AS49">
        <v>-14060</v>
      </c>
      <c r="AT49">
        <v>-14060</v>
      </c>
      <c r="AU49">
        <v>-14060</v>
      </c>
    </row>
    <row r="50" spans="1:47" hidden="1" x14ac:dyDescent="0.25">
      <c r="A50" t="s">
        <v>84</v>
      </c>
      <c r="B50">
        <v>202508</v>
      </c>
      <c r="C50">
        <v>2100080153</v>
      </c>
      <c r="D50" t="s">
        <v>249</v>
      </c>
      <c r="E50" t="s">
        <v>255</v>
      </c>
      <c r="F50" s="98">
        <v>45894</v>
      </c>
      <c r="G50" s="98">
        <v>45884</v>
      </c>
      <c r="H50" t="s">
        <v>250</v>
      </c>
      <c r="I50" t="s">
        <v>250</v>
      </c>
      <c r="J50">
        <v>8</v>
      </c>
      <c r="K50">
        <v>13632.5</v>
      </c>
      <c r="L50" t="s">
        <v>251</v>
      </c>
      <c r="M50">
        <v>2025</v>
      </c>
      <c r="N50" s="98">
        <v>45870</v>
      </c>
      <c r="O50" t="s">
        <v>229</v>
      </c>
      <c r="P50" t="s">
        <v>230</v>
      </c>
      <c r="Q50">
        <v>2320521</v>
      </c>
      <c r="R50" t="s">
        <v>231</v>
      </c>
      <c r="S50" t="s">
        <v>232</v>
      </c>
      <c r="T50" t="s">
        <v>233</v>
      </c>
      <c r="U50" t="s">
        <v>229</v>
      </c>
      <c r="V50" t="s">
        <v>234</v>
      </c>
      <c r="W50" t="s">
        <v>235</v>
      </c>
      <c r="X50" t="s">
        <v>236</v>
      </c>
      <c r="Y50" t="s">
        <v>237</v>
      </c>
      <c r="Z50">
        <v>890</v>
      </c>
      <c r="AA50">
        <v>915</v>
      </c>
      <c r="AB50" t="s">
        <v>238</v>
      </c>
      <c r="AC50" t="s">
        <v>239</v>
      </c>
      <c r="AD50">
        <v>41010100</v>
      </c>
      <c r="AE50">
        <v>2</v>
      </c>
      <c r="AF50">
        <v>9318</v>
      </c>
      <c r="AG50">
        <v>10</v>
      </c>
      <c r="AH50" t="s">
        <v>252</v>
      </c>
      <c r="AI50">
        <v>1400</v>
      </c>
      <c r="AJ50" t="s">
        <v>241</v>
      </c>
      <c r="AK50" t="s">
        <v>242</v>
      </c>
      <c r="AL50" t="s">
        <v>255</v>
      </c>
      <c r="AN50">
        <v>2100080153120</v>
      </c>
      <c r="AO50" t="s">
        <v>282</v>
      </c>
      <c r="AP50" t="s">
        <v>244</v>
      </c>
      <c r="AQ50" t="s">
        <v>245</v>
      </c>
      <c r="AR50" t="s">
        <v>244</v>
      </c>
      <c r="AS50">
        <v>13632.5</v>
      </c>
      <c r="AT50">
        <v>13632.5</v>
      </c>
      <c r="AU50">
        <v>13632.5</v>
      </c>
    </row>
    <row r="51" spans="1:47" hidden="1" x14ac:dyDescent="0.25">
      <c r="A51" t="s">
        <v>85</v>
      </c>
      <c r="B51">
        <v>202507</v>
      </c>
      <c r="C51">
        <v>5107523041</v>
      </c>
      <c r="D51" t="s">
        <v>225</v>
      </c>
      <c r="E51" t="s">
        <v>246</v>
      </c>
      <c r="F51" s="98">
        <v>45855</v>
      </c>
      <c r="G51" s="98">
        <v>45855</v>
      </c>
      <c r="H51" t="s">
        <v>247</v>
      </c>
      <c r="I51" t="s">
        <v>247</v>
      </c>
      <c r="J51">
        <v>7</v>
      </c>
      <c r="K51">
        <v>38368</v>
      </c>
      <c r="L51" t="s">
        <v>228</v>
      </c>
      <c r="M51">
        <v>2025</v>
      </c>
      <c r="N51" s="98">
        <v>45839</v>
      </c>
      <c r="O51" t="s">
        <v>229</v>
      </c>
      <c r="P51" t="s">
        <v>230</v>
      </c>
      <c r="Q51">
        <v>2320521</v>
      </c>
      <c r="R51" t="s">
        <v>231</v>
      </c>
      <c r="S51" t="s">
        <v>232</v>
      </c>
      <c r="T51" t="s">
        <v>233</v>
      </c>
      <c r="U51" t="s">
        <v>229</v>
      </c>
      <c r="V51" t="s">
        <v>234</v>
      </c>
      <c r="W51" t="s">
        <v>235</v>
      </c>
      <c r="X51" t="s">
        <v>236</v>
      </c>
      <c r="Y51" t="s">
        <v>237</v>
      </c>
      <c r="Z51">
        <v>890</v>
      </c>
      <c r="AA51">
        <v>915</v>
      </c>
      <c r="AB51" t="s">
        <v>238</v>
      </c>
      <c r="AC51" t="s">
        <v>239</v>
      </c>
      <c r="AD51">
        <v>41010100</v>
      </c>
      <c r="AE51">
        <v>2</v>
      </c>
      <c r="AF51">
        <v>9318</v>
      </c>
      <c r="AG51">
        <v>10</v>
      </c>
      <c r="AH51" t="s">
        <v>240</v>
      </c>
      <c r="AI51">
        <v>1400</v>
      </c>
      <c r="AJ51" t="s">
        <v>241</v>
      </c>
      <c r="AK51" t="s">
        <v>242</v>
      </c>
      <c r="AL51" t="s">
        <v>246</v>
      </c>
      <c r="AN51">
        <v>51075230412</v>
      </c>
      <c r="AO51" t="s">
        <v>286</v>
      </c>
      <c r="AP51" t="s">
        <v>244</v>
      </c>
      <c r="AQ51" t="s">
        <v>245</v>
      </c>
      <c r="AR51" t="s">
        <v>244</v>
      </c>
      <c r="AS51">
        <v>38368</v>
      </c>
      <c r="AT51">
        <v>38368</v>
      </c>
      <c r="AU51">
        <v>38368</v>
      </c>
    </row>
    <row r="52" spans="1:47" hidden="1" x14ac:dyDescent="0.25">
      <c r="A52" t="s">
        <v>84</v>
      </c>
      <c r="B52">
        <v>202507</v>
      </c>
      <c r="C52">
        <v>5107523043</v>
      </c>
      <c r="D52" t="s">
        <v>225</v>
      </c>
      <c r="E52" t="s">
        <v>255</v>
      </c>
      <c r="F52" s="98">
        <v>45855</v>
      </c>
      <c r="G52" s="98">
        <v>45855</v>
      </c>
      <c r="H52" t="s">
        <v>227</v>
      </c>
      <c r="I52" t="s">
        <v>227</v>
      </c>
      <c r="J52">
        <v>7</v>
      </c>
      <c r="K52">
        <v>16862.5</v>
      </c>
      <c r="L52" t="s">
        <v>228</v>
      </c>
      <c r="M52">
        <v>2025</v>
      </c>
      <c r="N52" s="98">
        <v>45839</v>
      </c>
      <c r="O52" t="s">
        <v>229</v>
      </c>
      <c r="P52" t="s">
        <v>230</v>
      </c>
      <c r="Q52">
        <v>2320521</v>
      </c>
      <c r="R52" t="s">
        <v>231</v>
      </c>
      <c r="S52" t="s">
        <v>232</v>
      </c>
      <c r="T52" t="s">
        <v>233</v>
      </c>
      <c r="U52" t="s">
        <v>229</v>
      </c>
      <c r="V52" t="s">
        <v>234</v>
      </c>
      <c r="W52" t="s">
        <v>235</v>
      </c>
      <c r="X52" t="s">
        <v>236</v>
      </c>
      <c r="Y52" t="s">
        <v>237</v>
      </c>
      <c r="Z52">
        <v>890</v>
      </c>
      <c r="AA52">
        <v>915</v>
      </c>
      <c r="AB52" t="s">
        <v>238</v>
      </c>
      <c r="AC52" t="s">
        <v>239</v>
      </c>
      <c r="AD52">
        <v>41010100</v>
      </c>
      <c r="AE52">
        <v>2</v>
      </c>
      <c r="AF52">
        <v>9318</v>
      </c>
      <c r="AG52">
        <v>10</v>
      </c>
      <c r="AH52" t="s">
        <v>240</v>
      </c>
      <c r="AI52">
        <v>1400</v>
      </c>
      <c r="AJ52" t="s">
        <v>241</v>
      </c>
      <c r="AK52" t="s">
        <v>242</v>
      </c>
      <c r="AL52" t="s">
        <v>255</v>
      </c>
      <c r="AN52">
        <v>51075230432</v>
      </c>
      <c r="AO52" t="s">
        <v>287</v>
      </c>
      <c r="AP52" t="s">
        <v>244</v>
      </c>
      <c r="AQ52" t="s">
        <v>245</v>
      </c>
      <c r="AR52" t="s">
        <v>244</v>
      </c>
      <c r="AS52">
        <v>16862.5</v>
      </c>
      <c r="AT52">
        <v>16862.5</v>
      </c>
      <c r="AU52">
        <v>16862.5</v>
      </c>
    </row>
    <row r="53" spans="1:47" hidden="1" x14ac:dyDescent="0.25">
      <c r="A53" t="s">
        <v>85</v>
      </c>
      <c r="B53">
        <v>202507</v>
      </c>
      <c r="C53">
        <v>2100079612</v>
      </c>
      <c r="D53" t="s">
        <v>249</v>
      </c>
      <c r="E53" t="s">
        <v>246</v>
      </c>
      <c r="F53" s="98">
        <v>45838</v>
      </c>
      <c r="G53" s="98">
        <v>45845</v>
      </c>
      <c r="H53" t="s">
        <v>254</v>
      </c>
      <c r="I53" t="s">
        <v>254</v>
      </c>
      <c r="J53">
        <v>7</v>
      </c>
      <c r="K53">
        <v>-98592</v>
      </c>
      <c r="L53" t="s">
        <v>259</v>
      </c>
      <c r="M53">
        <v>2025</v>
      </c>
      <c r="N53" s="98">
        <v>45839</v>
      </c>
      <c r="O53" t="s">
        <v>229</v>
      </c>
      <c r="P53" t="s">
        <v>230</v>
      </c>
      <c r="Q53">
        <v>2320521</v>
      </c>
      <c r="R53" t="s">
        <v>231</v>
      </c>
      <c r="S53" t="s">
        <v>232</v>
      </c>
      <c r="T53" t="s">
        <v>233</v>
      </c>
      <c r="U53" t="s">
        <v>229</v>
      </c>
      <c r="V53" t="s">
        <v>234</v>
      </c>
      <c r="W53" t="s">
        <v>235</v>
      </c>
      <c r="X53" t="s">
        <v>236</v>
      </c>
      <c r="Y53" t="s">
        <v>237</v>
      </c>
      <c r="Z53">
        <v>890</v>
      </c>
      <c r="AA53">
        <v>915</v>
      </c>
      <c r="AB53" t="s">
        <v>238</v>
      </c>
      <c r="AC53" t="s">
        <v>239</v>
      </c>
      <c r="AD53">
        <v>41010100</v>
      </c>
      <c r="AE53">
        <v>2</v>
      </c>
      <c r="AF53">
        <v>9318</v>
      </c>
      <c r="AG53">
        <v>10</v>
      </c>
      <c r="AH53" t="s">
        <v>252</v>
      </c>
      <c r="AI53">
        <v>1400</v>
      </c>
      <c r="AJ53" t="s">
        <v>241</v>
      </c>
      <c r="AK53" t="s">
        <v>242</v>
      </c>
      <c r="AL53" t="s">
        <v>246</v>
      </c>
      <c r="AN53">
        <v>2100079612124</v>
      </c>
      <c r="AO53" t="s">
        <v>279</v>
      </c>
      <c r="AP53" t="s">
        <v>244</v>
      </c>
      <c r="AQ53" t="s">
        <v>245</v>
      </c>
      <c r="AR53" t="s">
        <v>244</v>
      </c>
      <c r="AS53">
        <v>-98592</v>
      </c>
      <c r="AT53">
        <v>-98592</v>
      </c>
      <c r="AU53">
        <v>-98592</v>
      </c>
    </row>
    <row r="54" spans="1:47" hidden="1" x14ac:dyDescent="0.25">
      <c r="A54" t="s">
        <v>85</v>
      </c>
      <c r="B54">
        <v>202507</v>
      </c>
      <c r="C54">
        <v>2100079882</v>
      </c>
      <c r="D54" t="s">
        <v>249</v>
      </c>
      <c r="E54" t="s">
        <v>246</v>
      </c>
      <c r="F54" s="98">
        <v>45866</v>
      </c>
      <c r="G54" s="98">
        <v>45853</v>
      </c>
      <c r="H54" t="s">
        <v>254</v>
      </c>
      <c r="I54" t="s">
        <v>254</v>
      </c>
      <c r="J54">
        <v>7</v>
      </c>
      <c r="K54">
        <v>60224</v>
      </c>
      <c r="L54" t="s">
        <v>251</v>
      </c>
      <c r="M54">
        <v>2025</v>
      </c>
      <c r="N54" s="98">
        <v>45839</v>
      </c>
      <c r="O54" t="s">
        <v>229</v>
      </c>
      <c r="P54" t="s">
        <v>230</v>
      </c>
      <c r="Q54">
        <v>2320521</v>
      </c>
      <c r="R54" t="s">
        <v>231</v>
      </c>
      <c r="S54" t="s">
        <v>232</v>
      </c>
      <c r="T54" t="s">
        <v>233</v>
      </c>
      <c r="U54" t="s">
        <v>229</v>
      </c>
      <c r="V54" t="s">
        <v>234</v>
      </c>
      <c r="W54" t="s">
        <v>235</v>
      </c>
      <c r="X54" t="s">
        <v>236</v>
      </c>
      <c r="Y54" t="s">
        <v>237</v>
      </c>
      <c r="Z54">
        <v>890</v>
      </c>
      <c r="AA54">
        <v>915</v>
      </c>
      <c r="AB54" t="s">
        <v>238</v>
      </c>
      <c r="AC54" t="s">
        <v>239</v>
      </c>
      <c r="AD54">
        <v>41010100</v>
      </c>
      <c r="AE54">
        <v>2</v>
      </c>
      <c r="AF54">
        <v>9318</v>
      </c>
      <c r="AG54">
        <v>10</v>
      </c>
      <c r="AH54" t="s">
        <v>252</v>
      </c>
      <c r="AI54">
        <v>1400</v>
      </c>
      <c r="AJ54" t="s">
        <v>241</v>
      </c>
      <c r="AK54" t="s">
        <v>242</v>
      </c>
      <c r="AL54" t="s">
        <v>246</v>
      </c>
      <c r="AN54">
        <v>2100079882131</v>
      </c>
      <c r="AO54" t="s">
        <v>285</v>
      </c>
      <c r="AP54" t="s">
        <v>244</v>
      </c>
      <c r="AQ54" t="s">
        <v>245</v>
      </c>
      <c r="AR54" t="s">
        <v>244</v>
      </c>
      <c r="AS54">
        <v>60224</v>
      </c>
      <c r="AT54">
        <v>60224</v>
      </c>
      <c r="AU54">
        <v>60224</v>
      </c>
    </row>
    <row r="55" spans="1:47" hidden="1" x14ac:dyDescent="0.25">
      <c r="A55" t="s">
        <v>84</v>
      </c>
      <c r="B55">
        <v>202507</v>
      </c>
      <c r="C55">
        <v>2100079612</v>
      </c>
      <c r="D55" t="s">
        <v>249</v>
      </c>
      <c r="E55" t="s">
        <v>255</v>
      </c>
      <c r="F55" s="98">
        <v>45838</v>
      </c>
      <c r="G55" s="98">
        <v>45845</v>
      </c>
      <c r="H55" t="s">
        <v>250</v>
      </c>
      <c r="I55" t="s">
        <v>250</v>
      </c>
      <c r="J55">
        <v>7</v>
      </c>
      <c r="K55">
        <v>-30922.5</v>
      </c>
      <c r="L55" t="s">
        <v>259</v>
      </c>
      <c r="M55">
        <v>2025</v>
      </c>
      <c r="N55" s="98">
        <v>45839</v>
      </c>
      <c r="O55" t="s">
        <v>229</v>
      </c>
      <c r="P55" t="s">
        <v>230</v>
      </c>
      <c r="Q55">
        <v>2320521</v>
      </c>
      <c r="R55" t="s">
        <v>231</v>
      </c>
      <c r="S55" t="s">
        <v>232</v>
      </c>
      <c r="T55" t="s">
        <v>233</v>
      </c>
      <c r="U55" t="s">
        <v>229</v>
      </c>
      <c r="V55" t="s">
        <v>234</v>
      </c>
      <c r="W55" t="s">
        <v>235</v>
      </c>
      <c r="X55" t="s">
        <v>236</v>
      </c>
      <c r="Y55" t="s">
        <v>237</v>
      </c>
      <c r="Z55">
        <v>890</v>
      </c>
      <c r="AA55">
        <v>915</v>
      </c>
      <c r="AB55" t="s">
        <v>238</v>
      </c>
      <c r="AC55" t="s">
        <v>239</v>
      </c>
      <c r="AD55">
        <v>41010100</v>
      </c>
      <c r="AE55">
        <v>2</v>
      </c>
      <c r="AF55">
        <v>9318</v>
      </c>
      <c r="AG55">
        <v>10</v>
      </c>
      <c r="AH55" t="s">
        <v>252</v>
      </c>
      <c r="AI55">
        <v>1400</v>
      </c>
      <c r="AJ55" t="s">
        <v>241</v>
      </c>
      <c r="AK55" t="s">
        <v>242</v>
      </c>
      <c r="AL55" t="s">
        <v>255</v>
      </c>
      <c r="AN55">
        <v>2100079612122</v>
      </c>
      <c r="AO55" t="s">
        <v>279</v>
      </c>
      <c r="AP55" t="s">
        <v>244</v>
      </c>
      <c r="AQ55" t="s">
        <v>245</v>
      </c>
      <c r="AR55" t="s">
        <v>244</v>
      </c>
      <c r="AS55">
        <v>-30922.5</v>
      </c>
      <c r="AT55">
        <v>-30922.5</v>
      </c>
      <c r="AU55">
        <v>-30922.5</v>
      </c>
    </row>
    <row r="56" spans="1:47" hidden="1" x14ac:dyDescent="0.25">
      <c r="A56" t="s">
        <v>84</v>
      </c>
      <c r="B56">
        <v>202507</v>
      </c>
      <c r="C56">
        <v>2100079882</v>
      </c>
      <c r="D56" t="s">
        <v>249</v>
      </c>
      <c r="E56" t="s">
        <v>255</v>
      </c>
      <c r="F56" s="98">
        <v>45866</v>
      </c>
      <c r="G56" s="98">
        <v>45853</v>
      </c>
      <c r="H56" t="s">
        <v>250</v>
      </c>
      <c r="I56" t="s">
        <v>250</v>
      </c>
      <c r="J56">
        <v>7</v>
      </c>
      <c r="K56">
        <v>14060</v>
      </c>
      <c r="L56" t="s">
        <v>251</v>
      </c>
      <c r="M56">
        <v>2025</v>
      </c>
      <c r="N56" s="98">
        <v>45839</v>
      </c>
      <c r="O56" t="s">
        <v>229</v>
      </c>
      <c r="P56" t="s">
        <v>230</v>
      </c>
      <c r="Q56">
        <v>2320521</v>
      </c>
      <c r="R56" t="s">
        <v>231</v>
      </c>
      <c r="S56" t="s">
        <v>232</v>
      </c>
      <c r="T56" t="s">
        <v>233</v>
      </c>
      <c r="U56" t="s">
        <v>229</v>
      </c>
      <c r="V56" t="s">
        <v>234</v>
      </c>
      <c r="W56" t="s">
        <v>235</v>
      </c>
      <c r="X56" t="s">
        <v>236</v>
      </c>
      <c r="Y56" t="s">
        <v>237</v>
      </c>
      <c r="Z56">
        <v>890</v>
      </c>
      <c r="AA56">
        <v>915</v>
      </c>
      <c r="AB56" t="s">
        <v>238</v>
      </c>
      <c r="AC56" t="s">
        <v>239</v>
      </c>
      <c r="AD56">
        <v>41010100</v>
      </c>
      <c r="AE56">
        <v>2</v>
      </c>
      <c r="AF56">
        <v>9318</v>
      </c>
      <c r="AG56">
        <v>10</v>
      </c>
      <c r="AH56" t="s">
        <v>252</v>
      </c>
      <c r="AI56">
        <v>1400</v>
      </c>
      <c r="AJ56" t="s">
        <v>241</v>
      </c>
      <c r="AK56" t="s">
        <v>242</v>
      </c>
      <c r="AL56" t="s">
        <v>255</v>
      </c>
      <c r="AN56">
        <v>2100079882129</v>
      </c>
      <c r="AO56" t="s">
        <v>285</v>
      </c>
      <c r="AP56" t="s">
        <v>244</v>
      </c>
      <c r="AQ56" t="s">
        <v>245</v>
      </c>
      <c r="AR56" t="s">
        <v>244</v>
      </c>
      <c r="AS56">
        <v>14060</v>
      </c>
      <c r="AT56">
        <v>14060</v>
      </c>
      <c r="AU56">
        <v>14060</v>
      </c>
    </row>
  </sheetData>
  <autoFilter ref="A1:AU56" xr:uid="{00000000-0009-0000-0000-000002000000}">
    <filterColumn colId="0">
      <filters>
        <filter val="9500879389"/>
      </filters>
    </filterColumn>
    <filterColumn colId="1">
      <filters>
        <filter val="202503"/>
      </filters>
    </filterColumn>
    <filterColumn colId="11">
      <filters>
        <filter val="Accrual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Template</vt:lpstr>
      <vt:lpstr>Forecast Source Data</vt:lpstr>
      <vt:lpstr>Transactions Source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Ali, Michael</dc:creator>
  <cp:lastModifiedBy>Hovey, Owen (Contractor)</cp:lastModifiedBy>
  <dcterms:created xsi:type="dcterms:W3CDTF">2024-04-15T21:07:03Z</dcterms:created>
  <dcterms:modified xsi:type="dcterms:W3CDTF">2026-02-19T16:54:34Z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0x0101002B3B1E9AF76D8540A21B723585178CF2</vt:lpwstr>
  </property>
  <property fmtid="{D5CDD505-2E9C-101B-9397-08002B2CF9AE}" pid="10" name="MediaServiceImageTags">
    <vt:lpwstr/>
  </property>
</Properties>
</file>