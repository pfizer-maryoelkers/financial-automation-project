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480" tabRatio="590" firstSheet="0" activeTab="0" autoFilterDateGrouping="1"/>
  </bookViews>
  <sheets>
    <sheet name="Template" sheetId="1" state="visible" r:id="rId1"/>
    <sheet name="Forecast Source Data" sheetId="2" state="visible" r:id="rId2"/>
    <sheet name="Transactions Source Data" sheetId="3" state="visible" r:id="rId3"/>
  </sheets>
  <definedNames>
    <definedName name="_xlnm._FilterDatabase" localSheetId="1" hidden="1">'Forecast Source Data'!$A$1:$BZ$6</definedName>
    <definedName name="_xlnm._FilterDatabase" localSheetId="2" hidden="1">'Transactions Source Data'!$A$1:$AU$56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[$-409]dd\-mmm\-yy;@"/>
    <numFmt numFmtId="165" formatCode="&quot;$&quot;#,##0"/>
    <numFmt numFmtId="166" formatCode="&quot;$&quot;#,##0.00_);[Red]\(&quot;$&quot;#,##0.00\)"/>
    <numFmt numFmtId="167" formatCode="mmmm\-yyyy"/>
    <numFmt numFmtId="168" formatCode="yyyy-mm-dd h:mm:ss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4F4D4A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4F4D4A"/>
      <sz val="11"/>
      <scheme val="minor"/>
    </font>
    <font>
      <name val="Calibri"/>
      <family val="2"/>
      <color rgb="FF00000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1" fillId="0" borderId="0"/>
    <xf numFmtId="0" fontId="4" fillId="0" borderId="0"/>
    <xf numFmtId="44" fontId="1" fillId="0" borderId="0"/>
    <xf numFmtId="0" fontId="8" fillId="0" borderId="0"/>
  </cellStyleXfs>
  <cellXfs count="168">
    <xf numFmtId="0" fontId="0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2" borderId="3" pivotButton="0" quotePrefix="0" xfId="0"/>
    <xf numFmtId="0" fontId="5" fillId="2" borderId="4" pivotButton="0" quotePrefix="0" xfId="0"/>
    <xf numFmtId="0" fontId="0" fillId="2" borderId="0" applyAlignment="1" pivotButton="0" quotePrefix="0" xfId="0">
      <alignment wrapText="1"/>
    </xf>
    <xf numFmtId="4" fontId="6" fillId="2" borderId="0" pivotButton="0" quotePrefix="0" xfId="0"/>
    <xf numFmtId="0" fontId="5" fillId="2" borderId="0" pivotButton="0" quotePrefix="0" xfId="0"/>
    <xf numFmtId="2" fontId="0" fillId="0" borderId="0" pivotButton="0" quotePrefix="0" xfId="0"/>
    <xf numFmtId="0" fontId="0" fillId="2" borderId="0" pivotButton="0" quotePrefix="0" xfId="0"/>
    <xf numFmtId="0" fontId="0" fillId="2" borderId="4" pivotButton="0" quotePrefix="0" xfId="0"/>
    <xf numFmtId="0" fontId="4" fillId="2" borderId="0" pivotButton="0" quotePrefix="0" xfId="1"/>
    <xf numFmtId="0" fontId="0" fillId="2" borderId="5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2" borderId="8" pivotButton="0" quotePrefix="0" xfId="0"/>
    <xf numFmtId="14" fontId="0" fillId="0" borderId="0" pivotButton="0" quotePrefix="0" xfId="0"/>
    <xf numFmtId="0" fontId="3" fillId="2" borderId="9" pivotButton="0" quotePrefix="0" xfId="0"/>
    <xf numFmtId="4" fontId="0" fillId="2" borderId="10" pivotButton="0" quotePrefix="0" xfId="0"/>
    <xf numFmtId="3" fontId="0" fillId="0" borderId="0" pivotButton="0" quotePrefix="0" xfId="0"/>
    <xf numFmtId="0" fontId="3" fillId="2" borderId="11" pivotButton="0" quotePrefix="0" xfId="0"/>
    <xf numFmtId="0" fontId="0" fillId="4" borderId="0" pivotButton="0" quotePrefix="0" xfId="0"/>
    <xf numFmtId="3" fontId="0" fillId="3" borderId="0" applyAlignment="1" pivotButton="0" quotePrefix="0" xfId="0">
      <alignment horizontal="left"/>
    </xf>
    <xf numFmtId="0" fontId="3" fillId="0" borderId="0" pivotButton="0" quotePrefix="0" xfId="0"/>
    <xf numFmtId="3" fontId="7" fillId="4" borderId="0" applyAlignment="1" pivotButton="0" quotePrefix="0" xfId="0">
      <alignment horizontal="left"/>
    </xf>
    <xf numFmtId="3" fontId="7" fillId="0" borderId="0" pivotButton="0" quotePrefix="0" xfId="0"/>
    <xf numFmtId="0" fontId="9" fillId="2" borderId="16" applyAlignment="1" pivotButton="0" quotePrefix="0" xfId="3">
      <alignment horizontal="left" wrapText="1"/>
    </xf>
    <xf numFmtId="1" fontId="10" fillId="2" borderId="17" applyAlignment="1" pivotButton="0" quotePrefix="0" xfId="3">
      <alignment horizontal="center" wrapText="1"/>
    </xf>
    <xf numFmtId="164" fontId="10" fillId="2" borderId="17" applyAlignment="1" pivotButton="0" quotePrefix="0" xfId="3">
      <alignment horizontal="center" wrapText="1"/>
    </xf>
    <xf numFmtId="0" fontId="10" fillId="2" borderId="17" applyAlignment="1" pivotButton="0" quotePrefix="0" xfId="3">
      <alignment horizontal="center" wrapText="1"/>
    </xf>
    <xf numFmtId="165" fontId="9" fillId="2" borderId="17" applyAlignment="1" pivotButton="0" quotePrefix="0" xfId="3">
      <alignment horizontal="center" wrapText="1"/>
    </xf>
    <xf numFmtId="0" fontId="3" fillId="2" borderId="2" applyAlignment="1" pivotButton="0" quotePrefix="0" xfId="0">
      <alignment wrapText="1"/>
    </xf>
    <xf numFmtId="0" fontId="9" fillId="2" borderId="18" applyAlignment="1" pivotButton="0" quotePrefix="0" xfId="3">
      <alignment wrapText="1"/>
    </xf>
    <xf numFmtId="165" fontId="9" fillId="2" borderId="19" applyAlignment="1" pivotButton="0" quotePrefix="0" xfId="3">
      <alignment horizontal="center" wrapText="1"/>
    </xf>
    <xf numFmtId="165" fontId="9" fillId="2" borderId="20" applyAlignment="1" pivotButton="0" quotePrefix="0" xfId="3">
      <alignment horizontal="center" wrapText="1"/>
    </xf>
    <xf numFmtId="165" fontId="9" fillId="2" borderId="21" applyAlignment="1" pivotButton="0" quotePrefix="0" xfId="3">
      <alignment horizontal="center" wrapText="1"/>
    </xf>
    <xf numFmtId="165" fontId="9" fillId="2" borderId="2" applyAlignment="1" pivotButton="0" quotePrefix="0" xfId="3">
      <alignment horizontal="center" wrapText="1"/>
    </xf>
    <xf numFmtId="165" fontId="9" fillId="2" borderId="22" applyAlignment="1" pivotButton="0" quotePrefix="0" xfId="3">
      <alignment horizontal="center" wrapText="1"/>
    </xf>
    <xf numFmtId="0" fontId="9" fillId="2" borderId="23" applyAlignment="1" pivotButton="0" quotePrefix="0" xfId="3">
      <alignment wrapText="1"/>
    </xf>
    <xf numFmtId="3" fontId="0" fillId="0" borderId="24" pivotButton="0" quotePrefix="0" xfId="0"/>
    <xf numFmtId="3" fontId="0" fillId="0" borderId="9" pivotButton="0" quotePrefix="0" xfId="0"/>
    <xf numFmtId="3" fontId="0" fillId="0" borderId="25" pivotButton="0" quotePrefix="0" xfId="0"/>
    <xf numFmtId="3" fontId="0" fillId="0" borderId="10" pivotButton="0" quotePrefix="0" xfId="0"/>
    <xf numFmtId="3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3" fontId="0" fillId="0" borderId="29" pivotButton="0" quotePrefix="0" xfId="0"/>
    <xf numFmtId="0" fontId="0" fillId="0" borderId="30" pivotButton="0" quotePrefix="0" xfId="0"/>
    <xf numFmtId="3" fontId="0" fillId="0" borderId="28" pivotButton="0" quotePrefix="0" xfId="0"/>
    <xf numFmtId="3" fontId="0" fillId="0" borderId="30" pivotButton="0" quotePrefix="0" xfId="0"/>
    <xf numFmtId="3" fontId="0" fillId="0" borderId="32" pivotButton="0" quotePrefix="0" xfId="0"/>
    <xf numFmtId="3" fontId="0" fillId="0" borderId="33" pivotButton="0" quotePrefix="0" xfId="0"/>
    <xf numFmtId="3" fontId="0" fillId="0" borderId="34" pivotButton="0" quotePrefix="0" xfId="0"/>
    <xf numFmtId="3" fontId="0" fillId="0" borderId="35" pivotButton="0" quotePrefix="0" xfId="0"/>
    <xf numFmtId="3" fontId="0" fillId="0" borderId="36" pivotButton="0" quotePrefix="0" xfId="0"/>
    <xf numFmtId="3" fontId="0" fillId="0" borderId="40" pivotButton="0" quotePrefix="0" xfId="0"/>
    <xf numFmtId="0" fontId="0" fillId="0" borderId="11" pivotButton="0" quotePrefix="0" xfId="0"/>
    <xf numFmtId="0" fontId="0" fillId="0" borderId="41" pivotButton="0" quotePrefix="0" xfId="0"/>
    <xf numFmtId="0" fontId="0" fillId="0" borderId="42" pivotButton="0" quotePrefix="0" xfId="0"/>
    <xf numFmtId="3" fontId="0" fillId="0" borderId="41" pivotButton="0" quotePrefix="0" xfId="0"/>
    <xf numFmtId="3" fontId="0" fillId="0" borderId="42" pivotButton="0" quotePrefix="0" xfId="0"/>
    <xf numFmtId="3" fontId="0" fillId="0" borderId="12" pivotButton="0" quotePrefix="0" xfId="0"/>
    <xf numFmtId="3" fontId="0" fillId="0" borderId="43" pivotButton="0" quotePrefix="0" xfId="0"/>
    <xf numFmtId="3" fontId="0" fillId="0" borderId="11" pivotButton="0" quotePrefix="0" xfId="0"/>
    <xf numFmtId="0" fontId="0" fillId="3" borderId="0" pivotButton="0" quotePrefix="0" xfId="0"/>
    <xf numFmtId="165" fontId="9" fillId="2" borderId="45" applyAlignment="1" pivotButton="0" quotePrefix="0" xfId="3">
      <alignment horizontal="center" wrapText="1"/>
    </xf>
    <xf numFmtId="3" fontId="0" fillId="2" borderId="26" pivotButton="0" quotePrefix="0" xfId="0"/>
    <xf numFmtId="0" fontId="0" fillId="0" borderId="10" pivotButton="0" quotePrefix="0" xfId="0"/>
    <xf numFmtId="14" fontId="0" fillId="0" borderId="29" pivotButton="0" quotePrefix="0" xfId="0"/>
    <xf numFmtId="3" fontId="0" fillId="2" borderId="31" pivotButton="0" quotePrefix="0" xfId="0"/>
    <xf numFmtId="0" fontId="0" fillId="0" borderId="32" pivotButton="0" quotePrefix="0" xfId="0"/>
    <xf numFmtId="0" fontId="0" fillId="0" borderId="46" pivotButton="0" quotePrefix="0" xfId="0"/>
    <xf numFmtId="0" fontId="0" fillId="5" borderId="28" pivotButton="0" quotePrefix="0" xfId="0"/>
    <xf numFmtId="0" fontId="0" fillId="5" borderId="29" pivotButton="0" quotePrefix="0" xfId="0"/>
    <xf numFmtId="14" fontId="0" fillId="5" borderId="29" pivotButton="0" quotePrefix="0" xfId="0"/>
    <xf numFmtId="0" fontId="0" fillId="5" borderId="30" pivotButton="0" quotePrefix="0" xfId="0"/>
    <xf numFmtId="3" fontId="0" fillId="5" borderId="28" pivotButton="0" quotePrefix="0" xfId="0"/>
    <xf numFmtId="3" fontId="0" fillId="5" borderId="29" pivotButton="0" quotePrefix="0" xfId="0"/>
    <xf numFmtId="3" fontId="0" fillId="5" borderId="30" pivotButton="0" quotePrefix="0" xfId="0"/>
    <xf numFmtId="3" fontId="0" fillId="5" borderId="32" pivotButton="0" quotePrefix="0" xfId="0"/>
    <xf numFmtId="3" fontId="0" fillId="5" borderId="33" pivotButton="0" quotePrefix="0" xfId="0"/>
    <xf numFmtId="3" fontId="0" fillId="5" borderId="31" pivotButton="0" quotePrefix="0" xfId="0"/>
    <xf numFmtId="0" fontId="0" fillId="5" borderId="32" pivotButton="0" quotePrefix="0" xfId="0"/>
    <xf numFmtId="0" fontId="0" fillId="0" borderId="47" pivotButton="0" quotePrefix="0" xfId="0"/>
    <xf numFmtId="0" fontId="0" fillId="0" borderId="48" pivotButton="0" quotePrefix="0" xfId="0"/>
    <xf numFmtId="14" fontId="0" fillId="0" borderId="48" pivotButton="0" quotePrefix="0" xfId="0"/>
    <xf numFmtId="0" fontId="0" fillId="0" borderId="38" pivotButton="0" quotePrefix="0" xfId="0"/>
    <xf numFmtId="3" fontId="0" fillId="0" borderId="47" pivotButton="0" quotePrefix="0" xfId="0"/>
    <xf numFmtId="3" fontId="0" fillId="0" borderId="48" pivotButton="0" quotePrefix="0" xfId="0"/>
    <xf numFmtId="3" fontId="0" fillId="2" borderId="37" pivotButton="0" quotePrefix="0" xfId="0"/>
    <xf numFmtId="0" fontId="0" fillId="0" borderId="39" pivotButton="0" quotePrefix="0" xfId="0"/>
    <xf numFmtId="14" fontId="0" fillId="0" borderId="41" pivotButton="0" quotePrefix="0" xfId="0"/>
    <xf numFmtId="3" fontId="0" fillId="0" borderId="49" pivotButton="0" quotePrefix="0" xfId="0"/>
    <xf numFmtId="3" fontId="0" fillId="2" borderId="44" pivotButton="0" quotePrefix="0" xfId="0"/>
    <xf numFmtId="0" fontId="0" fillId="0" borderId="12" pivotButton="0" quotePrefix="0" xfId="0"/>
    <xf numFmtId="0" fontId="0" fillId="3" borderId="28" pivotButton="0" quotePrefix="0" xfId="0"/>
    <xf numFmtId="0" fontId="0" fillId="3" borderId="29" pivotButton="0" quotePrefix="0" xfId="0"/>
    <xf numFmtId="14" fontId="0" fillId="3" borderId="29" pivotButton="0" quotePrefix="0" xfId="0"/>
    <xf numFmtId="3" fontId="0" fillId="3" borderId="29" pivotButton="0" quotePrefix="0" xfId="0"/>
    <xf numFmtId="0" fontId="0" fillId="3" borderId="30" pivotButton="0" quotePrefix="0" xfId="0"/>
    <xf numFmtId="3" fontId="0" fillId="3" borderId="28" pivotButton="0" quotePrefix="0" xfId="0"/>
    <xf numFmtId="3" fontId="0" fillId="3" borderId="30" pivotButton="0" quotePrefix="0" xfId="0"/>
    <xf numFmtId="3" fontId="0" fillId="3" borderId="32" pivotButton="0" quotePrefix="0" xfId="0"/>
    <xf numFmtId="3" fontId="0" fillId="3" borderId="33" pivotButton="0" quotePrefix="0" xfId="0"/>
    <xf numFmtId="3" fontId="0" fillId="3" borderId="31" pivotButton="0" quotePrefix="0" xfId="0"/>
    <xf numFmtId="0" fontId="0" fillId="3" borderId="32" pivotButton="0" quotePrefix="0" xfId="0"/>
    <xf numFmtId="165" fontId="3" fillId="2" borderId="7" applyAlignment="1" pivotButton="0" quotePrefix="0" xfId="0">
      <alignment horizontal="center"/>
    </xf>
    <xf numFmtId="165" fontId="0" fillId="2" borderId="7" applyAlignment="1" pivotButton="0" quotePrefix="0" xfId="0">
      <alignment horizontal="right"/>
    </xf>
    <xf numFmtId="0" fontId="3" fillId="2" borderId="0" pivotButton="0" quotePrefix="0" xfId="0"/>
    <xf numFmtId="4" fontId="6" fillId="2" borderId="1" pivotButton="0" quotePrefix="0" xfId="0"/>
    <xf numFmtId="3" fontId="6" fillId="2" borderId="0" applyAlignment="1" pivotButton="0" quotePrefix="0" xfId="0">
      <alignment horizontal="center"/>
    </xf>
    <xf numFmtId="3" fontId="6" fillId="2" borderId="5" applyAlignment="1" pivotButton="0" quotePrefix="0" xfId="0">
      <alignment horizontal="center"/>
    </xf>
    <xf numFmtId="3" fontId="6" fillId="2" borderId="7" applyAlignment="1" pivotButton="0" quotePrefix="0" xfId="0">
      <alignment horizontal="center"/>
    </xf>
    <xf numFmtId="3" fontId="6" fillId="2" borderId="8" applyAlignment="1" pivotButton="0" quotePrefix="0" xfId="0">
      <alignment horizontal="center"/>
    </xf>
    <xf numFmtId="4" fontId="0" fillId="2" borderId="12" pivotButton="0" quotePrefix="0" xfId="0"/>
    <xf numFmtId="4" fontId="12" fillId="2" borderId="2" applyAlignment="1" pivotButton="0" quotePrefix="0" xfId="0">
      <alignment horizontal="center"/>
    </xf>
    <xf numFmtId="4" fontId="12" fillId="2" borderId="3" applyAlignment="1" pivotButton="0" quotePrefix="0" xfId="0">
      <alignment horizontal="center"/>
    </xf>
    <xf numFmtId="4" fontId="12" fillId="2" borderId="4" pivotButton="0" quotePrefix="0" xfId="0"/>
    <xf numFmtId="4" fontId="12" fillId="2" borderId="6" pivotButton="0" quotePrefix="0" xfId="0"/>
    <xf numFmtId="0" fontId="3" fillId="2" borderId="34" pivotButton="0" quotePrefix="0" xfId="0"/>
    <xf numFmtId="4" fontId="0" fillId="2" borderId="50" pivotButton="0" quotePrefix="0" xfId="0"/>
    <xf numFmtId="0" fontId="3" fillId="2" borderId="28" pivotButton="0" quotePrefix="0" xfId="0"/>
    <xf numFmtId="10" fontId="0" fillId="2" borderId="32" pivotButton="0" quotePrefix="0" xfId="0"/>
    <xf numFmtId="3" fontId="2" fillId="2" borderId="5" pivotButton="0" quotePrefix="0" xfId="0"/>
    <xf numFmtId="3" fontId="0" fillId="2" borderId="5" pivotButton="0" quotePrefix="0" xfId="0"/>
    <xf numFmtId="0" fontId="13" fillId="0" borderId="9" pivotButton="0" quotePrefix="0" xfId="0"/>
    <xf numFmtId="14" fontId="13" fillId="0" borderId="24" pivotButton="0" quotePrefix="0" xfId="0"/>
    <xf numFmtId="0" fontId="13" fillId="0" borderId="24" pivotButton="0" quotePrefix="0" xfId="0"/>
    <xf numFmtId="166" fontId="13" fillId="0" borderId="24" pivotButton="0" quotePrefix="0" xfId="0"/>
    <xf numFmtId="0" fontId="13" fillId="0" borderId="24" applyAlignment="1" pivotButton="0" quotePrefix="0" xfId="0">
      <alignment wrapText="1"/>
    </xf>
    <xf numFmtId="0" fontId="13" fillId="0" borderId="25" pivotButton="0" quotePrefix="0" xfId="0"/>
    <xf numFmtId="14" fontId="13" fillId="0" borderId="29" pivotButton="0" quotePrefix="0" xfId="0"/>
    <xf numFmtId="0" fontId="13" fillId="0" borderId="29" pivotButton="0" quotePrefix="0" xfId="0"/>
    <xf numFmtId="166" fontId="13" fillId="0" borderId="29" pivotButton="0" quotePrefix="0" xfId="0"/>
    <xf numFmtId="0" fontId="13" fillId="0" borderId="29" applyAlignment="1" pivotButton="0" quotePrefix="0" xfId="0">
      <alignment wrapText="1"/>
    </xf>
    <xf numFmtId="0" fontId="13" fillId="0" borderId="30" pivotButton="0" quotePrefix="0" xfId="0"/>
    <xf numFmtId="3" fontId="3" fillId="2" borderId="13" applyAlignment="1" pivotButton="0" quotePrefix="0" xfId="0">
      <alignment horizontal="center"/>
    </xf>
    <xf numFmtId="3" fontId="3" fillId="2" borderId="14" applyAlignment="1" pivotButton="0" quotePrefix="0" xfId="0">
      <alignment horizontal="center"/>
    </xf>
    <xf numFmtId="3" fontId="3" fillId="2" borderId="15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0" fontId="7" fillId="0" borderId="5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5" applyAlignment="1" pivotButton="0" quotePrefix="0" xfId="0">
      <alignment horizontal="right"/>
    </xf>
    <xf numFmtId="0" fontId="3" fillId="0" borderId="7" applyAlignment="1" pivotButton="0" quotePrefix="0" xfId="0">
      <alignment horizontal="right"/>
    </xf>
    <xf numFmtId="0" fontId="3" fillId="0" borderId="8" applyAlignment="1" pivotButton="0" quotePrefix="0" xfId="0">
      <alignment horizontal="right"/>
    </xf>
    <xf numFmtId="167" fontId="3" fillId="2" borderId="13" applyAlignment="1" pivotButton="0" quotePrefix="0" xfId="0">
      <alignment horizontal="center"/>
    </xf>
    <xf numFmtId="167" fontId="3" fillId="2" borderId="14" applyAlignment="1" pivotButton="0" quotePrefix="0" xfId="0">
      <alignment horizontal="center"/>
    </xf>
    <xf numFmtId="167" fontId="3" fillId="2" borderId="15" applyAlignment="1" pivotButton="0" quotePrefix="0" xfId="0">
      <alignment horizontal="center"/>
    </xf>
    <xf numFmtId="165" fontId="0" fillId="2" borderId="7" applyAlignment="1" pivotButton="0" quotePrefix="0" xfId="0">
      <alignment horizontal="right"/>
    </xf>
    <xf numFmtId="165" fontId="3" fillId="2" borderId="7" applyAlignment="1" pivotButton="0" quotePrefix="0" xfId="0">
      <alignment horizontal="center"/>
    </xf>
    <xf numFmtId="0" fontId="0" fillId="0" borderId="5" pivotButton="0" quotePrefix="0" xfId="0"/>
    <xf numFmtId="3" fontId="3" fillId="2" borderId="51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0" fillId="0" borderId="8" pivotButton="0" quotePrefix="0" xfId="0"/>
    <xf numFmtId="167" fontId="3" fillId="2" borderId="13" applyAlignment="1" pivotButton="0" quotePrefix="0" xfId="0">
      <alignment horizontal="center"/>
    </xf>
    <xf numFmtId="167" fontId="3" fillId="2" borderId="51" applyAlignment="1" pivotButton="0" quotePrefix="0" xfId="0">
      <alignment horizontal="center"/>
    </xf>
    <xf numFmtId="164" fontId="10" fillId="2" borderId="17" applyAlignment="1" pivotButton="0" quotePrefix="0" xfId="3">
      <alignment horizontal="center" wrapText="1"/>
    </xf>
    <xf numFmtId="165" fontId="9" fillId="2" borderId="17" applyAlignment="1" pivotButton="0" quotePrefix="0" xfId="3">
      <alignment horizontal="center" wrapText="1"/>
    </xf>
    <xf numFmtId="165" fontId="9" fillId="2" borderId="19" applyAlignment="1" pivotButton="0" quotePrefix="0" xfId="3">
      <alignment horizontal="center" wrapText="1"/>
    </xf>
    <xf numFmtId="165" fontId="9" fillId="2" borderId="20" applyAlignment="1" pivotButton="0" quotePrefix="0" xfId="3">
      <alignment horizontal="center" wrapText="1"/>
    </xf>
    <xf numFmtId="165" fontId="9" fillId="2" borderId="2" applyAlignment="1" pivotButton="0" quotePrefix="0" xfId="3">
      <alignment horizontal="center" wrapText="1"/>
    </xf>
    <xf numFmtId="165" fontId="9" fillId="2" borderId="45" applyAlignment="1" pivotButton="0" quotePrefix="0" xfId="3">
      <alignment horizontal="center" wrapText="1"/>
    </xf>
    <xf numFmtId="165" fontId="9" fillId="2" borderId="21" applyAlignment="1" pivotButton="0" quotePrefix="0" xfId="3">
      <alignment horizontal="center" wrapText="1"/>
    </xf>
    <xf numFmtId="165" fontId="9" fillId="2" borderId="22" applyAlignment="1" pivotButton="0" quotePrefix="0" xfId="3">
      <alignment horizontal="center" wrapText="1"/>
    </xf>
    <xf numFmtId="166" fontId="13" fillId="0" borderId="24" pivotButton="0" quotePrefix="0" xfId="0"/>
    <xf numFmtId="166" fontId="13" fillId="0" borderId="29" pivotButton="0" quotePrefix="0" xfId="0"/>
    <xf numFmtId="168" fontId="0" fillId="0" borderId="0" pivotButton="0" quotePrefix="0" xfId="0"/>
  </cellXfs>
  <cellStyles count="4">
    <cellStyle name="Normal" xfId="0" builtinId="0"/>
    <cellStyle name="Hyperlink 2" xfId="1"/>
    <cellStyle name="Currency 2" xfId="2"/>
    <cellStyle name="Normal 2 2" xfId="3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tc={8A449622-3931-4331-A5FC-86DBCF39A238}</author>
    <author>tc={762059EA-7D80-4DB4-9966-81EF61FC224F}</author>
  </authors>
  <commentList>
    <comment ref="B1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actuals to date + curerent periods accruals and any actuals they might have also hit</t>
      </text>
    </comment>
    <comment ref="B12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budget - (actuals to date + curerent periods accruals and any actuals they might have also hit)</t>
      </text>
    </comment>
  </commentList>
</comment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U26"/>
  <sheetViews>
    <sheetView showGridLines="0" tabSelected="1" zoomScale="80" zoomScaleNormal="80" workbookViewId="0">
      <selection activeCell="B15" sqref="B15:B16"/>
    </sheetView>
  </sheetViews>
  <sheetFormatPr baseColWidth="8" defaultRowHeight="15"/>
  <cols>
    <col width="24" customWidth="1" min="1" max="1"/>
    <col width="25" customWidth="1" min="2" max="2"/>
    <col width="12.28515625" customWidth="1" min="3" max="3"/>
    <col width="11.5703125" customWidth="1" min="4" max="4"/>
    <col width="14.28515625" customWidth="1" min="5" max="5"/>
    <col width="10.85546875" customWidth="1" min="6" max="6"/>
    <col width="13.42578125" customWidth="1" min="7" max="7"/>
    <col width="37.140625" customWidth="1" min="8" max="8"/>
    <col width="12.42578125" customWidth="1" min="9" max="9"/>
    <col width="8.85546875" customWidth="1" min="10" max="69"/>
    <col width="10.85546875" customWidth="1" min="70" max="70"/>
    <col width="15.5703125" customWidth="1" min="71" max="71"/>
    <col width="16.7109375" customWidth="1" min="72" max="72"/>
  </cols>
  <sheetData>
    <row r="2">
      <c r="A2" s="1" t="n"/>
      <c r="B2" s="2" t="n"/>
      <c r="C2" s="2" t="n"/>
      <c r="D2" s="2" t="n"/>
      <c r="E2" s="2" t="n"/>
      <c r="F2" s="3" t="n"/>
    </row>
    <row r="3">
      <c r="A3" s="4" t="inlineStr">
        <is>
          <t xml:space="preserve">Overall Capital </t>
        </is>
      </c>
      <c r="B3" s="5" t="n"/>
      <c r="C3" s="6" t="n"/>
      <c r="D3" s="7" t="inlineStr">
        <is>
          <t>N/A</t>
        </is>
      </c>
      <c r="E3" s="7" t="n">
        <v>2025</v>
      </c>
      <c r="F3" s="123">
        <f>C3</f>
        <v/>
      </c>
      <c r="O3" s="8" t="n"/>
      <c r="P3" s="8" t="n"/>
      <c r="Q3" s="8" t="n"/>
    </row>
    <row r="4">
      <c r="A4" s="4" t="inlineStr">
        <is>
          <t>Overall Expense</t>
        </is>
      </c>
      <c r="B4" s="9" t="inlineStr">
        <is>
          <t>WBS code</t>
        </is>
      </c>
      <c r="C4" s="6" t="n">
        <v>0</v>
      </c>
      <c r="D4" s="7" t="n">
        <v>2351818</v>
      </c>
      <c r="E4" s="7" t="n">
        <v>2025</v>
      </c>
      <c r="F4" s="123" t="n">
        <v>0</v>
      </c>
    </row>
    <row r="5">
      <c r="A5" s="10" t="inlineStr">
        <is>
          <t xml:space="preserve">P3 ID </t>
        </is>
      </c>
      <c r="B5" s="11" t="n"/>
      <c r="C5" s="9" t="n"/>
      <c r="D5" s="9" t="n"/>
      <c r="E5" s="9" t="n"/>
      <c r="F5" s="124" t="n"/>
    </row>
    <row r="6">
      <c r="A6" s="10" t="inlineStr">
        <is>
          <t>[Put P3 ID here]</t>
        </is>
      </c>
      <c r="B6" s="6" t="inlineStr">
        <is>
          <t>Type of Spend</t>
        </is>
      </c>
      <c r="C6" s="9" t="n"/>
      <c r="D6" s="9" t="n"/>
      <c r="E6" s="108">
        <f>IF(SUMIFS(BR:BR,A:A,"Contingency")&gt;0,"Contingency is "&amp;TEXT(SUMIFS(BR:BR,A:A,"Contingency"),"$#,##"),IF(SUMIFS(BR:BR,A:A,"Contingency")&lt;0,"Overspent by "&amp;TEXT(SUMIFS(BR:BR,A:A,"Contingency"),"$#,##"),"No contingency"))</f>
        <v/>
      </c>
      <c r="F6" s="12" t="n"/>
    </row>
    <row r="7">
      <c r="A7" s="13" t="n"/>
      <c r="B7" s="148" t="n"/>
      <c r="C7" s="149" t="n"/>
      <c r="D7" s="149" t="n"/>
      <c r="E7" s="14" t="n"/>
      <c r="F7" s="15" t="n"/>
      <c r="O7" s="16" t="n"/>
      <c r="P7" s="16" t="n"/>
      <c r="Q7" s="16" t="n"/>
    </row>
    <row r="8" ht="15.75" customHeight="1" thickBot="1"/>
    <row r="9">
      <c r="A9" s="17" t="inlineStr">
        <is>
          <t>Total Variance Expense</t>
        </is>
      </c>
      <c r="B9" s="18">
        <f>C4-BR13</f>
        <v/>
      </c>
      <c r="D9" s="109" t="n"/>
      <c r="E9" s="115" t="inlineStr">
        <is>
          <t>S1</t>
        </is>
      </c>
      <c r="F9" s="115" t="inlineStr">
        <is>
          <t>S2</t>
        </is>
      </c>
      <c r="G9" s="116" t="inlineStr">
        <is>
          <t>Total</t>
        </is>
      </c>
    </row>
    <row r="10" ht="15.75" customHeight="1" thickBot="1">
      <c r="A10" s="121" t="inlineStr">
        <is>
          <t>Variance Percentage</t>
        </is>
      </c>
      <c r="B10" s="122">
        <f>B9/C4</f>
        <v/>
      </c>
      <c r="D10" s="117" t="inlineStr">
        <is>
          <t>Budget</t>
        </is>
      </c>
      <c r="E10" s="110" t="n"/>
      <c r="F10" s="110" t="n"/>
      <c r="G10" s="111" t="n"/>
      <c r="BS10" s="64" t="inlineStr">
        <is>
          <t>Contingency:</t>
        </is>
      </c>
    </row>
    <row r="11" ht="16.5" customHeight="1" thickBot="1">
      <c r="A11" s="119" t="inlineStr">
        <is>
          <t>Total Actuals To Date</t>
        </is>
      </c>
      <c r="B11" s="120">
        <f>SUMIFS(J12:BQ12,J13:BQ13,"&lt;="&amp;TODAY())</f>
        <v/>
      </c>
      <c r="D11" s="117" t="inlineStr">
        <is>
          <t>Actuals</t>
        </is>
      </c>
      <c r="E11" s="110">
        <f>SUM(J11:X11,Y12:AM12)</f>
        <v/>
      </c>
      <c r="F11" s="110">
        <f>SUM(AN12:BQ12)</f>
        <v/>
      </c>
      <c r="G11" s="111">
        <f>SUM(J11:X11,Y12:BQ12)</f>
        <v/>
      </c>
      <c r="H11" s="140" t="inlineStr">
        <is>
          <t xml:space="preserve">P3 Actuals: </t>
        </is>
      </c>
      <c r="I11" s="150" t="n"/>
      <c r="J11" s="151">
        <f t="array" ref="J11">SUM(M15:M25)+SUM(_xlfn._xlws.FILTER(L15:L25,M15:M25=""))+SUM(_xlfn._xlws.FILTER(K15:K25,(L15:L25="")*(M15:M25="")))+SUMIFS(N15:N25,M15:M25,"&lt;&gt;"&amp;"",$L$15:$L$25,"&lt;&gt;"&amp;"")+SUM(J15:J25)</f>
        <v/>
      </c>
      <c r="K11" s="152" t="n"/>
      <c r="L11" s="152" t="n"/>
      <c r="M11" s="152" t="n"/>
      <c r="N11" s="153" t="n"/>
      <c r="O11" s="151">
        <f t="array" ref="O11">SUM(R15:R25)+SUM(_xlfn._xlws.FILTER(Q15:Q25,R15:R25=""))+SUM(_xlfn._xlws.FILTER(P15:P25,(Q15:Q25="")*(R15:R25="")))+SUMIFS(S15:S25,R15:R25,"&lt;&gt;"&amp;"",$L$15:$L$25,"&lt;&gt;"&amp;"")+SUM(O15:O25)</f>
        <v/>
      </c>
      <c r="P11" s="152" t="n"/>
      <c r="Q11" s="152" t="n"/>
      <c r="R11" s="152" t="n"/>
      <c r="S11" s="153" t="n"/>
      <c r="T11" s="151">
        <f t="array" ref="T11">SUM(W15:W25)+SUM(_xlfn._xlws.FILTER(V15:V25,W15:W25=""))+SUM(_xlfn._xlws.FILTER(U15:U25,(V15:V25="")*(W15:W25="")))+SUMIFS(X15:X25,W15:W25,"&lt;&gt;"&amp;"",$L$15:$L$25,"&lt;&gt;"&amp;"")+SUM(T15:T25)</f>
        <v/>
      </c>
      <c r="U11" s="152" t="n"/>
      <c r="V11" s="152" t="n"/>
      <c r="W11" s="152" t="n"/>
      <c r="X11" s="153" t="n"/>
      <c r="Y11" s="151">
        <f t="array" ref="Y11">SUM(AB15:AB25)+SUM(_xlfn._xlws.FILTER(AA15:AA25,AB15:AB25=""))+SUM(_xlfn._xlws.FILTER(Z15:Z25,(AA15:AA25="")*(AB15:AB25="")))+SUMIFS(AC15:AC25,AB15:AB25,"&lt;&gt;"&amp;"",$L$15:$L$25,"&lt;&gt;"&amp;"")+SUM(Y15:Y25)</f>
        <v/>
      </c>
      <c r="Z11" s="152" t="n"/>
      <c r="AA11" s="152" t="n"/>
      <c r="AB11" s="152" t="n"/>
      <c r="AC11" s="153" t="n"/>
      <c r="AD11" s="151">
        <f t="array" ref="AD11">SUM(AG15:AG25)+SUM(_xlfn._xlws.FILTER(AF15:AF25,AG15:AG25=""))+SUM(_xlfn._xlws.FILTER(AE15:AE25,(AF15:AF25="")*(AG15:AG25="")))+SUMIFS(AH15:AH25,AG15:AG25,"&lt;&gt;"&amp;"",$L$15:$L$25,"&lt;&gt;"&amp;"")+SUM(AD15:AD25)</f>
        <v/>
      </c>
      <c r="AE11" s="152" t="n"/>
      <c r="AF11" s="152" t="n"/>
      <c r="AG11" s="152" t="n"/>
      <c r="AH11" s="153" t="n"/>
      <c r="AI11" s="151">
        <f t="array" ref="AI11">SUM(AL15:AL25)+SUM(_xlfn._xlws.FILTER(AK15:AK25,AL15:AL25=""))+SUM(_xlfn._xlws.FILTER(AJ15:AJ25,(AK15:AK25="")*(AL15:AL25="")))+SUMIFS(AM15:AM25,AL15:AL25,"&lt;&gt;"&amp;"",$L$15:$L$25,"&lt;&gt;"&amp;"")+SUM(AI15:AI25)</f>
        <v/>
      </c>
      <c r="AJ11" s="152" t="n"/>
      <c r="AK11" s="152" t="n"/>
      <c r="AL11" s="152" t="n"/>
      <c r="AM11" s="153" t="n"/>
      <c r="AN11" s="151">
        <f t="array" ref="AN11">SUM(AQ15:AQ25)+SUM(_xlfn._xlws.FILTER(AP15:AP25,AQ15:AQ25=""))+SUM(_xlfn._xlws.FILTER(AO15:AO25,(AP15:AP25="")*(AQ15:AQ25="")))+SUMIFS(AR15:AR25,AQ15:AQ25,"&lt;&gt;"&amp;"",$L$15:$L$25,"&lt;&gt;"&amp;"")+SUM(AN15:AN25)</f>
        <v/>
      </c>
      <c r="AO11" s="152" t="n"/>
      <c r="AP11" s="152" t="n"/>
      <c r="AQ11" s="152" t="n"/>
      <c r="AR11" s="153" t="n"/>
      <c r="AS11" s="151">
        <f t="array" ref="AS11">SUM(AV15:AV25)+SUM(_xlfn._xlws.FILTER(AU15:AU25,AV15:AV25=""))+SUM(_xlfn._xlws.FILTER(AT15:AT25,(AU15:AU25="")*(AV15:AV25="")))+SUMIFS(AW15:AW25,AV15:AV25,"&lt;&gt;"&amp;"",$L$15:$L$25,"&lt;&gt;"&amp;"")+SUM(AS15:AS25)</f>
        <v/>
      </c>
      <c r="AT11" s="152" t="n"/>
      <c r="AU11" s="152" t="n"/>
      <c r="AV11" s="152" t="n"/>
      <c r="AW11" s="153" t="n"/>
      <c r="AX11" s="151">
        <f t="array" ref="AX11">SUM(BA15:BA25)+SUM(_xlfn._xlws.FILTER(AZ15:AZ25,BA15:BA25=""))+SUM(_xlfn._xlws.FILTER(AY15:AY25,(AZ15:AZ25="")*(BA15:BA25="")))+SUMIFS(BB15:BB25,BA15:BA25,"&lt;&gt;"&amp;"",$L$15:$L$25,"&lt;&gt;"&amp;"")+SUM(AX15:AX25)</f>
        <v/>
      </c>
      <c r="AY11" s="152" t="n"/>
      <c r="AZ11" s="152" t="n"/>
      <c r="BA11" s="152" t="n"/>
      <c r="BB11" s="153" t="n"/>
      <c r="BC11" s="151">
        <f t="array" ref="BC11">SUM(BF15:BF25)+SUM(_xlfn._xlws.FILTER(BE15:BE25,BF15:BF25=""))+SUM(_xlfn._xlws.FILTER(BD15:BD25,(BE15:BE25="")*(BF15:BF25="")))+SUMIFS(BG15:BG25,BF15:BF25,"&lt;&gt;"&amp;"",$L$15:$L$25,"&lt;&gt;"&amp;"")+SUM(BC15:BC25)</f>
        <v/>
      </c>
      <c r="BD11" s="152" t="n"/>
      <c r="BE11" s="152" t="n"/>
      <c r="BF11" s="152" t="n"/>
      <c r="BG11" s="153" t="n"/>
      <c r="BH11" s="151">
        <f t="array" ref="BH11">SUM(BK15:BK25)+SUM(_xlfn._xlws.FILTER(BJ15:BJ25,BK15:BK25=""))+SUM(_xlfn._xlws.FILTER(BI15:BI25,(BJ15:BJ25="")*(BK15:BK25="")))+SUMIFS(BL15:BL25,BK15:BK25,"&lt;&gt;"&amp;"",$L$15:$L$25,"&lt;&gt;"&amp;"")+SUM(BH15:BH25)</f>
        <v/>
      </c>
      <c r="BI11" s="152" t="n"/>
      <c r="BJ11" s="152" t="n"/>
      <c r="BK11" s="152" t="n"/>
      <c r="BL11" s="153" t="n"/>
      <c r="BM11" s="151">
        <f t="array" ref="BM11">SUM(BP15:BP25)+SUM(_xlfn._xlws.FILTER(BO15:BO25,BP15:BP25=""))+SUM(_xlfn._xlws.FILTER(BN15:BN25,(BO15:BO25="")*(BP15:BP25="")))+SUMIFS(BQ15:BQ25,BP15:BP25,"&lt;&gt;"&amp;"",$L$15:$L$25,"&lt;&gt;"&amp;"")+SUM(BM15:BM25)</f>
        <v/>
      </c>
      <c r="BN11" s="152" t="n"/>
      <c r="BO11" s="152" t="n"/>
      <c r="BP11" s="152" t="n"/>
      <c r="BQ11" s="153" t="n"/>
      <c r="BR11" s="21" t="inlineStr">
        <is>
          <t>Total:</t>
        </is>
      </c>
      <c r="BS11" s="22">
        <f>BS13-BR13</f>
        <v/>
      </c>
    </row>
    <row r="12" ht="15.75" customHeight="1" thickBot="1">
      <c r="A12" s="20" t="inlineStr">
        <is>
          <t xml:space="preserve">Remaining Spend </t>
        </is>
      </c>
      <c r="B12" s="114">
        <f>C4-B11</f>
        <v/>
      </c>
      <c r="D12" s="118" t="inlineStr">
        <is>
          <t>Variance</t>
        </is>
      </c>
      <c r="E12" s="112">
        <f>E11-E10</f>
        <v/>
      </c>
      <c r="F12" s="112">
        <f>F11-F10</f>
        <v/>
      </c>
      <c r="G12" s="113">
        <f>G11-G10</f>
        <v/>
      </c>
      <c r="H12" s="142" t="inlineStr">
        <is>
          <t xml:space="preserve">Forecast Spreadsheet Actuals: </t>
        </is>
      </c>
      <c r="I12" s="150" t="n"/>
      <c r="J12" s="151">
        <f t="array" ref="J12">SUM(M15:M25)+SUM(_xlfn._xlws.FILTER(L15:L25,M15:M25=""))+SUM(_xlfn._xlws.FILTER(K15:K25,(L15:L25="")*(M15:M25="")))</f>
        <v/>
      </c>
      <c r="K12" s="152" t="n"/>
      <c r="L12" s="152" t="n"/>
      <c r="M12" s="152" t="n"/>
      <c r="N12" s="153" t="n"/>
      <c r="O12" s="151">
        <f t="array" ref="O12">SUM(R15:R25)+SUM(_xlfn._xlws.FILTER(Q15:Q25,R15:R25=""))+SUM(_xlfn._xlws.FILTER(P15:P25,(Q15:Q25="")*(R15:R25="")))</f>
        <v/>
      </c>
      <c r="P12" s="152" t="n"/>
      <c r="Q12" s="152" t="n"/>
      <c r="R12" s="152" t="n"/>
      <c r="S12" s="153" t="n"/>
      <c r="T12" s="151">
        <f t="array" ref="T12">SUM(W15:W25)+SUM(_xlfn._xlws.FILTER(V15:V25,W15:W25=""))+SUM(_xlfn._xlws.FILTER(U15:U25,(V15:V25="")*(W15:W25="")))</f>
        <v/>
      </c>
      <c r="U12" s="152" t="n"/>
      <c r="V12" s="152" t="n"/>
      <c r="W12" s="152" t="n"/>
      <c r="X12" s="153" t="n"/>
      <c r="Y12" s="151">
        <f t="array" ref="Y12">SUM(AB15:AB25)+SUM(_xlfn._xlws.FILTER(AA15:AA25,AB15:AB25=""))+SUM(_xlfn._xlws.FILTER(Z15:Z25,(AA15:AA25="")*(AB15:AB25="")))</f>
        <v/>
      </c>
      <c r="Z12" s="152" t="n"/>
      <c r="AA12" s="152" t="n"/>
      <c r="AB12" s="152" t="n"/>
      <c r="AC12" s="153" t="n"/>
      <c r="AD12" s="151">
        <f t="array" ref="AD12">SUM(AG15:AG25)+SUM(_xlfn._xlws.FILTER(AF15:AF25,AG15:AG25=""))+SUM(_xlfn._xlws.FILTER(AE15:AE25,(AF15:AF25="")*(AG15:AG25="")))</f>
        <v/>
      </c>
      <c r="AE12" s="152" t="n"/>
      <c r="AF12" s="152" t="n"/>
      <c r="AG12" s="152" t="n"/>
      <c r="AH12" s="153" t="n"/>
      <c r="AI12" s="151">
        <f t="array" ref="AI12">SUM(AL15:AL25)+SUM(_xlfn._xlws.FILTER(AK15:AK25,AL15:AL25=""))+SUM(_xlfn._xlws.FILTER(AJ15:AJ25,(AK15:AK25="")*(AL15:AL25="")))</f>
        <v/>
      </c>
      <c r="AJ12" s="152" t="n"/>
      <c r="AK12" s="152" t="n"/>
      <c r="AL12" s="152" t="n"/>
      <c r="AM12" s="153" t="n"/>
      <c r="AN12" s="151">
        <f t="array" ref="AN12">SUM(AQ15:AQ25)+SUM(_xlfn._xlws.FILTER(AP15:AP25,AQ15:AQ25=""))+SUM(_xlfn._xlws.FILTER(AO15:AO25,(AP15:AP25="")*(AQ15:AQ25="")))</f>
        <v/>
      </c>
      <c r="AO12" s="152" t="n"/>
      <c r="AP12" s="152" t="n"/>
      <c r="AQ12" s="152" t="n"/>
      <c r="AR12" s="153" t="n"/>
      <c r="AS12" s="151">
        <f t="array" ref="AS12">SUM(AV15:AV25)+SUM(_xlfn._xlws.FILTER(AU15:AU25,AV15:AV25=""))+SUM(_xlfn._xlws.FILTER(AT15:AT25,(AU15:AU25="")*(AV15:AV25="")))</f>
        <v/>
      </c>
      <c r="AT12" s="152" t="n"/>
      <c r="AU12" s="152" t="n"/>
      <c r="AV12" s="152" t="n"/>
      <c r="AW12" s="153" t="n"/>
      <c r="AX12" s="151">
        <f t="array" ref="AX12">SUM(BA15:BA25)+SUM(_xlfn._xlws.FILTER(AZ15:AZ25,BA15:BA25=""))+SUM(_xlfn._xlws.FILTER(AY15:AY25,(AZ15:AZ25="")*(BA15:BA25="")))</f>
        <v/>
      </c>
      <c r="AY12" s="152" t="n"/>
      <c r="AZ12" s="152" t="n"/>
      <c r="BA12" s="152" t="n"/>
      <c r="BB12" s="153" t="n"/>
      <c r="BC12" s="151">
        <f t="array" ref="BC12">SUM(BF15:BF25)+SUM(_xlfn._xlws.FILTER(BE15:BE25,BF15:BF25=""))+SUM(_xlfn._xlws.FILTER(BD15:BD25,(BE15:BE25="")*(BF15:BF25="")))</f>
        <v/>
      </c>
      <c r="BD12" s="152" t="n"/>
      <c r="BE12" s="152" t="n"/>
      <c r="BF12" s="152" t="n"/>
      <c r="BG12" s="153" t="n"/>
      <c r="BH12" s="151">
        <f t="array" ref="BH12">SUM(BK15:BK25)+SUM(_xlfn._xlws.FILTER(BJ15:BJ25,BK15:BK25=""))+SUM(_xlfn._xlws.FILTER(BI15:BI25,(BJ15:BJ25="")*(BK15:BK25="")))</f>
        <v/>
      </c>
      <c r="BI12" s="152" t="n"/>
      <c r="BJ12" s="152" t="n"/>
      <c r="BK12" s="152" t="n"/>
      <c r="BL12" s="153" t="n"/>
      <c r="BM12" s="151">
        <f t="array" ref="BM12">SUM(BP15:BP25)+SUM(_xlfn._xlws.FILTER(BO15:BO25,BP15:BP25=""))+SUM(_xlfn._xlws.FILTER(BN15:BN25,(BO15:BO25="")*(BP15:BP25="")))</f>
        <v/>
      </c>
      <c r="BN12" s="152" t="n"/>
      <c r="BO12" s="152" t="n"/>
      <c r="BP12" s="152" t="n"/>
      <c r="BQ12" s="153" t="n"/>
      <c r="BR12" s="21" t="n"/>
      <c r="BS12" s="22" t="n"/>
    </row>
    <row r="13" ht="16.5" customHeight="1" thickBot="1">
      <c r="A13" s="23" t="inlineStr">
        <is>
          <t>EXPENSE</t>
        </is>
      </c>
      <c r="H13" s="144" t="inlineStr">
        <is>
          <t xml:space="preserve">Month: </t>
        </is>
      </c>
      <c r="I13" s="154" t="n"/>
      <c r="J13" s="155" t="n">
        <v>45688</v>
      </c>
      <c r="K13" s="152" t="n"/>
      <c r="L13" s="152" t="n"/>
      <c r="M13" s="152" t="n"/>
      <c r="N13" s="152" t="n"/>
      <c r="O13" s="156" t="inlineStr">
        <is>
          <t>2/29/2025</t>
        </is>
      </c>
      <c r="P13" s="152" t="n"/>
      <c r="Q13" s="152" t="n"/>
      <c r="R13" s="152" t="n"/>
      <c r="S13" s="153" t="n"/>
      <c r="T13" s="156" t="n">
        <v>45747</v>
      </c>
      <c r="U13" s="152" t="n"/>
      <c r="V13" s="152" t="n"/>
      <c r="W13" s="152" t="n"/>
      <c r="X13" s="153" t="n"/>
      <c r="Y13" s="156" t="n">
        <v>45777</v>
      </c>
      <c r="Z13" s="152" t="n"/>
      <c r="AA13" s="152" t="n"/>
      <c r="AB13" s="152" t="n"/>
      <c r="AC13" s="153" t="n"/>
      <c r="AD13" s="156" t="n">
        <v>45808</v>
      </c>
      <c r="AE13" s="152" t="n"/>
      <c r="AF13" s="152" t="n"/>
      <c r="AG13" s="152" t="n"/>
      <c r="AH13" s="153" t="n"/>
      <c r="AI13" s="156" t="n">
        <v>45838</v>
      </c>
      <c r="AJ13" s="152" t="n"/>
      <c r="AK13" s="152" t="n"/>
      <c r="AL13" s="152" t="n"/>
      <c r="AM13" s="153" t="n"/>
      <c r="AN13" s="156" t="n">
        <v>45869</v>
      </c>
      <c r="AO13" s="152" t="n"/>
      <c r="AP13" s="152" t="n"/>
      <c r="AQ13" s="152" t="n"/>
      <c r="AR13" s="153" t="n"/>
      <c r="AS13" s="156" t="n">
        <v>45900</v>
      </c>
      <c r="AT13" s="152" t="n"/>
      <c r="AU13" s="152" t="n"/>
      <c r="AV13" s="152" t="n"/>
      <c r="AW13" s="153" t="n"/>
      <c r="AX13" s="156" t="n">
        <v>45930</v>
      </c>
      <c r="AY13" s="152" t="n"/>
      <c r="AZ13" s="152" t="n"/>
      <c r="BA13" s="152" t="n"/>
      <c r="BB13" s="153" t="n"/>
      <c r="BC13" s="156" t="n">
        <v>45961</v>
      </c>
      <c r="BD13" s="152" t="n"/>
      <c r="BE13" s="152" t="n"/>
      <c r="BF13" s="152" t="n"/>
      <c r="BG13" s="153" t="n"/>
      <c r="BH13" s="156" t="n">
        <v>45991</v>
      </c>
      <c r="BI13" s="152" t="n"/>
      <c r="BJ13" s="152" t="n"/>
      <c r="BK13" s="152" t="n"/>
      <c r="BL13" s="153" t="n"/>
      <c r="BM13" s="156" t="n">
        <v>46022</v>
      </c>
      <c r="BN13" s="152" t="n"/>
      <c r="BO13" s="152" t="n"/>
      <c r="BP13" s="152" t="n"/>
      <c r="BQ13" s="153" t="n"/>
      <c r="BR13" s="24">
        <f>SUM(BR15:BR24)</f>
        <v/>
      </c>
      <c r="BS13" s="25" t="n"/>
      <c r="BU13" s="19" t="n"/>
    </row>
    <row r="14" ht="60.75" customHeight="1" thickBot="1">
      <c r="A14" s="26" t="inlineStr">
        <is>
          <t>Contact for PO/ER</t>
        </is>
      </c>
      <c r="B14" s="27" t="inlineStr">
        <is>
          <t>PO Number/
ER Number</t>
        </is>
      </c>
      <c r="C14" s="27" t="inlineStr">
        <is>
          <t>PO Start Date</t>
        </is>
      </c>
      <c r="D14" s="157" t="inlineStr">
        <is>
          <t>PO end date</t>
        </is>
      </c>
      <c r="E14" s="29" t="inlineStr">
        <is>
          <t>Vendor Name</t>
        </is>
      </c>
      <c r="F14" s="27" t="inlineStr">
        <is>
          <t>G/L Account</t>
        </is>
      </c>
      <c r="G14" s="158" t="inlineStr">
        <is>
          <t>Gross PO Value  (USD)</t>
        </is>
      </c>
      <c r="H14" s="31" t="inlineStr">
        <is>
          <t>Requisition 
Title</t>
        </is>
      </c>
      <c r="I14" s="32" t="inlineStr">
        <is>
          <t>PO Status</t>
        </is>
      </c>
      <c r="J14" s="159" t="inlineStr">
        <is>
          <t>Accrual Reversal Dec</t>
        </is>
      </c>
      <c r="K14" s="160" t="inlineStr">
        <is>
          <t>Forecast Jan</t>
        </is>
      </c>
      <c r="L14" s="160" t="inlineStr">
        <is>
          <t>Accrual Jan</t>
        </is>
      </c>
      <c r="M14" s="160" t="inlineStr">
        <is>
          <t>Actual   Jan</t>
        </is>
      </c>
      <c r="N14" s="161" t="inlineStr">
        <is>
          <t>Variance (Actuals/Accruals</t>
        </is>
      </c>
      <c r="O14" s="159" t="inlineStr">
        <is>
          <t>Accrual Reversal Jan</t>
        </is>
      </c>
      <c r="P14" s="160" t="inlineStr">
        <is>
          <t>Forecast Feb</t>
        </is>
      </c>
      <c r="Q14" s="160" t="inlineStr">
        <is>
          <t>Accrual Feb</t>
        </is>
      </c>
      <c r="R14" s="162" t="inlineStr">
        <is>
          <t>Actual   Feb</t>
        </is>
      </c>
      <c r="S14" s="163" t="inlineStr">
        <is>
          <t>Variance (Actuals/Accruals</t>
        </is>
      </c>
      <c r="T14" s="159" t="inlineStr">
        <is>
          <t>Accrual Reversal Feb</t>
        </is>
      </c>
      <c r="U14" s="160" t="inlineStr">
        <is>
          <t>Forecast March</t>
        </is>
      </c>
      <c r="V14" s="160" t="inlineStr">
        <is>
          <t>Accrual March</t>
        </is>
      </c>
      <c r="W14" s="162" t="inlineStr">
        <is>
          <t>Actual March</t>
        </is>
      </c>
      <c r="X14" s="163" t="inlineStr">
        <is>
          <t>Variance (Actuals/Accruals</t>
        </is>
      </c>
      <c r="Y14" s="159" t="inlineStr">
        <is>
          <t>Accrual Reversal Mar</t>
        </is>
      </c>
      <c r="Z14" s="160" t="inlineStr">
        <is>
          <t>Forecast April</t>
        </is>
      </c>
      <c r="AA14" s="160" t="inlineStr">
        <is>
          <t>Accrual April</t>
        </is>
      </c>
      <c r="AB14" s="162" t="inlineStr">
        <is>
          <t>Actual April</t>
        </is>
      </c>
      <c r="AC14" s="163" t="inlineStr">
        <is>
          <t>Variance (Actuals/Accruals</t>
        </is>
      </c>
      <c r="AD14" s="159" t="inlineStr">
        <is>
          <t>Accrual Reversal Apr</t>
        </is>
      </c>
      <c r="AE14" s="160" t="inlineStr">
        <is>
          <t>Forecast May</t>
        </is>
      </c>
      <c r="AF14" s="160" t="inlineStr">
        <is>
          <t>Accrual May</t>
        </is>
      </c>
      <c r="AG14" s="162" t="inlineStr">
        <is>
          <t>Accrual May</t>
        </is>
      </c>
      <c r="AH14" s="163" t="inlineStr">
        <is>
          <t>Variance (Actuals/Accruals</t>
        </is>
      </c>
      <c r="AI14" s="159" t="inlineStr">
        <is>
          <t>Accrual Reversal May</t>
        </is>
      </c>
      <c r="AJ14" s="160" t="inlineStr">
        <is>
          <t>Forecast June</t>
        </is>
      </c>
      <c r="AK14" s="160" t="inlineStr">
        <is>
          <t>Accrual   June</t>
        </is>
      </c>
      <c r="AL14" s="162" t="inlineStr">
        <is>
          <t>Actual June</t>
        </is>
      </c>
      <c r="AM14" s="163" t="inlineStr">
        <is>
          <t>Variance (Actuals/Accruals</t>
        </is>
      </c>
      <c r="AN14" s="159" t="inlineStr">
        <is>
          <t>Accrual Reversal Jun</t>
        </is>
      </c>
      <c r="AO14" s="160" t="inlineStr">
        <is>
          <t>Forecast July</t>
        </is>
      </c>
      <c r="AP14" s="160" t="inlineStr">
        <is>
          <t>Accrual July</t>
        </is>
      </c>
      <c r="AQ14" s="162" t="inlineStr">
        <is>
          <t>Actual  July</t>
        </is>
      </c>
      <c r="AR14" s="163" t="inlineStr">
        <is>
          <t>Variance (Actuals/Accruals</t>
        </is>
      </c>
      <c r="AS14" s="159" t="inlineStr">
        <is>
          <t>Accrual Reversal Jul</t>
        </is>
      </c>
      <c r="AT14" s="160" t="inlineStr">
        <is>
          <t>Forecast Aug</t>
        </is>
      </c>
      <c r="AU14" s="160" t="inlineStr">
        <is>
          <t>Accrual Aug</t>
        </is>
      </c>
      <c r="AV14" s="162" t="inlineStr">
        <is>
          <t>Actual Aug</t>
        </is>
      </c>
      <c r="AW14" s="163" t="inlineStr">
        <is>
          <t>Variance (Actuals/Accruals</t>
        </is>
      </c>
      <c r="AX14" s="159" t="inlineStr">
        <is>
          <t>Accrual Reversal Aug</t>
        </is>
      </c>
      <c r="AY14" s="160" t="inlineStr">
        <is>
          <t>Forecast Sept</t>
        </is>
      </c>
      <c r="AZ14" s="160" t="inlineStr">
        <is>
          <t>Accrual Sept</t>
        </is>
      </c>
      <c r="BA14" s="162" t="inlineStr">
        <is>
          <t>Actual Sept</t>
        </is>
      </c>
      <c r="BB14" s="163" t="inlineStr">
        <is>
          <t>Variance (Actuals/Accruals</t>
        </is>
      </c>
      <c r="BC14" s="159" t="inlineStr">
        <is>
          <t>Accrual Reversal Sep</t>
        </is>
      </c>
      <c r="BD14" s="160" t="inlineStr">
        <is>
          <t>Forecast Oct</t>
        </is>
      </c>
      <c r="BE14" s="160" t="inlineStr">
        <is>
          <t>Accrual Oct</t>
        </is>
      </c>
      <c r="BF14" s="162" t="inlineStr">
        <is>
          <t xml:space="preserve">Actual Oct  </t>
        </is>
      </c>
      <c r="BG14" s="163" t="inlineStr">
        <is>
          <t>Variance (Actuals/Accruals</t>
        </is>
      </c>
      <c r="BH14" s="159" t="inlineStr">
        <is>
          <t>Accrual Reversal Oct</t>
        </is>
      </c>
      <c r="BI14" s="160" t="inlineStr">
        <is>
          <t>Forecast Nov</t>
        </is>
      </c>
      <c r="BJ14" s="160" t="inlineStr">
        <is>
          <t>Accrual Nov</t>
        </is>
      </c>
      <c r="BK14" s="162" t="inlineStr">
        <is>
          <t>Actual Nov</t>
        </is>
      </c>
      <c r="BL14" s="163" t="inlineStr">
        <is>
          <t>Variance (Actuals/Accruals</t>
        </is>
      </c>
      <c r="BM14" s="159" t="inlineStr">
        <is>
          <t>Accrual Reversal Nov</t>
        </is>
      </c>
      <c r="BN14" s="160" t="inlineStr">
        <is>
          <t>Forecast Dec</t>
        </is>
      </c>
      <c r="BO14" s="160" t="inlineStr">
        <is>
          <t xml:space="preserve">Accrual Dec </t>
        </is>
      </c>
      <c r="BP14" s="162" t="inlineStr">
        <is>
          <t>Actual Dec</t>
        </is>
      </c>
      <c r="BQ14" s="163" t="inlineStr">
        <is>
          <t>Variance (Actuals/Accruals</t>
        </is>
      </c>
      <c r="BR14" s="164" t="inlineStr">
        <is>
          <t>Total 2023</t>
        </is>
      </c>
      <c r="BS14" s="158" t="inlineStr">
        <is>
          <t>CPA Budget &lt;YEAR&gt;</t>
        </is>
      </c>
      <c r="BT14" s="38" t="inlineStr">
        <is>
          <t>Comments</t>
        </is>
      </c>
    </row>
    <row r="15">
      <c r="A15" s="125" t="n"/>
      <c r="B15" s="127" t="inlineStr">
        <is>
          <t>9500879389</t>
        </is>
      </c>
      <c r="C15" s="126" t="n"/>
      <c r="D15" s="126" t="n"/>
      <c r="E15" s="127" t="n"/>
      <c r="F15" s="127" t="n"/>
      <c r="G15" s="165" t="n"/>
      <c r="H15" s="129" t="n"/>
      <c r="I15" s="130" t="n"/>
      <c r="J15" s="40" t="n">
        <v>0</v>
      </c>
      <c r="K15" s="39" t="n">
        <v>14487.5</v>
      </c>
      <c r="L15" s="39" t="n">
        <v>0</v>
      </c>
      <c r="M15" s="41" t="n">
        <v>13822.5</v>
      </c>
      <c r="N15" s="41">
        <f>L15-M15</f>
        <v/>
      </c>
      <c r="O15" s="40" t="n">
        <v>0</v>
      </c>
      <c r="P15" s="39" t="n">
        <v>10212.5</v>
      </c>
      <c r="Q15" s="39" t="n">
        <v>19385.28</v>
      </c>
      <c r="R15" s="41" t="n">
        <v>17100</v>
      </c>
      <c r="S15" s="42">
        <f>Q15-R15</f>
        <v/>
      </c>
      <c r="T15" s="43" t="n">
        <v>-19385.28</v>
      </c>
      <c r="U15" s="39" t="n">
        <v>21375</v>
      </c>
      <c r="V15" s="39" t="n">
        <v>22813.72</v>
      </c>
      <c r="W15" s="41" t="n">
        <v>20425</v>
      </c>
      <c r="X15" s="50">
        <f>V15-W15</f>
        <v/>
      </c>
      <c r="Y15" s="43" t="n">
        <v>-22813.72</v>
      </c>
      <c r="Z15" s="39" t="n">
        <v>15390</v>
      </c>
      <c r="AA15" s="39" t="n">
        <v>19294.5</v>
      </c>
      <c r="AB15" s="41" t="n">
        <v>15247.5</v>
      </c>
      <c r="AC15" s="50">
        <f>AA15-AB15</f>
        <v/>
      </c>
      <c r="AD15" s="43" t="n">
        <v>-19294.5</v>
      </c>
      <c r="AE15" s="39" t="n">
        <v>17100</v>
      </c>
      <c r="AF15" s="39" t="n">
        <v>20952.78</v>
      </c>
      <c r="AG15" s="41" t="n">
        <v>11162.5</v>
      </c>
      <c r="AH15" s="50">
        <f>AF15-AG15</f>
        <v/>
      </c>
      <c r="AI15" s="43" t="n">
        <v>-20952.78</v>
      </c>
      <c r="AJ15" s="39" t="n">
        <v>21375</v>
      </c>
      <c r="AK15" s="39" t="n">
        <v>30922.5</v>
      </c>
      <c r="AL15" s="41" t="n">
        <v>16862.5</v>
      </c>
      <c r="AM15" s="50">
        <f>AK15-AL15</f>
        <v/>
      </c>
      <c r="AN15" s="43" t="n">
        <v>-30922.5</v>
      </c>
      <c r="AO15" s="39" t="n">
        <v>855</v>
      </c>
      <c r="AP15" s="39" t="n">
        <v>14060</v>
      </c>
      <c r="AQ15" s="41" t="n">
        <v>427.5</v>
      </c>
      <c r="AR15" s="50">
        <f>AP15-AQ15</f>
        <v/>
      </c>
      <c r="AS15" s="43" t="n">
        <v>-14060</v>
      </c>
      <c r="AT15" s="39" t="n">
        <v>0</v>
      </c>
      <c r="AU15" s="39" t="n">
        <v>13632.5</v>
      </c>
      <c r="AV15" s="41" t="n">
        <v>0</v>
      </c>
      <c r="AW15" s="50">
        <f>AU15-AV15</f>
        <v/>
      </c>
      <c r="AX15" s="43" t="n">
        <v>-13632.5</v>
      </c>
      <c r="AY15" s="39" t="n">
        <v>0</v>
      </c>
      <c r="AZ15" s="39" t="n">
        <v>13632.5</v>
      </c>
      <c r="BA15" s="41" t="n">
        <v>0</v>
      </c>
      <c r="BB15" s="50">
        <f>AZ15-BA15</f>
        <v/>
      </c>
      <c r="BC15" s="43" t="n">
        <v>0</v>
      </c>
      <c r="BD15" s="39" t="n">
        <v>0</v>
      </c>
      <c r="BE15" s="39" t="n">
        <v>0</v>
      </c>
      <c r="BF15" s="41" t="n">
        <v>0</v>
      </c>
      <c r="BG15" s="50">
        <f>BE15-BF15</f>
        <v/>
      </c>
      <c r="BH15" s="43" t="n">
        <v>0</v>
      </c>
      <c r="BI15" s="39" t="n">
        <v>0</v>
      </c>
      <c r="BJ15" s="39" t="n">
        <v>0</v>
      </c>
      <c r="BK15" s="41" t="n">
        <v>0</v>
      </c>
      <c r="BL15" s="50">
        <f>BJ15-BK15</f>
        <v/>
      </c>
      <c r="BM15" s="43" t="n">
        <v>0</v>
      </c>
      <c r="BN15" s="39" t="n">
        <v>0</v>
      </c>
      <c r="BO15" s="39" t="n">
        <v>0</v>
      </c>
      <c r="BP15" s="41" t="n">
        <v>0</v>
      </c>
      <c r="BQ15" s="50">
        <f>BO15-BP15</f>
        <v/>
      </c>
      <c r="BR15" s="40">
        <f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/>
      </c>
      <c r="BS15" s="66" t="n"/>
      <c r="BT15" s="67" t="n"/>
    </row>
    <row r="16">
      <c r="A16" s="44" t="n"/>
      <c r="B16" s="132" t="inlineStr">
        <is>
          <t>9500882917</t>
        </is>
      </c>
      <c r="C16" s="131" t="n"/>
      <c r="D16" s="131" t="n"/>
      <c r="E16" s="132" t="n"/>
      <c r="F16" s="132" t="n"/>
      <c r="G16" s="166" t="n"/>
      <c r="H16" s="134" t="n"/>
      <c r="I16" s="135" t="n"/>
      <c r="J16" s="48" t="n">
        <v>0</v>
      </c>
      <c r="K16" s="46" t="n">
        <v>25857</v>
      </c>
      <c r="L16" s="46" t="n">
        <v>0</v>
      </c>
      <c r="M16" s="49" t="n">
        <v>34040</v>
      </c>
      <c r="N16" s="49" t="n"/>
      <c r="O16" s="48" t="n">
        <v>0</v>
      </c>
      <c r="P16" s="46" t="n">
        <v>30420</v>
      </c>
      <c r="Q16" s="46" t="n">
        <v>62210</v>
      </c>
      <c r="R16" s="49" t="n">
        <v>0</v>
      </c>
      <c r="S16" s="50" t="n"/>
      <c r="T16" s="51" t="n">
        <v>-78320</v>
      </c>
      <c r="U16" s="46" t="n">
        <v>60000</v>
      </c>
      <c r="V16" s="46" t="n">
        <v>121710</v>
      </c>
      <c r="W16" s="49" t="n">
        <v>58648</v>
      </c>
      <c r="X16" s="50" t="n"/>
      <c r="Y16" s="51" t="n">
        <v>-140172</v>
      </c>
      <c r="Z16" s="46" t="n">
        <v>48000</v>
      </c>
      <c r="AA16" s="46" t="n">
        <v>128172</v>
      </c>
      <c r="AB16" s="46" t="n">
        <v>20960</v>
      </c>
      <c r="AC16" s="50" t="n"/>
      <c r="AD16" s="51" t="n">
        <v>-130564</v>
      </c>
      <c r="AE16" s="46" t="n">
        <v>48000</v>
      </c>
      <c r="AF16" s="46" t="n">
        <v>158564</v>
      </c>
      <c r="AG16" s="46" t="n">
        <v>102760</v>
      </c>
      <c r="AH16" s="50" t="n"/>
      <c r="AI16" s="51" t="n">
        <v>-140102</v>
      </c>
      <c r="AJ16" s="46" t="n">
        <v>57600</v>
      </c>
      <c r="AK16" s="46" t="n">
        <v>117094</v>
      </c>
      <c r="AL16" s="46" t="n">
        <v>38368</v>
      </c>
      <c r="AM16" s="50" t="n"/>
      <c r="AN16" s="51" t="n">
        <v>-98592</v>
      </c>
      <c r="AO16" s="46" t="n">
        <v>2400</v>
      </c>
      <c r="AP16" s="46" t="n">
        <v>60224</v>
      </c>
      <c r="AQ16" s="46" t="n">
        <v>0</v>
      </c>
      <c r="AR16" s="50" t="n"/>
      <c r="AS16" s="51" t="n">
        <v>-60224</v>
      </c>
      <c r="AT16" s="46" t="n">
        <v>0</v>
      </c>
      <c r="AU16" s="46" t="n">
        <v>0</v>
      </c>
      <c r="AV16" s="46" t="n">
        <v>2400</v>
      </c>
      <c r="AW16" s="50" t="n"/>
      <c r="AX16" s="51" t="n">
        <v>0</v>
      </c>
      <c r="AY16" s="46" t="n">
        <v>0</v>
      </c>
      <c r="AZ16" s="46" t="n">
        <v>57824</v>
      </c>
      <c r="BA16" s="46" t="n">
        <v>0</v>
      </c>
      <c r="BB16" s="50" t="n"/>
      <c r="BC16" s="51" t="n">
        <v>0</v>
      </c>
      <c r="BD16" s="46" t="n">
        <v>0</v>
      </c>
      <c r="BE16" s="46" t="n">
        <v>0</v>
      </c>
      <c r="BF16" s="46" t="n">
        <v>0</v>
      </c>
      <c r="BG16" s="50" t="n"/>
      <c r="BH16" s="51" t="n">
        <v>0</v>
      </c>
      <c r="BI16" s="46" t="n">
        <v>0</v>
      </c>
      <c r="BJ16" s="46" t="n">
        <v>0</v>
      </c>
      <c r="BK16" s="46" t="n">
        <v>0</v>
      </c>
      <c r="BL16" s="50" t="n"/>
      <c r="BM16" s="51" t="n">
        <v>0</v>
      </c>
      <c r="BN16" s="46" t="n">
        <v>0</v>
      </c>
      <c r="BO16" s="46" t="n">
        <v>0</v>
      </c>
      <c r="BP16" s="46" t="n">
        <v>0</v>
      </c>
      <c r="BQ16" s="50" t="n"/>
      <c r="BR16" s="48" t="n"/>
      <c r="BS16" s="69" t="n"/>
      <c r="BT16" s="70" t="n"/>
    </row>
    <row r="17">
      <c r="A17" s="44" t="n"/>
      <c r="B17" s="45" t="n"/>
      <c r="C17" s="68" t="n"/>
      <c r="D17" s="68" t="n"/>
      <c r="E17" s="45" t="n"/>
      <c r="F17" s="45" t="n"/>
      <c r="G17" s="46" t="n"/>
      <c r="H17" s="45" t="n"/>
      <c r="I17" s="47" t="n"/>
      <c r="J17" s="52" t="n"/>
      <c r="K17" s="53" t="n"/>
      <c r="L17" s="53" t="n"/>
      <c r="M17" s="49" t="n"/>
      <c r="N17" s="49" t="n"/>
      <c r="O17" s="52" t="n"/>
      <c r="P17" s="46" t="n"/>
      <c r="Q17" s="46" t="n"/>
      <c r="R17" s="49" t="n"/>
      <c r="S17" s="50" t="n"/>
      <c r="T17" s="51" t="n"/>
      <c r="U17" s="46" t="n"/>
      <c r="V17" s="46" t="n"/>
      <c r="W17" s="54" t="n"/>
      <c r="X17" s="50" t="n"/>
      <c r="Y17" s="51" t="n"/>
      <c r="Z17" s="53" t="n"/>
      <c r="AA17" s="53" t="n"/>
      <c r="AB17" s="54" t="n"/>
      <c r="AC17" s="50" t="n"/>
      <c r="AD17" s="51" t="n"/>
      <c r="AE17" s="53" t="n"/>
      <c r="AF17" s="53" t="n"/>
      <c r="AG17" s="54" t="n"/>
      <c r="AH17" s="50" t="n"/>
      <c r="AI17" s="51" t="n"/>
      <c r="AJ17" s="53" t="n"/>
      <c r="AK17" s="53" t="n"/>
      <c r="AL17" s="54" t="n"/>
      <c r="AM17" s="50" t="n"/>
      <c r="AN17" s="51" t="n"/>
      <c r="AO17" s="53" t="n"/>
      <c r="AP17" s="53" t="n"/>
      <c r="AQ17" s="54" t="n"/>
      <c r="AR17" s="50" t="n"/>
      <c r="AS17" s="51" t="n"/>
      <c r="AT17" s="53" t="n"/>
      <c r="AU17" s="53" t="n"/>
      <c r="AV17" s="54" t="n"/>
      <c r="AW17" s="50" t="n"/>
      <c r="AX17" s="51" t="n"/>
      <c r="AY17" s="53" t="n"/>
      <c r="AZ17" s="53" t="n"/>
      <c r="BA17" s="54" t="n"/>
      <c r="BB17" s="50" t="n"/>
      <c r="BC17" s="51" t="n"/>
      <c r="BD17" s="53" t="n"/>
      <c r="BE17" s="53" t="n"/>
      <c r="BF17" s="54" t="n"/>
      <c r="BG17" s="50" t="n"/>
      <c r="BH17" s="51" t="n"/>
      <c r="BI17" s="53" t="n"/>
      <c r="BJ17" s="53" t="n"/>
      <c r="BK17" s="54" t="n"/>
      <c r="BL17" s="50" t="n"/>
      <c r="BM17" s="51" t="n"/>
      <c r="BN17" s="53" t="n"/>
      <c r="BO17" s="53" t="n"/>
      <c r="BP17" s="54" t="n"/>
      <c r="BQ17" s="50" t="n"/>
      <c r="BR17" s="48" t="n"/>
      <c r="BS17" s="69" t="n"/>
      <c r="BT17" s="70" t="n"/>
    </row>
    <row r="18">
      <c r="A18" s="44" t="n"/>
      <c r="B18" s="45" t="n"/>
      <c r="C18" s="68" t="n"/>
      <c r="D18" s="68" t="n"/>
      <c r="E18" s="45" t="n"/>
      <c r="F18" s="45" t="n"/>
      <c r="G18" s="46" t="n"/>
      <c r="H18" s="45" t="n"/>
      <c r="I18" s="47" t="n"/>
      <c r="J18" s="48" t="n"/>
      <c r="K18" s="46" t="n"/>
      <c r="L18" s="46" t="n"/>
      <c r="M18" s="49" t="n"/>
      <c r="N18" s="49" t="n"/>
      <c r="O18" s="48" t="n"/>
      <c r="P18" s="46" t="n"/>
      <c r="Q18" s="46" t="n"/>
      <c r="R18" s="49" t="n"/>
      <c r="S18" s="50" t="n"/>
      <c r="T18" s="51" t="n"/>
      <c r="U18" s="46" t="n"/>
      <c r="V18" s="46" t="n"/>
      <c r="W18" s="49" t="n"/>
      <c r="X18" s="50" t="n"/>
      <c r="Y18" s="51" t="n"/>
      <c r="Z18" s="46" t="n"/>
      <c r="AA18" s="46" t="n"/>
      <c r="AB18" s="49" t="n"/>
      <c r="AC18" s="50" t="n"/>
      <c r="AD18" s="51" t="n"/>
      <c r="AE18" s="46" t="n"/>
      <c r="AF18" s="46" t="n"/>
      <c r="AG18" s="49" t="n"/>
      <c r="AH18" s="50" t="n"/>
      <c r="AI18" s="51" t="n"/>
      <c r="AJ18" s="46" t="n"/>
      <c r="AK18" s="46" t="n"/>
      <c r="AL18" s="49" t="n"/>
      <c r="AM18" s="50" t="n"/>
      <c r="AN18" s="51" t="n"/>
      <c r="AO18" s="46" t="n"/>
      <c r="AP18" s="46" t="n"/>
      <c r="AQ18" s="49" t="n"/>
      <c r="AR18" s="50" t="n"/>
      <c r="AS18" s="51" t="n"/>
      <c r="AT18" s="46" t="n"/>
      <c r="AU18" s="46" t="n"/>
      <c r="AV18" s="49" t="n"/>
      <c r="AW18" s="50" t="n"/>
      <c r="AX18" s="51" t="n"/>
      <c r="AY18" s="46" t="n"/>
      <c r="AZ18" s="46" t="n"/>
      <c r="BA18" s="49" t="n"/>
      <c r="BB18" s="50" t="n"/>
      <c r="BC18" s="51" t="n"/>
      <c r="BD18" s="46" t="n"/>
      <c r="BE18" s="46" t="n"/>
      <c r="BF18" s="49" t="n"/>
      <c r="BG18" s="50" t="n"/>
      <c r="BH18" s="51" t="n"/>
      <c r="BI18" s="46" t="n"/>
      <c r="BJ18" s="46" t="n"/>
      <c r="BK18" s="49" t="n"/>
      <c r="BL18" s="50" t="n"/>
      <c r="BM18" s="51" t="n"/>
      <c r="BN18" s="46" t="n"/>
      <c r="BO18" s="46" t="n"/>
      <c r="BP18" s="49" t="n"/>
      <c r="BQ18" s="50" t="n"/>
      <c r="BR18" s="48" t="n"/>
      <c r="BS18" s="69" t="n"/>
      <c r="BT18" s="70" t="n"/>
    </row>
    <row r="19">
      <c r="A19" s="71" t="n"/>
      <c r="C19" s="68" t="n"/>
      <c r="D19" s="68" t="n"/>
      <c r="E19" s="45" t="n"/>
      <c r="F19" s="45" t="n"/>
      <c r="G19" s="46" t="n"/>
      <c r="H19" s="45" t="n"/>
      <c r="I19" s="47" t="n"/>
      <c r="J19" s="48" t="n"/>
      <c r="K19" s="46" t="n"/>
      <c r="L19" s="46" t="n"/>
      <c r="M19" s="49" t="n"/>
      <c r="N19" s="49" t="n"/>
      <c r="O19" s="48" t="n"/>
      <c r="P19" s="46" t="n"/>
      <c r="Q19" s="46" t="n"/>
      <c r="R19" s="49" t="n"/>
      <c r="S19" s="50" t="n"/>
      <c r="T19" s="51" t="n"/>
      <c r="U19" s="46" t="n"/>
      <c r="V19" s="46" t="n"/>
      <c r="W19" s="49" t="n"/>
      <c r="X19" s="50" t="n"/>
      <c r="Y19" s="51" t="n"/>
      <c r="Z19" s="46" t="n"/>
      <c r="AA19" s="46" t="n"/>
      <c r="AB19" s="46" t="n"/>
      <c r="AC19" s="50" t="n"/>
      <c r="AD19" s="51" t="n"/>
      <c r="AE19" s="46" t="n"/>
      <c r="AF19" s="46" t="n"/>
      <c r="AG19" s="46" t="n"/>
      <c r="AH19" s="50" t="n"/>
      <c r="AI19" s="51" t="n"/>
      <c r="AJ19" s="46" t="n"/>
      <c r="AK19" s="46" t="n"/>
      <c r="AL19" s="46" t="n"/>
      <c r="AM19" s="50" t="n"/>
      <c r="AN19" s="51" t="n"/>
      <c r="AO19" s="46" t="n"/>
      <c r="AP19" s="46" t="n"/>
      <c r="AQ19" s="46" t="n"/>
      <c r="AR19" s="50" t="n"/>
      <c r="AS19" s="51" t="n"/>
      <c r="AT19" s="46" t="n"/>
      <c r="AU19" s="46" t="n"/>
      <c r="AV19" s="46" t="n"/>
      <c r="AW19" s="50" t="n"/>
      <c r="AX19" s="51" t="n"/>
      <c r="AY19" s="46" t="n"/>
      <c r="AZ19" s="46" t="n"/>
      <c r="BA19" s="46" t="n"/>
      <c r="BB19" s="50" t="n"/>
      <c r="BC19" s="51" t="n"/>
      <c r="BD19" s="46" t="n"/>
      <c r="BE19" s="46" t="n"/>
      <c r="BF19" s="46" t="n"/>
      <c r="BG19" s="50" t="n"/>
      <c r="BH19" s="51" t="n"/>
      <c r="BI19" s="46" t="n"/>
      <c r="BJ19" s="46" t="n"/>
      <c r="BK19" s="46" t="n"/>
      <c r="BL19" s="50" t="n"/>
      <c r="BM19" s="51" t="n"/>
      <c r="BN19" s="46" t="n"/>
      <c r="BO19" s="46" t="n"/>
      <c r="BP19" s="46" t="n"/>
      <c r="BQ19" s="50" t="n"/>
      <c r="BR19" s="48" t="n"/>
      <c r="BS19" s="69" t="n"/>
      <c r="BT19" s="70" t="n"/>
    </row>
    <row r="20">
      <c r="A20" s="44" t="n"/>
      <c r="B20" s="45" t="n"/>
      <c r="C20" s="68" t="n"/>
      <c r="D20" s="68" t="n"/>
      <c r="E20" s="45" t="n"/>
      <c r="F20" s="45" t="n"/>
      <c r="G20" s="46" t="n"/>
      <c r="H20" s="45" t="n"/>
      <c r="I20" s="47" t="n"/>
      <c r="J20" s="48" t="n"/>
      <c r="K20" s="46" t="n"/>
      <c r="L20" s="46" t="n"/>
      <c r="M20" s="49" t="n"/>
      <c r="N20" s="49" t="n"/>
      <c r="O20" s="48" t="n"/>
      <c r="P20" s="46" t="n"/>
      <c r="Q20" s="46" t="n"/>
      <c r="R20" s="49" t="n"/>
      <c r="S20" s="50" t="n"/>
      <c r="T20" s="51" t="n"/>
      <c r="U20" s="46" t="n"/>
      <c r="V20" s="46" t="n"/>
      <c r="W20" s="49" t="n"/>
      <c r="X20" s="50" t="n"/>
      <c r="Y20" s="51" t="n"/>
      <c r="Z20" s="46" t="n"/>
      <c r="AA20" s="46" t="n"/>
      <c r="AB20" s="49" t="n"/>
      <c r="AC20" s="50" t="n"/>
      <c r="AD20" s="51" t="n"/>
      <c r="AE20" s="46" t="n"/>
      <c r="AF20" s="46" t="n"/>
      <c r="AG20" s="49" t="n"/>
      <c r="AH20" s="50" t="n"/>
      <c r="AI20" s="51" t="n"/>
      <c r="AJ20" s="46" t="n"/>
      <c r="AK20" s="46" t="n"/>
      <c r="AL20" s="49" t="n"/>
      <c r="AM20" s="50" t="n"/>
      <c r="AN20" s="51" t="n"/>
      <c r="AO20" s="46" t="n"/>
      <c r="AP20" s="46" t="n"/>
      <c r="AQ20" s="49" t="n"/>
      <c r="AR20" s="50" t="n"/>
      <c r="AS20" s="51" t="n"/>
      <c r="AT20" s="46" t="n"/>
      <c r="AU20" s="46" t="n"/>
      <c r="AV20" s="49" t="n"/>
      <c r="AW20" s="50" t="n"/>
      <c r="AX20" s="51" t="n"/>
      <c r="AY20" s="46" t="n"/>
      <c r="AZ20" s="46" t="n"/>
      <c r="BA20" s="49" t="n"/>
      <c r="BB20" s="50" t="n"/>
      <c r="BC20" s="51" t="n"/>
      <c r="BD20" s="46" t="n"/>
      <c r="BE20" s="46" t="n"/>
      <c r="BF20" s="49" t="n"/>
      <c r="BG20" s="50" t="n"/>
      <c r="BH20" s="51" t="n"/>
      <c r="BI20" s="46" t="n"/>
      <c r="BJ20" s="46" t="n"/>
      <c r="BK20" s="49" t="n"/>
      <c r="BL20" s="50" t="n"/>
      <c r="BM20" s="51" t="n"/>
      <c r="BN20" s="46" t="n"/>
      <c r="BO20" s="46" t="n"/>
      <c r="BP20" s="49" t="n"/>
      <c r="BQ20" s="50" t="n"/>
      <c r="BR20" s="48" t="n"/>
      <c r="BS20" s="69" t="n"/>
      <c r="BT20" s="70" t="n"/>
    </row>
    <row r="21">
      <c r="A21" s="44" t="n"/>
      <c r="B21" s="45" t="n"/>
      <c r="C21" s="68" t="n"/>
      <c r="D21" s="68" t="n"/>
      <c r="E21" s="45" t="n"/>
      <c r="F21" s="45" t="n"/>
      <c r="G21" s="46" t="n"/>
      <c r="H21" s="45" t="n"/>
      <c r="I21" s="47" t="n"/>
      <c r="J21" s="48" t="n"/>
      <c r="K21" s="46" t="n"/>
      <c r="L21" s="46" t="n"/>
      <c r="M21" s="49" t="n"/>
      <c r="N21" s="49" t="n"/>
      <c r="O21" s="48" t="n"/>
      <c r="P21" s="46" t="n"/>
      <c r="Q21" s="46" t="n"/>
      <c r="R21" s="49" t="n"/>
      <c r="S21" s="50" t="n"/>
      <c r="T21" s="51" t="n"/>
      <c r="U21" s="46" t="n"/>
      <c r="V21" s="46" t="n"/>
      <c r="W21" s="49" t="n"/>
      <c r="X21" s="50" t="n"/>
      <c r="Y21" s="51" t="n"/>
      <c r="Z21" s="46" t="n"/>
      <c r="AA21" s="46" t="n"/>
      <c r="AB21" s="49" t="n"/>
      <c r="AC21" s="50" t="n"/>
      <c r="AD21" s="51" t="n"/>
      <c r="AE21" s="46" t="n"/>
      <c r="AF21" s="46" t="n"/>
      <c r="AG21" s="49" t="n"/>
      <c r="AH21" s="50" t="n"/>
      <c r="AI21" s="51" t="n"/>
      <c r="AJ21" s="46" t="n"/>
      <c r="AK21" s="46" t="n"/>
      <c r="AL21" s="49" t="n"/>
      <c r="AM21" s="50" t="n"/>
      <c r="AN21" s="51" t="n"/>
      <c r="AO21" s="46" t="n"/>
      <c r="AP21" s="46" t="n"/>
      <c r="AQ21" s="49" t="n"/>
      <c r="AR21" s="50" t="n"/>
      <c r="AS21" s="51" t="n"/>
      <c r="AT21" s="46" t="n"/>
      <c r="AU21" s="46" t="n"/>
      <c r="AV21" s="49" t="n"/>
      <c r="AW21" s="50" t="n"/>
      <c r="AX21" s="51" t="n"/>
      <c r="AY21" s="46" t="n"/>
      <c r="AZ21" s="46" t="n"/>
      <c r="BA21" s="49" t="n"/>
      <c r="BB21" s="50" t="n"/>
      <c r="BC21" s="51" t="n"/>
      <c r="BD21" s="46" t="n"/>
      <c r="BE21" s="46" t="n"/>
      <c r="BF21" s="49" t="n"/>
      <c r="BG21" s="50" t="n"/>
      <c r="BH21" s="51" t="n"/>
      <c r="BI21" s="46" t="n"/>
      <c r="BJ21" s="46" t="n"/>
      <c r="BK21" s="49" t="n"/>
      <c r="BL21" s="50" t="n"/>
      <c r="BM21" s="51" t="n"/>
      <c r="BN21" s="46" t="n"/>
      <c r="BO21" s="46" t="n"/>
      <c r="BP21" s="49" t="n"/>
      <c r="BQ21" s="50" t="n"/>
      <c r="BR21" s="48" t="n"/>
      <c r="BS21" s="69" t="n"/>
      <c r="BT21" s="70" t="n"/>
    </row>
    <row r="22">
      <c r="A22" s="95" t="inlineStr">
        <is>
          <t>Previous Period Invoices</t>
        </is>
      </c>
      <c r="B22" s="96" t="n"/>
      <c r="C22" s="97" t="n"/>
      <c r="D22" s="97" t="n"/>
      <c r="E22" s="96" t="n"/>
      <c r="F22" s="96" t="n"/>
      <c r="G22" s="98" t="n"/>
      <c r="H22" s="96" t="n"/>
      <c r="I22" s="99" t="n"/>
      <c r="J22" s="100" t="n"/>
      <c r="K22" s="98" t="n"/>
      <c r="L22" s="98" t="n"/>
      <c r="M22" s="101" t="n"/>
      <c r="N22" s="101">
        <f>IF(OR(L22="",M22=""),"",L22-M22)</f>
        <v/>
      </c>
      <c r="O22" s="100" t="n"/>
      <c r="P22" s="98" t="n"/>
      <c r="Q22" s="98" t="n"/>
      <c r="R22" s="101" t="n"/>
      <c r="S22" s="102">
        <f>IF(OR(Q22="",R22=""),"",Q22-R22)</f>
        <v/>
      </c>
      <c r="T22" s="103" t="n"/>
      <c r="U22" s="98" t="n"/>
      <c r="V22" s="98" t="n"/>
      <c r="W22" s="101" t="n"/>
      <c r="X22" s="102">
        <f>IF(OR(V22="",W22=""),"",V22-W22)</f>
        <v/>
      </c>
      <c r="Y22" s="103" t="n"/>
      <c r="Z22" s="98" t="n"/>
      <c r="AA22" s="98" t="n"/>
      <c r="AB22" s="101" t="n"/>
      <c r="AC22" s="102">
        <f>IF(OR(AA22="",AB22=""),"",AA22-AB22)</f>
        <v/>
      </c>
      <c r="AD22" s="103" t="n"/>
      <c r="AE22" s="98" t="n"/>
      <c r="AF22" s="98" t="n"/>
      <c r="AG22" s="101" t="n"/>
      <c r="AH22" s="102">
        <f>IF(OR(AF22="",AG22=""),"",AF22-AG22)</f>
        <v/>
      </c>
      <c r="AI22" s="103" t="n"/>
      <c r="AJ22" s="98" t="n"/>
      <c r="AK22" s="98" t="n"/>
      <c r="AL22" s="101" t="n"/>
      <c r="AM22" s="102">
        <f>IF(OR(AK22="",AL22=""),"",AK22-AL22)</f>
        <v/>
      </c>
      <c r="AN22" s="103" t="n"/>
      <c r="AO22" s="98" t="n"/>
      <c r="AP22" s="98" t="n"/>
      <c r="AQ22" s="101" t="n"/>
      <c r="AR22" s="102">
        <f>IF(OR(AP22="",AQ22=""),"",AP22-AQ22)</f>
        <v/>
      </c>
      <c r="AS22" s="103" t="n"/>
      <c r="AT22" s="98" t="n"/>
      <c r="AU22" s="98" t="n"/>
      <c r="AV22" s="101" t="n"/>
      <c r="AW22" s="102">
        <f>IF(OR(AU22="",AV22=""),"",AU22-AV22)</f>
        <v/>
      </c>
      <c r="AX22" s="103" t="n"/>
      <c r="AY22" s="98" t="n"/>
      <c r="AZ22" s="98" t="n"/>
      <c r="BA22" s="101" t="n"/>
      <c r="BB22" s="102">
        <f>IF(OR(AZ22="",BA22=""),"",AZ22-BA22)</f>
        <v/>
      </c>
      <c r="BC22" s="103" t="n"/>
      <c r="BD22" s="98" t="n"/>
      <c r="BE22" s="98" t="n"/>
      <c r="BF22" s="101" t="n"/>
      <c r="BG22" s="102">
        <f>IF(OR(BE22="",BF22=""),"",BE22-BF22)</f>
        <v/>
      </c>
      <c r="BH22" s="103" t="n"/>
      <c r="BI22" s="98" t="n"/>
      <c r="BJ22" s="98" t="n"/>
      <c r="BK22" s="101" t="n"/>
      <c r="BL22" s="102">
        <f>IF(OR(BJ22="",BK22=""),"",BJ22-BK22)</f>
        <v/>
      </c>
      <c r="BM22" s="103" t="n"/>
      <c r="BN22" s="98" t="n"/>
      <c r="BO22" s="98" t="n"/>
      <c r="BP22" s="101" t="n"/>
      <c r="BQ22" s="102">
        <f>IF(OR(BO22="",BP22=""),"",BO22-BP22)</f>
        <v/>
      </c>
      <c r="BR22" s="100">
        <f>SUM(IF(M22&lt;&gt;"",M22,IF(L22&lt;&gt;"",L22,K22)),IF(R22&lt;&gt;"",R22,IF(Q22&lt;&gt;"",Q22,P22)),IF(W22&lt;&gt;"",W22,IF(V22&lt;&gt;"",V22,U22)),IF(AB22&lt;&gt;"",AB22,IF(AA22&lt;&gt;"",AA22,Z22)),IF(AG22&lt;&gt;"",AG22,IF(AF22&lt;&gt;"",AF22,AE22)),IF(AL22&lt;&gt;"",AL22,IF(AK22&lt;&gt;"",AK22,AJ22)),IF(AQ22&lt;&gt;"",AQ22,IF(AP22&lt;&gt;"",AP22,AO22)),IF(AV22&lt;&gt;"",AV22,IF(AU22&lt;&gt;"",AU22,AT22)),IF(BA22&lt;&gt;"",BA22,IF(AZ22&lt;&gt;"",AZ22,AY22)),IF(BF22&lt;&gt;"",BF22,IF(BE22&lt;&gt;"",BE22,BD22)),IF(BK22&lt;&gt;"",BK22,IF(BJ22&lt;&gt;"",BJ22,BI22)),IF(BP22&lt;&gt;"",BP22,IF(BO22&lt;&gt;"",BO22,BN22)))</f>
        <v/>
      </c>
      <c r="BS22" s="104" t="n"/>
      <c r="BT22" s="105" t="n"/>
    </row>
    <row r="23">
      <c r="A23" s="72" t="inlineStr">
        <is>
          <t>Contingency</t>
        </is>
      </c>
      <c r="B23" s="73" t="inlineStr">
        <is>
          <t>N/A</t>
        </is>
      </c>
      <c r="C23" s="74" t="n"/>
      <c r="D23" s="74" t="n"/>
      <c r="E23" s="73" t="n"/>
      <c r="F23" s="73" t="n"/>
      <c r="G23" s="73" t="n"/>
      <c r="H23" s="73" t="n"/>
      <c r="I23" s="75" t="n"/>
      <c r="J23" s="76" t="n"/>
      <c r="K23" s="77" t="n"/>
      <c r="L23" s="77" t="n"/>
      <c r="M23" s="78" t="n"/>
      <c r="N23" s="78">
        <f>IF(OR(L23="",M23=""),"",L23-M23)</f>
        <v/>
      </c>
      <c r="O23" s="76" t="n"/>
      <c r="P23" s="77" t="n"/>
      <c r="Q23" s="77" t="n"/>
      <c r="R23" s="78" t="n"/>
      <c r="S23" s="79">
        <f>IF(OR(Q23="",R23=""),"",Q23-R23)</f>
        <v/>
      </c>
      <c r="T23" s="80" t="n"/>
      <c r="U23" s="77" t="n"/>
      <c r="V23" s="77" t="n"/>
      <c r="W23" s="78" t="n"/>
      <c r="X23" s="79">
        <f>IF(OR(V23="",W23=""),"",V23-W23)</f>
        <v/>
      </c>
      <c r="Y23" s="80" t="n"/>
      <c r="Z23" s="77" t="n"/>
      <c r="AA23" s="77" t="n"/>
      <c r="AB23" s="78" t="n"/>
      <c r="AC23" s="79">
        <f>IF(OR(AA23="",AB23=""),"",AA23-AB23)</f>
        <v/>
      </c>
      <c r="AD23" s="80" t="n"/>
      <c r="AE23" s="77" t="n"/>
      <c r="AF23" s="77" t="n"/>
      <c r="AG23" s="78" t="n"/>
      <c r="AH23" s="79">
        <f>IF(OR(AF23="",AG23=""),"",AF23-AG23)</f>
        <v/>
      </c>
      <c r="AI23" s="80" t="n"/>
      <c r="AJ23" s="77" t="n"/>
      <c r="AK23" s="77" t="n"/>
      <c r="AL23" s="78" t="n"/>
      <c r="AM23" s="79">
        <f>IF(OR(AK23="",AL23=""),"",AK23-AL23)</f>
        <v/>
      </c>
      <c r="AN23" s="80" t="n"/>
      <c r="AO23" s="77" t="n"/>
      <c r="AP23" s="77" t="n"/>
      <c r="AQ23" s="78" t="n"/>
      <c r="AR23" s="79">
        <f>IF(OR(AP23="",AQ23=""),"",AP23-AQ23)</f>
        <v/>
      </c>
      <c r="AS23" s="80" t="n"/>
      <c r="AT23" s="77" t="n"/>
      <c r="AU23" s="77" t="n"/>
      <c r="AV23" s="78" t="n"/>
      <c r="AW23" s="79">
        <f>IF(OR(AU23="",AV23=""),"",AU23-AV23)</f>
        <v/>
      </c>
      <c r="AX23" s="80" t="n"/>
      <c r="AY23" s="77" t="n"/>
      <c r="AZ23" s="77" t="n"/>
      <c r="BA23" s="78" t="n"/>
      <c r="BB23" s="79">
        <f>IF(OR(AZ23="",BA23=""),"",AZ23-BA23)</f>
        <v/>
      </c>
      <c r="BC23" s="80" t="n"/>
      <c r="BD23" s="77" t="n"/>
      <c r="BE23" s="77" t="n"/>
      <c r="BF23" s="78" t="n"/>
      <c r="BG23" s="79">
        <f>IF(OR(BE23="",BF23=""),"",BE23-BF23)</f>
        <v/>
      </c>
      <c r="BH23" s="80" t="n"/>
      <c r="BI23" s="77" t="n"/>
      <c r="BJ23" s="77" t="n"/>
      <c r="BK23" s="78" t="n"/>
      <c r="BL23" s="79">
        <f>IF(OR(BJ23="",BK23=""),"",BJ23-BK23)</f>
        <v/>
      </c>
      <c r="BM23" s="80" t="n"/>
      <c r="BN23" s="77" t="n"/>
      <c r="BO23" s="77" t="n"/>
      <c r="BP23" s="78" t="n"/>
      <c r="BQ23" s="79">
        <f>IF(OR(BO23="",BP23=""),"",BO23-BP23)</f>
        <v/>
      </c>
      <c r="BR23" s="76">
        <f>SUM(IF(M23&lt;&gt;"",M23,IF(L23&lt;&gt;"",L23,K23)),IF(R23&lt;&gt;"",R23,IF(Q23&lt;&gt;"",Q23,P23)),IF(W23&lt;&gt;"",W23,IF(V23&lt;&gt;"",V23,U23)),IF(AB23&lt;&gt;"",AB23,IF(AA23&lt;&gt;"",AA23,Z23)),IF(AG23&lt;&gt;"",AG23,IF(AF23&lt;&gt;"",AF23,AE23)),IF(AL23&lt;&gt;"",AL23,IF(AK23&lt;&gt;"",AK23,AJ23)),IF(AQ23&lt;&gt;"",AQ23,IF(AP23&lt;&gt;"",AP23,AO23)),IF(AV23&lt;&gt;"",AV23,IF(AU23&lt;&gt;"",AU23,AT23)),IF(BA23&lt;&gt;"",BA23,IF(AZ23&lt;&gt;"",AZ23,AY23)),IF(BF23&lt;&gt;"",BF23,IF(BE23&lt;&gt;"",BE23,BD23)),IF(BK23&lt;&gt;"",BK23,IF(BJ23&lt;&gt;"",BJ23,BI23)),IF(BP23&lt;&gt;"",BP23,IF(BO23&lt;&gt;"",BO23,BN23)))</f>
        <v/>
      </c>
      <c r="BS23" s="81" t="n"/>
      <c r="BT23" s="82" t="n"/>
    </row>
    <row r="24">
      <c r="A24" s="83" t="n"/>
      <c r="B24" s="84" t="n"/>
      <c r="C24" s="85" t="n"/>
      <c r="D24" s="85" t="n"/>
      <c r="E24" s="84" t="n"/>
      <c r="F24" s="84" t="n"/>
      <c r="G24" s="84" t="n"/>
      <c r="H24" s="84" t="n"/>
      <c r="I24" s="86" t="n"/>
      <c r="J24" s="87" t="n"/>
      <c r="K24" s="88" t="n"/>
      <c r="L24" s="88" t="n"/>
      <c r="M24" s="49" t="n"/>
      <c r="N24" s="49">
        <f>IF(OR(L24="",M24=""),"",L24-M24)</f>
        <v/>
      </c>
      <c r="O24" s="87" t="n"/>
      <c r="P24" s="88" t="n"/>
      <c r="Q24" s="88" t="n"/>
      <c r="R24" s="49" t="n"/>
      <c r="S24" s="50">
        <f>IF(OR(Q24="",R24=""),"",Q24-R24)</f>
        <v/>
      </c>
      <c r="T24" s="55" t="n"/>
      <c r="U24" s="88" t="n"/>
      <c r="V24" s="88" t="n"/>
      <c r="W24" s="49" t="n"/>
      <c r="X24" s="50">
        <f>IF(OR(V24="",W24=""),"",V24-W24)</f>
        <v/>
      </c>
      <c r="Y24" s="55" t="n"/>
      <c r="Z24" s="88" t="n"/>
      <c r="AA24" s="88" t="n"/>
      <c r="AB24" s="49" t="n"/>
      <c r="AC24" s="50">
        <f>IF(OR(AA24="",AB24=""),"",AA24-AB24)</f>
        <v/>
      </c>
      <c r="AD24" s="55" t="n"/>
      <c r="AE24" s="88" t="n"/>
      <c r="AF24" s="88" t="n"/>
      <c r="AG24" s="49" t="n"/>
      <c r="AH24" s="50">
        <f>IF(OR(AF24="",AG24=""),"",AF24-AG24)</f>
        <v/>
      </c>
      <c r="AI24" s="55" t="n"/>
      <c r="AJ24" s="88" t="n"/>
      <c r="AK24" s="88" t="n"/>
      <c r="AL24" s="49" t="n"/>
      <c r="AM24" s="50">
        <f>IF(OR(AK24="",AL24=""),"",AK24-AL24)</f>
        <v/>
      </c>
      <c r="AN24" s="55" t="n"/>
      <c r="AO24" s="88" t="n"/>
      <c r="AP24" s="88" t="n"/>
      <c r="AQ24" s="49" t="n"/>
      <c r="AR24" s="50">
        <f>IF(OR(AP24="",AQ24=""),"",AP24-AQ24)</f>
        <v/>
      </c>
      <c r="AS24" s="55" t="n"/>
      <c r="AT24" s="88" t="n"/>
      <c r="AU24" s="88" t="n"/>
      <c r="AV24" s="49" t="n"/>
      <c r="AW24" s="50">
        <f>IF(OR(AU24="",AV24=""),"",AU24-AV24)</f>
        <v/>
      </c>
      <c r="AX24" s="55" t="n"/>
      <c r="AY24" s="88" t="n"/>
      <c r="AZ24" s="88" t="n"/>
      <c r="BA24" s="49" t="n"/>
      <c r="BB24" s="50">
        <f>IF(OR(AZ24="",BA24=""),"",AZ24-BA24)</f>
        <v/>
      </c>
      <c r="BC24" s="55" t="n"/>
      <c r="BD24" s="88" t="n"/>
      <c r="BE24" s="88" t="n"/>
      <c r="BF24" s="49" t="n"/>
      <c r="BG24" s="50">
        <f>IF(OR(BE24="",BF24=""),"",BE24-BF24)</f>
        <v/>
      </c>
      <c r="BH24" s="55" t="n"/>
      <c r="BI24" s="88" t="n"/>
      <c r="BJ24" s="88" t="n"/>
      <c r="BK24" s="49" t="n"/>
      <c r="BL24" s="50">
        <f>IF(OR(BJ24="",BK24=""),"",BJ24-BK24)</f>
        <v/>
      </c>
      <c r="BM24" s="55" t="n"/>
      <c r="BN24" s="88" t="n"/>
      <c r="BO24" s="88" t="n"/>
      <c r="BP24" s="49" t="n"/>
      <c r="BQ24" s="50">
        <f>IF(OR(BO24="",BP24=""),"",BO24-BP24)</f>
        <v/>
      </c>
      <c r="BR24" s="48">
        <f>SUM(IF(M24&lt;&gt;"",M24,IF(L24&lt;&gt;"",L24,K24)),IF(R24&lt;&gt;"",R24,IF(Q24&lt;&gt;"",Q24,P24)),IF(W24&lt;&gt;"",W24,IF(V24&lt;&gt;"",V24,U24)),IF(AB24&lt;&gt;"",AB24,IF(AA24&lt;&gt;"",AA24,Z24)),IF(AG24&lt;&gt;"",AG24,IF(AF24&lt;&gt;"",AF24,AE24)),IF(AL24&lt;&gt;"",AL24,IF(AK24&lt;&gt;"",AK24,AJ24)),IF(AQ24&lt;&gt;"",AQ24,IF(AP24&lt;&gt;"",AP24,AO24)),IF(AV24&lt;&gt;"",AV24,IF(AU24&lt;&gt;"",AU24,AT24)),IF(BA24&lt;&gt;"",BA24,IF(AZ24&lt;&gt;"",AZ24,AY24)),IF(BF24&lt;&gt;"",BF24,IF(BE24&lt;&gt;"",BE24,BD24)),IF(BK24&lt;&gt;"",BK24,IF(BJ24&lt;&gt;"",BJ24,BI24)),IF(BP24&lt;&gt;"",BP24,IF(BO24&lt;&gt;"",BO24,BN24)))</f>
        <v/>
      </c>
      <c r="BS24" s="89" t="n"/>
      <c r="BT24" s="90" t="n"/>
    </row>
    <row r="25" ht="15.75" customHeight="1" thickBot="1">
      <c r="A25" s="56" t="inlineStr">
        <is>
          <t>Contingency</t>
        </is>
      </c>
      <c r="B25" s="57" t="inlineStr">
        <is>
          <t>N/A</t>
        </is>
      </c>
      <c r="C25" s="91" t="n"/>
      <c r="D25" s="91" t="n"/>
      <c r="E25" s="57" t="inlineStr">
        <is>
          <t>N/A</t>
        </is>
      </c>
      <c r="F25" s="57" t="n"/>
      <c r="G25" s="57" t="n"/>
      <c r="H25" s="57" t="n"/>
      <c r="I25" s="58" t="n"/>
      <c r="J25" s="63" t="n"/>
      <c r="K25" s="59" t="n"/>
      <c r="L25" s="59" t="n"/>
      <c r="M25" s="60">
        <f>IF((MONTH(TODAY()) + 2)&lt;=1,($BS$13-$BR$13)/(12-(MONTH(TODAY()) + 1)),0)</f>
        <v/>
      </c>
      <c r="N25" s="92">
        <f>IF(OR(L25="",M25=""),"",L25-M25)</f>
        <v/>
      </c>
      <c r="O25" s="63" t="n"/>
      <c r="P25" s="59" t="n"/>
      <c r="Q25" s="59" t="n"/>
      <c r="R25" s="60">
        <f>IF((MONTH(TODAY()) + 2)&lt;=2,($BS$13-$BR$13)/(12-(MONTH(TODAY()) + 1)),0)</f>
        <v/>
      </c>
      <c r="S25" s="61" t="n"/>
      <c r="T25" s="62" t="n"/>
      <c r="U25" s="59" t="n"/>
      <c r="V25" s="59" t="n"/>
      <c r="W25" s="60">
        <f>IF((MONTH(TODAY()) + 2)&lt;=3,($BS$13-$BR$13)/(12-(MONTH(TODAY()) + 1)),0)</f>
        <v/>
      </c>
      <c r="X25" s="61" t="n"/>
      <c r="Y25" s="62" t="n"/>
      <c r="Z25" s="59" t="n"/>
      <c r="AA25" s="59" t="n"/>
      <c r="AB25" s="60">
        <f>IF((MONTH(TODAY()) + 2)&lt;=4,($BS$13-$BR$13)/(12-(MONTH(TODAY()) + 1)),0)</f>
        <v/>
      </c>
      <c r="AC25" s="61" t="n"/>
      <c r="AD25" s="62" t="n"/>
      <c r="AE25" s="59" t="n"/>
      <c r="AF25" s="59" t="n"/>
      <c r="AG25" s="60">
        <f>IF((MONTH(TODAY()) + 2)&lt;=5,($BS$13-$BR$13)/(12-(MONTH(TODAY()) + 1)),0)</f>
        <v/>
      </c>
      <c r="AH25" s="61" t="n"/>
      <c r="AI25" s="62" t="n"/>
      <c r="AJ25" s="59" t="n"/>
      <c r="AK25" s="59" t="n"/>
      <c r="AL25" s="60">
        <f>IF((MONTH(TODAY()) + 2)&lt;=6,($BS$13-$BR$13)/(12-(MONTH(TODAY()) + 1)),0)</f>
        <v/>
      </c>
      <c r="AM25" s="61" t="n"/>
      <c r="AN25" s="62" t="n"/>
      <c r="AO25" s="59" t="n"/>
      <c r="AP25" s="59" t="n"/>
      <c r="AQ25" s="60">
        <f>IF((MONTH(TODAY()) + 2)&lt;=7,($BS$13-$BR$13)/(12-(MONTH(TODAY()) + 1)),0)</f>
        <v/>
      </c>
      <c r="AR25" s="61" t="n"/>
      <c r="AS25" s="62" t="n"/>
      <c r="AT25" s="59" t="n"/>
      <c r="AU25" s="59" t="n"/>
      <c r="AV25" s="60">
        <f>IF((MONTH(TODAY()) + 2)&lt;=8,($BS$13-$BR$13)/(12-(MONTH(TODAY()) + 1)),0)</f>
        <v/>
      </c>
      <c r="AW25" s="61" t="n"/>
      <c r="AX25" s="62" t="n"/>
      <c r="AY25" s="59" t="n"/>
      <c r="AZ25" s="59" t="n"/>
      <c r="BA25" s="60">
        <f>IF((MONTH(TODAY()) + 2)&lt;=9,($BS$13-$BR$13)/(12-(MONTH(TODAY()) + 1)),0)</f>
        <v/>
      </c>
      <c r="BB25" s="61" t="n"/>
      <c r="BC25" s="62" t="n"/>
      <c r="BD25" s="59" t="n"/>
      <c r="BE25" s="59" t="n"/>
      <c r="BF25" s="60">
        <f>IF((MONTH(TODAY()) + 2)&lt;=10,($BS$13-$BR$13)/(12-(MONTH(TODAY()) + 1)),0)</f>
        <v/>
      </c>
      <c r="BG25" s="61" t="n"/>
      <c r="BH25" s="62" t="n"/>
      <c r="BI25" s="59" t="n"/>
      <c r="BJ25" s="59" t="n"/>
      <c r="BK25" s="60">
        <f>IF((MONTH(TODAY()) + 2)&lt;=11,($BS$13-$BR$13)/(12-(MONTH(TODAY()) + 1)),IF(MONTH(TODAY())=11,($BS$13-$BR$13)/2,0))</f>
        <v/>
      </c>
      <c r="BL25" s="61" t="n"/>
      <c r="BM25" s="62" t="n"/>
      <c r="BN25" s="59" t="n"/>
      <c r="BO25" s="59" t="n"/>
      <c r="BP25" s="60">
        <f>IF((MONTH(TODAY()) + 2)&lt;12,($BS$13-$BR$13)/(12-(MONTH(TODAY())+ 1)),IF(MONTH(TODAY())=11,($BS$13-$BR$13)/2,IF(OR(MONTH(TODAY())=10,MONTH(TODAY())=12),($BS$13-$BR$13),0)))</f>
        <v/>
      </c>
      <c r="BQ25" s="61" t="n"/>
      <c r="BR25" s="63">
        <f>SUM(IF(M25&lt;&gt;"",M25,IF(L25&lt;&gt;"",L25,K25)),IF(R25&lt;&gt;"",R25,IF(Q25&lt;&gt;"",Q25,P25)),IF(W25&lt;&gt;"",W25,IF(V25&lt;&gt;"",V25,U25)),IF(AB25&lt;&gt;"",AB25,IF(AA25&lt;&gt;"",AA25,Z25)),IF(AG25&lt;&gt;"",AG25,IF(AF25&lt;&gt;"",AF25,AE25)),IF(AL25&lt;&gt;"",AL25,IF(AK25&lt;&gt;"",AK25,AJ25)),IF(AQ25&lt;&gt;"",AQ25,IF(AP25&lt;&gt;"",AP25,AO25)),IF(AV25&lt;&gt;"",AV25,IF(AU25&lt;&gt;"",AU25,AT25)),IF(BA25&lt;&gt;"",BA25,IF(AZ25&lt;&gt;"",AZ25,AY25)),IF(BF25&lt;&gt;"",BF25,IF(BE25&lt;&gt;"",BE25,BD25)),IF(BK25&lt;&gt;"",BK25,IF(BJ25&lt;&gt;"",BJ25,BI25)),IF(BP25&lt;&gt;"",BP25,IF(BO25&lt;&gt;"",BO25,BN25)))</f>
        <v/>
      </c>
      <c r="BS25" s="93" t="n"/>
      <c r="BT25" s="94" t="n"/>
    </row>
    <row r="26">
      <c r="A26" t="inlineStr">
        <is>
          <t>EXPENSE END</t>
        </is>
      </c>
      <c r="W26" s="19" t="n"/>
    </row>
  </sheetData>
  <mergeCells count="39">
    <mergeCell ref="AD12:AH12"/>
    <mergeCell ref="AI13:AM13"/>
    <mergeCell ref="BM12:BQ12"/>
    <mergeCell ref="BC11:BG11"/>
    <mergeCell ref="J13:N13"/>
    <mergeCell ref="BM11:BQ11"/>
    <mergeCell ref="AD13:AH13"/>
    <mergeCell ref="Y11:AC11"/>
    <mergeCell ref="BH12:BL12"/>
    <mergeCell ref="AX11:BB11"/>
    <mergeCell ref="AS12:AW12"/>
    <mergeCell ref="AI11:AM11"/>
    <mergeCell ref="BM13:BQ13"/>
    <mergeCell ref="H11:I11"/>
    <mergeCell ref="T12:X12"/>
    <mergeCell ref="J11:N11"/>
    <mergeCell ref="BC12:BG12"/>
    <mergeCell ref="AX13:BB13"/>
    <mergeCell ref="AS11:AW11"/>
    <mergeCell ref="AN12:AR12"/>
    <mergeCell ref="T11:X11"/>
    <mergeCell ref="AD11:AH11"/>
    <mergeCell ref="AX12:BB12"/>
    <mergeCell ref="AN11:AR11"/>
    <mergeCell ref="Y13:AC13"/>
    <mergeCell ref="H13:I13"/>
    <mergeCell ref="O13:S13"/>
    <mergeCell ref="T13:X13"/>
    <mergeCell ref="BH13:BL13"/>
    <mergeCell ref="O12:S12"/>
    <mergeCell ref="H12:I12"/>
    <mergeCell ref="AS13:AW13"/>
    <mergeCell ref="BC13:BG13"/>
    <mergeCell ref="Y12:AC12"/>
    <mergeCell ref="AI12:AM12"/>
    <mergeCell ref="O11:S11"/>
    <mergeCell ref="J12:N12"/>
    <mergeCell ref="BH11:BL11"/>
    <mergeCell ref="AN13:AR13"/>
  </mergeCells>
  <conditionalFormatting sqref="M15:M24 R15:R24 W15:W24 AB15:AB24 AG15:AG24 AL15:AL24 AQ15:AQ24 AV15:AV24 BA15:BA24 BF15:BF24 BK15:BK24 BP15:BP24">
    <cfRule type="expression" priority="8" dxfId="6">
      <formula>IF(AND(L15&gt;0,M15=0),TRUE,FALSE)</formula>
    </cfRule>
  </conditionalFormatting>
  <conditionalFormatting sqref="R15:T24 X15:Y24 AC15:AD24 AH15:AI24 AM15:AN24 AR15:AS24 AW15:AX24 BB15:BC24 BG15:BH24 BL15:BM24 BP10 BQ15:BQ24">
    <cfRule type="expression" priority="9" dxfId="6">
      <formula>IF(AND(Q10&lt;&gt;"",R10="",TODAY()&gt;DATE(YEAR(TODAY()),MONTH(DATEVALUE("1-"&amp;LEFT(#REF!,3)&amp;"-1900")),20)),TRUE,FALSE)</formula>
    </cfRule>
  </conditionalFormatting>
  <conditionalFormatting sqref="BR15">
    <cfRule type="cellIs" priority="6" operator="greaterThan" dxfId="0">
      <formula>90%*$G$15</formula>
    </cfRule>
  </conditionalFormatting>
  <conditionalFormatting sqref="BR16">
    <cfRule type="cellIs" priority="5" operator="greaterThan" dxfId="0">
      <formula>90%*$G$16</formula>
    </cfRule>
  </conditionalFormatting>
  <conditionalFormatting sqref="BR17">
    <cfRule type="cellIs" priority="4" operator="greaterThan" dxfId="0">
      <formula>90%*$G$17</formula>
    </cfRule>
  </conditionalFormatting>
  <conditionalFormatting sqref="BR18">
    <cfRule type="cellIs" priority="3" operator="greaterThan" dxfId="0">
      <formula>90%*$G$18</formula>
    </cfRule>
  </conditionalFormatting>
  <conditionalFormatting sqref="BR19">
    <cfRule type="cellIs" priority="2" operator="greaterThan" dxfId="0">
      <formula>90%*$G$19</formula>
    </cfRule>
  </conditionalFormatting>
  <conditionalFormatting sqref="BS11:BS12">
    <cfRule type="expression" priority="7" dxfId="0">
      <formula>IF(BS11&lt;0,TRUE,FALSE)</formula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Z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9" customWidth="1" min="3" max="3"/>
    <col width="19" customWidth="1" min="4" max="4"/>
    <col width="21" customWidth="1" min="5" max="5"/>
    <col width="21" customWidth="1" min="6" max="6"/>
    <col width="19" customWidth="1" min="7" max="7"/>
    <col width="20" customWidth="1" min="8" max="8"/>
    <col width="20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hidden="1" outlineLevel="1" width="21" customWidth="1" min="15" max="78"/>
  </cols>
  <sheetData>
    <row r="1">
      <c r="A1" t="inlineStr">
        <is>
          <t>PO #</t>
        </is>
      </c>
      <c r="B1" t="inlineStr">
        <is>
          <t>2025 Forecast total Fee</t>
        </is>
      </c>
      <c r="C1" t="inlineStr">
        <is>
          <t>Jan 2025 - FTotal</t>
        </is>
      </c>
      <c r="D1" t="inlineStr">
        <is>
          <t>Feb 2025 - FTotal</t>
        </is>
      </c>
      <c r="E1" t="inlineStr">
        <is>
          <t>March 2025 - FTotal</t>
        </is>
      </c>
      <c r="F1" t="inlineStr">
        <is>
          <t>April 2025 - FTotal</t>
        </is>
      </c>
      <c r="G1" t="inlineStr">
        <is>
          <t>May 2025 - FTotal</t>
        </is>
      </c>
      <c r="H1" t="inlineStr">
        <is>
          <t>June 2025 - FTotal</t>
        </is>
      </c>
      <c r="I1" t="inlineStr">
        <is>
          <t>July 2025 - FTotal</t>
        </is>
      </c>
      <c r="J1" t="inlineStr">
        <is>
          <t>Aug 2025 - FTotal</t>
        </is>
      </c>
      <c r="K1" t="inlineStr">
        <is>
          <t>Sep 2025 - FTotal</t>
        </is>
      </c>
      <c r="L1" t="inlineStr">
        <is>
          <t>Oct 2025 - FTotal</t>
        </is>
      </c>
      <c r="M1" t="inlineStr">
        <is>
          <t>Nov 2025 - FTotal</t>
        </is>
      </c>
      <c r="N1" t="inlineStr">
        <is>
          <t>Dec 2025 - FTotal</t>
        </is>
      </c>
      <c r="O1" t="inlineStr">
        <is>
          <t>Pfizer requested PO</t>
        </is>
      </c>
      <c r="P1" t="inlineStr">
        <is>
          <t>IBM PMA</t>
        </is>
      </c>
      <c r="Q1" t="inlineStr">
        <is>
          <t>PO Owner</t>
        </is>
      </c>
      <c r="R1" t="inlineStr">
        <is>
          <t>Work Code</t>
        </is>
      </c>
      <c r="S1" t="inlineStr">
        <is>
          <t>Project Name</t>
        </is>
      </c>
      <c r="T1" t="inlineStr">
        <is>
          <t>Project Start Date</t>
        </is>
      </c>
      <c r="U1" t="inlineStr">
        <is>
          <t>Project End Date</t>
        </is>
      </c>
      <c r="V1" t="inlineStr">
        <is>
          <t>Resource Talent Id</t>
        </is>
      </c>
      <c r="W1" t="inlineStr">
        <is>
          <t>Resource Name</t>
        </is>
      </c>
      <c r="X1" t="inlineStr">
        <is>
          <t>Bill Rate</t>
        </is>
      </c>
      <c r="Y1" t="inlineStr">
        <is>
          <t>Location</t>
        </is>
      </c>
      <c r="Z1" t="inlineStr">
        <is>
          <t>Resource Status</t>
        </is>
      </c>
      <c r="AA1" t="inlineStr">
        <is>
          <t>Forecast Month Hours</t>
        </is>
      </c>
      <c r="AB1" t="inlineStr">
        <is>
          <t>Forecast Fee $</t>
        </is>
      </c>
      <c r="AC1" t="inlineStr">
        <is>
          <t>Forecast Expenses $</t>
        </is>
      </c>
      <c r="AD1" t="inlineStr">
        <is>
          <t>Forecast Total $</t>
        </is>
      </c>
      <c r="AE1" t="inlineStr">
        <is>
          <t>Actual Month Hours</t>
        </is>
      </c>
      <c r="AF1" t="inlineStr">
        <is>
          <t>Acual Fee $</t>
        </is>
      </c>
      <c r="AG1" t="inlineStr">
        <is>
          <t>Actual Expenses $</t>
        </is>
      </c>
      <c r="AH1" t="inlineStr">
        <is>
          <t>Actual Total $</t>
        </is>
      </c>
      <c r="AI1" t="inlineStr">
        <is>
          <t>Monthly Hours Variance</t>
        </is>
      </c>
      <c r="AJ1" t="inlineStr">
        <is>
          <t>Hours Billed Flag</t>
        </is>
      </c>
      <c r="AK1" t="inlineStr">
        <is>
          <t>Forecast Accuracy</t>
        </is>
      </c>
      <c r="AL1" t="inlineStr">
        <is>
          <t>Expense%</t>
        </is>
      </c>
      <c r="AM1" t="inlineStr">
        <is>
          <t>Comments</t>
        </is>
      </c>
      <c r="AN1" t="inlineStr">
        <is>
          <t>Total Forecast Hours 2025</t>
        </is>
      </c>
      <c r="AO1" t="inlineStr">
        <is>
          <t>Jan 2025 - FFHours</t>
        </is>
      </c>
      <c r="AP1" t="inlineStr">
        <is>
          <t>Feb 2025 - FHours</t>
        </is>
      </c>
      <c r="AQ1" t="inlineStr">
        <is>
          <t>March 2025 - FHours</t>
        </is>
      </c>
      <c r="AR1" t="inlineStr">
        <is>
          <t>April 2025 - FHours</t>
        </is>
      </c>
      <c r="AS1" t="inlineStr">
        <is>
          <t>May 2025 - FHours</t>
        </is>
      </c>
      <c r="AT1" t="inlineStr">
        <is>
          <t>June 2025 - FHours</t>
        </is>
      </c>
      <c r="AU1" t="inlineStr">
        <is>
          <t>July 2025 - FHours</t>
        </is>
      </c>
      <c r="AV1" t="inlineStr">
        <is>
          <t>Aug 2025 - FHours</t>
        </is>
      </c>
      <c r="AW1" t="inlineStr">
        <is>
          <t>Sep 2025 - FHours</t>
        </is>
      </c>
      <c r="AX1" t="inlineStr">
        <is>
          <t>Oct 2025 - FHours</t>
        </is>
      </c>
      <c r="AY1" t="inlineStr">
        <is>
          <t>Nov 2025 - FHours</t>
        </is>
      </c>
      <c r="AZ1" t="inlineStr">
        <is>
          <t>Dec 2025 - FHours</t>
        </is>
      </c>
      <c r="BA1" t="inlineStr">
        <is>
          <t>Jan 2025 - FFee</t>
        </is>
      </c>
      <c r="BB1" t="inlineStr">
        <is>
          <t>Feb 2025 - FFee</t>
        </is>
      </c>
      <c r="BC1" t="inlineStr">
        <is>
          <t>March 2025 - FFee</t>
        </is>
      </c>
      <c r="BD1" t="inlineStr">
        <is>
          <t>April 2025 - FFee</t>
        </is>
      </c>
      <c r="BE1" t="inlineStr">
        <is>
          <t>May 2025 - FFee</t>
        </is>
      </c>
      <c r="BF1" t="inlineStr">
        <is>
          <t>June 2025 - FFee</t>
        </is>
      </c>
      <c r="BG1" t="inlineStr">
        <is>
          <t>July 2025 - FFee</t>
        </is>
      </c>
      <c r="BH1" t="inlineStr">
        <is>
          <t>Aug 2025 - FFee</t>
        </is>
      </c>
      <c r="BI1" t="inlineStr">
        <is>
          <t>Sep 2025 - FFee</t>
        </is>
      </c>
      <c r="BJ1" t="inlineStr">
        <is>
          <t>Oct 2025 - FFee</t>
        </is>
      </c>
      <c r="BK1" t="inlineStr">
        <is>
          <t>Nov 2025 - FFee</t>
        </is>
      </c>
      <c r="BL1" t="inlineStr">
        <is>
          <t>Dec 2025 - FFee</t>
        </is>
      </c>
      <c r="BM1" t="inlineStr">
        <is>
          <t>2025 Total Forecast Expenses</t>
        </is>
      </c>
      <c r="BN1" t="inlineStr">
        <is>
          <t>Jan 2025 - FExpenses</t>
        </is>
      </c>
      <c r="BO1" t="inlineStr">
        <is>
          <t>Feb 2025 - FExpenses</t>
        </is>
      </c>
      <c r="BP1" t="inlineStr">
        <is>
          <t>March 2025 - FExpenses</t>
        </is>
      </c>
      <c r="BQ1" t="inlineStr">
        <is>
          <t>April 2025 - FExpenses</t>
        </is>
      </c>
      <c r="BR1" t="inlineStr">
        <is>
          <t>May 2025 - FExpenses</t>
        </is>
      </c>
      <c r="BS1" t="inlineStr">
        <is>
          <t>June 2025 - FExpenses</t>
        </is>
      </c>
      <c r="BT1" t="inlineStr">
        <is>
          <t>July 2025 - FExpenses</t>
        </is>
      </c>
      <c r="BU1" t="inlineStr">
        <is>
          <t>Aug 2025 - FExpenses</t>
        </is>
      </c>
      <c r="BV1" t="inlineStr">
        <is>
          <t>Sep 2025 - FExpenses</t>
        </is>
      </c>
      <c r="BW1" t="inlineStr">
        <is>
          <t>Oct 2025 - FExpenses</t>
        </is>
      </c>
      <c r="BX1" t="inlineStr">
        <is>
          <t>Nov 2025 - FExpenses</t>
        </is>
      </c>
      <c r="BY1" t="inlineStr">
        <is>
          <t>Dec 2025 - FExpenses</t>
        </is>
      </c>
      <c r="BZ1" t="inlineStr">
        <is>
          <t>Forecast Total 2025</t>
        </is>
      </c>
    </row>
    <row r="2">
      <c r="A2" t="inlineStr">
        <is>
          <t>9500879389</t>
        </is>
      </c>
      <c r="B2" t="n">
        <v>49780</v>
      </c>
      <c r="C2" t="n">
        <v>7457.5</v>
      </c>
      <c r="D2" t="n">
        <v>4275</v>
      </c>
      <c r="E2" t="n">
        <v>10687.5</v>
      </c>
      <c r="F2" t="n">
        <v>7695</v>
      </c>
      <c r="G2" t="n">
        <v>8550</v>
      </c>
      <c r="H2" t="n">
        <v>10687.5</v>
      </c>
      <c r="I2" t="n">
        <v>427.5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No</t>
        </is>
      </c>
      <c r="P2" t="inlineStr">
        <is>
          <t>Ashu</t>
        </is>
      </c>
      <c r="Q2" t="inlineStr">
        <is>
          <t>Immanual Thomas</t>
        </is>
      </c>
      <c r="R2" t="inlineStr">
        <is>
          <t>W296Z</t>
        </is>
      </c>
      <c r="S2" t="inlineStr">
        <is>
          <t>Pfizer Digital – GLNS Support S1 2025</t>
        </is>
      </c>
      <c r="T2" s="167" t="n">
        <v>45658</v>
      </c>
      <c r="U2" s="167" t="n">
        <v>45838</v>
      </c>
      <c r="V2" t="inlineStr">
        <is>
          <t>003A51</t>
        </is>
      </c>
      <c r="W2" t="inlineStr">
        <is>
          <t>Arun Kumaravelu</t>
        </is>
      </c>
      <c r="X2" t="n">
        <v>47.5</v>
      </c>
      <c r="Y2" t="n">
        <v/>
      </c>
      <c r="Z2" t="n">
        <v/>
      </c>
      <c r="AA2" t="n">
        <v>0</v>
      </c>
      <c r="AB2" t="n">
        <v>0</v>
      </c>
      <c r="AC2" t="n">
        <v>0</v>
      </c>
      <c r="AD2" t="n">
        <v>0</v>
      </c>
      <c r="AE2" t="n">
        <v/>
      </c>
      <c r="AF2" t="n">
        <v>0</v>
      </c>
      <c r="AG2" t="n">
        <v>0</v>
      </c>
      <c r="AH2" t="n">
        <v>0</v>
      </c>
      <c r="AI2" t="n">
        <v>0</v>
      </c>
      <c r="AJ2" t="n">
        <v/>
      </c>
      <c r="AK2" t="n">
        <v>1</v>
      </c>
      <c r="AL2" t="n">
        <v>0</v>
      </c>
      <c r="AM2" t="n">
        <v/>
      </c>
      <c r="AN2" t="n">
        <v>1048</v>
      </c>
      <c r="AO2" t="n">
        <v>157</v>
      </c>
      <c r="AP2" t="n">
        <v>90</v>
      </c>
      <c r="AQ2" t="n">
        <v>225</v>
      </c>
      <c r="AR2" t="n">
        <v>162</v>
      </c>
      <c r="AS2" t="n">
        <v>180</v>
      </c>
      <c r="AT2" t="n">
        <v>225</v>
      </c>
      <c r="AU2" t="n">
        <v>9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7457.5</v>
      </c>
      <c r="BB2" t="n">
        <v>4275</v>
      </c>
      <c r="BC2" t="n">
        <v>10687.5</v>
      </c>
      <c r="BD2" t="n">
        <v>7695</v>
      </c>
      <c r="BE2" t="n">
        <v>8550</v>
      </c>
      <c r="BF2" t="n">
        <v>10687.5</v>
      </c>
      <c r="BG2" t="n">
        <v>427.5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49780</v>
      </c>
    </row>
    <row r="3">
      <c r="A3" t="inlineStr">
        <is>
          <t>9500879389</t>
        </is>
      </c>
      <c r="B3" t="n">
        <v>51015</v>
      </c>
      <c r="C3" t="n">
        <v>7030</v>
      </c>
      <c r="D3" t="n">
        <v>5937.5</v>
      </c>
      <c r="E3" t="n">
        <v>10687.5</v>
      </c>
      <c r="F3" t="n">
        <v>7695</v>
      </c>
      <c r="G3" t="n">
        <v>8550</v>
      </c>
      <c r="H3" t="n">
        <v>10687.5</v>
      </c>
      <c r="I3" t="n">
        <v>427.5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inlineStr">
        <is>
          <t>No</t>
        </is>
      </c>
      <c r="P3" t="inlineStr">
        <is>
          <t>Ashu</t>
        </is>
      </c>
      <c r="Q3" t="inlineStr">
        <is>
          <t>Immanual Thomas</t>
        </is>
      </c>
      <c r="R3" t="inlineStr">
        <is>
          <t>W296Z</t>
        </is>
      </c>
      <c r="S3" t="inlineStr">
        <is>
          <t>Pfizer Digital – GLNS Support S1 2025</t>
        </is>
      </c>
      <c r="T3" s="167" t="n">
        <v>45658</v>
      </c>
      <c r="U3" s="167" t="n">
        <v>45838</v>
      </c>
      <c r="V3" t="inlineStr">
        <is>
          <t>0220B5</t>
        </is>
      </c>
      <c r="W3" t="inlineStr">
        <is>
          <t>Sesha Sai Sruthi Kocherla</t>
        </is>
      </c>
      <c r="X3" t="n">
        <v>47.5</v>
      </c>
      <c r="Y3" t="n">
        <v/>
      </c>
      <c r="Z3" t="n">
        <v/>
      </c>
      <c r="AA3" t="n">
        <v>0</v>
      </c>
      <c r="AB3" t="n">
        <v>0</v>
      </c>
      <c r="AC3" t="n">
        <v>0</v>
      </c>
      <c r="AD3" t="n">
        <v>0</v>
      </c>
      <c r="AE3" t="n">
        <v/>
      </c>
      <c r="AF3" t="n">
        <v>0</v>
      </c>
      <c r="AG3" t="n">
        <v>0</v>
      </c>
      <c r="AH3" t="n">
        <v>0</v>
      </c>
      <c r="AI3" t="n">
        <v>0</v>
      </c>
      <c r="AJ3" t="n">
        <v/>
      </c>
      <c r="AK3" t="n">
        <v>1</v>
      </c>
      <c r="AL3" t="n">
        <v>0</v>
      </c>
      <c r="AM3" t="n">
        <v/>
      </c>
      <c r="AN3" t="n">
        <v>1074</v>
      </c>
      <c r="AO3" t="n">
        <v>148</v>
      </c>
      <c r="AP3" t="n">
        <v>125</v>
      </c>
      <c r="AQ3" t="n">
        <v>225</v>
      </c>
      <c r="AR3" t="n">
        <v>162</v>
      </c>
      <c r="AS3" t="n">
        <v>180</v>
      </c>
      <c r="AT3" t="n">
        <v>225</v>
      </c>
      <c r="AU3" t="n">
        <v>9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7030</v>
      </c>
      <c r="BB3" t="n">
        <v>5937.5</v>
      </c>
      <c r="BC3" t="n">
        <v>10687.5</v>
      </c>
      <c r="BD3" t="n">
        <v>7695</v>
      </c>
      <c r="BE3" t="n">
        <v>8550</v>
      </c>
      <c r="BF3" t="n">
        <v>10687.5</v>
      </c>
      <c r="BG3" t="n">
        <v>427.5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51015</v>
      </c>
    </row>
    <row r="4">
      <c r="A4" t="inlineStr">
        <is>
          <t>9500882917</t>
        </is>
      </c>
      <c r="B4" t="n">
        <v>94320</v>
      </c>
      <c r="C4" t="n">
        <v>0</v>
      </c>
      <c r="D4" t="n">
        <v>0</v>
      </c>
      <c r="E4" t="n">
        <v>26200</v>
      </c>
      <c r="F4" t="n">
        <v>20960</v>
      </c>
      <c r="G4" t="n">
        <v>20960</v>
      </c>
      <c r="H4" t="n">
        <v>25152</v>
      </c>
      <c r="I4" t="n">
        <v>1048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inlineStr">
        <is>
          <t>Yes</t>
        </is>
      </c>
      <c r="P4" t="inlineStr">
        <is>
          <t>Ashu</t>
        </is>
      </c>
      <c r="Q4" t="inlineStr">
        <is>
          <t>Immanual Thomas</t>
        </is>
      </c>
      <c r="R4" t="inlineStr">
        <is>
          <t>W296Z</t>
        </is>
      </c>
      <c r="S4" t="inlineStr">
        <is>
          <t>Pfizer Digital – GLNS Support S1 2025</t>
        </is>
      </c>
      <c r="T4" s="167" t="n">
        <v>45658</v>
      </c>
      <c r="U4" s="167" t="n">
        <v>45838</v>
      </c>
      <c r="V4" t="inlineStr">
        <is>
          <t>C-VM9K</t>
        </is>
      </c>
      <c r="W4" t="inlineStr">
        <is>
          <t>Rafael Sampaio</t>
        </is>
      </c>
      <c r="X4" t="n">
        <v>131</v>
      </c>
      <c r="Y4" t="n">
        <v/>
      </c>
      <c r="Z4" t="n">
        <v/>
      </c>
      <c r="AA4" t="n">
        <v>0</v>
      </c>
      <c r="AB4" t="n">
        <v>0</v>
      </c>
      <c r="AC4" t="n">
        <v>0</v>
      </c>
      <c r="AD4" t="n">
        <v>0</v>
      </c>
      <c r="AE4" t="n">
        <v/>
      </c>
      <c r="AF4" t="n">
        <v>0</v>
      </c>
      <c r="AG4" t="n">
        <v>0</v>
      </c>
      <c r="AH4" t="n">
        <v>0</v>
      </c>
      <c r="AI4" t="n">
        <v>0</v>
      </c>
      <c r="AJ4" t="n">
        <v/>
      </c>
      <c r="AK4" t="n">
        <v>1</v>
      </c>
      <c r="AL4" t="n">
        <v>0</v>
      </c>
      <c r="AM4" t="n">
        <v/>
      </c>
      <c r="AN4" t="n">
        <v>720</v>
      </c>
      <c r="AO4" t="n">
        <v>0</v>
      </c>
      <c r="AP4" t="n">
        <v>0</v>
      </c>
      <c r="AQ4" t="n">
        <v>200</v>
      </c>
      <c r="AR4" t="n">
        <v>160</v>
      </c>
      <c r="AS4" t="n">
        <v>160</v>
      </c>
      <c r="AT4" t="n">
        <v>192</v>
      </c>
      <c r="AU4" t="n">
        <v>8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26200</v>
      </c>
      <c r="BD4" t="n">
        <v>20960</v>
      </c>
      <c r="BE4" t="n">
        <v>20960</v>
      </c>
      <c r="BF4" t="n">
        <v>25152</v>
      </c>
      <c r="BG4" t="n">
        <v>1048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94320</v>
      </c>
    </row>
    <row r="5">
      <c r="A5" t="inlineStr">
        <is>
          <t>9500882917</t>
        </is>
      </c>
      <c r="B5" t="n">
        <v>177957</v>
      </c>
      <c r="C5" t="n">
        <v>25857</v>
      </c>
      <c r="D5" t="n">
        <v>30420</v>
      </c>
      <c r="E5" t="n">
        <v>33800</v>
      </c>
      <c r="F5" t="n">
        <v>27040</v>
      </c>
      <c r="G5" t="n">
        <v>27040</v>
      </c>
      <c r="H5" t="n">
        <v>32448</v>
      </c>
      <c r="I5" t="n">
        <v>1352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inlineStr">
        <is>
          <t>Yes</t>
        </is>
      </c>
      <c r="P5" t="inlineStr">
        <is>
          <t>Ashu</t>
        </is>
      </c>
      <c r="Q5" t="inlineStr">
        <is>
          <t>Immanual Thomas</t>
        </is>
      </c>
      <c r="R5" t="inlineStr">
        <is>
          <t>W296Z</t>
        </is>
      </c>
      <c r="S5" t="inlineStr">
        <is>
          <t>Pfizer Digital – GLNS Support S1 2025</t>
        </is>
      </c>
      <c r="T5" s="167" t="n">
        <v>45658</v>
      </c>
      <c r="U5" s="167" t="n">
        <v>45838</v>
      </c>
      <c r="V5" t="inlineStr">
        <is>
          <t>C-RY4V</t>
        </is>
      </c>
      <c r="W5" t="inlineStr">
        <is>
          <t>Srinivas Jakkidi</t>
        </is>
      </c>
      <c r="X5" t="n">
        <v>169</v>
      </c>
      <c r="Y5" t="n">
        <v/>
      </c>
      <c r="Z5" t="n">
        <v/>
      </c>
      <c r="AA5" t="n">
        <v>0</v>
      </c>
      <c r="AB5" t="n">
        <v>0</v>
      </c>
      <c r="AC5" t="n">
        <v>0</v>
      </c>
      <c r="AD5" t="n">
        <v>0</v>
      </c>
      <c r="AE5" t="n">
        <v/>
      </c>
      <c r="AF5" t="n">
        <v>0</v>
      </c>
      <c r="AG5" t="n">
        <v>0</v>
      </c>
      <c r="AH5" t="n">
        <v>0</v>
      </c>
      <c r="AI5" t="n">
        <v>0</v>
      </c>
      <c r="AJ5" t="n">
        <v/>
      </c>
      <c r="AK5" t="n">
        <v>1</v>
      </c>
      <c r="AL5" t="n">
        <v>0</v>
      </c>
      <c r="AM5" t="n">
        <v/>
      </c>
      <c r="AN5" t="n">
        <v>1053</v>
      </c>
      <c r="AO5" t="n">
        <v>153</v>
      </c>
      <c r="AP5" t="n">
        <v>180</v>
      </c>
      <c r="AQ5" t="n">
        <v>200</v>
      </c>
      <c r="AR5" t="n">
        <v>160</v>
      </c>
      <c r="AS5" t="n">
        <v>160</v>
      </c>
      <c r="AT5" t="n">
        <v>192</v>
      </c>
      <c r="AU5" t="n">
        <v>8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25857</v>
      </c>
      <c r="BB5" t="n">
        <v>30420</v>
      </c>
      <c r="BC5" t="n">
        <v>33800</v>
      </c>
      <c r="BD5" t="n">
        <v>27040</v>
      </c>
      <c r="BE5" t="n">
        <v>27040</v>
      </c>
      <c r="BF5" t="n">
        <v>32448</v>
      </c>
      <c r="BG5" t="n">
        <v>1352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177957</v>
      </c>
    </row>
    <row r="6">
      <c r="A6" t="inlineStr">
        <is>
          <t>PO Total</t>
        </is>
      </c>
      <c r="B6">
        <f>SUBTOTAL(9,B2:B5)</f>
        <v/>
      </c>
      <c r="C6">
        <f>SUBTOTAL(9,C2:C5)</f>
        <v/>
      </c>
      <c r="D6">
        <f>SUBTOTAL(9,D2:D5)</f>
        <v/>
      </c>
      <c r="E6">
        <f>SUBTOTAL(9,E2:E5)</f>
        <v/>
      </c>
      <c r="F6">
        <f>SUBTOTAL(9,F2:F5)</f>
        <v/>
      </c>
      <c r="G6">
        <f>SUBTOTAL(9,G2:G5)</f>
        <v/>
      </c>
      <c r="H6">
        <f>SUBTOTAL(9,H2:H5)</f>
        <v/>
      </c>
      <c r="I6">
        <f>SUBTOTAL(9,I2:I5)</f>
        <v/>
      </c>
      <c r="J6">
        <f>SUBTOTAL(9,J2:J5)</f>
        <v/>
      </c>
      <c r="K6">
        <f>SUBTOTAL(9,K2:K5)</f>
        <v/>
      </c>
      <c r="L6">
        <f>SUBTOTAL(9,L2:L5)</f>
        <v/>
      </c>
      <c r="M6">
        <f>SUBTOTAL(9,M2:M5)</f>
        <v/>
      </c>
      <c r="N6">
        <f>SUBTOTAL(9,N2:N5)</f>
        <v/>
      </c>
    </row>
  </sheetData>
  <autoFilter ref="A1:BZ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34" customWidth="1" min="4" max="4"/>
    <col width="21" customWidth="1" min="5" max="5"/>
    <col width="21" customWidth="1" min="6" max="6"/>
    <col width="21" customWidth="1" min="7" max="7"/>
    <col width="52" customWidth="1" min="8" max="8"/>
    <col width="52" customWidth="1" min="9" max="9"/>
    <col width="7" customWidth="1" min="10" max="10"/>
    <col width="23" customWidth="1" min="11" max="11"/>
    <col width="10" customWidth="1" min="12" max="12"/>
    <col hidden="1" outlineLevel="1" width="13" customWidth="1" min="13" max="47"/>
  </cols>
  <sheetData>
    <row r="1">
      <c r="A1" t="inlineStr">
        <is>
          <t>PO Number</t>
        </is>
      </c>
      <c r="B1" t="inlineStr">
        <is>
          <t>Accounting Period</t>
        </is>
      </c>
      <c r="C1" t="inlineStr">
        <is>
          <t>AP Voucher Number</t>
        </is>
      </c>
      <c r="D1" t="inlineStr">
        <is>
          <t>Vendor Name</t>
        </is>
      </c>
      <c r="E1" t="inlineStr">
        <is>
          <t>WBS Element</t>
        </is>
      </c>
      <c r="F1" t="inlineStr">
        <is>
          <t>GL Invoice Date</t>
        </is>
      </c>
      <c r="G1" t="inlineStr">
        <is>
          <t>GL Posting Date</t>
        </is>
      </c>
      <c r="H1" t="inlineStr">
        <is>
          <t>GL Line Description</t>
        </is>
      </c>
      <c r="I1" t="inlineStr">
        <is>
          <t>Description</t>
        </is>
      </c>
      <c r="J1" t="inlineStr">
        <is>
          <t>Month</t>
        </is>
      </c>
      <c r="K1" t="inlineStr">
        <is>
          <t>GL Transaction Amount</t>
        </is>
      </c>
      <c r="L1" t="inlineStr">
        <is>
          <t>Type</t>
        </is>
      </c>
      <c r="M1" t="inlineStr">
        <is>
          <t>Fiscal Year</t>
        </is>
      </c>
      <c r="N1" t="inlineStr">
        <is>
          <t>Planful Date</t>
        </is>
      </c>
      <c r="O1" t="inlineStr">
        <is>
          <t>Function Code</t>
        </is>
      </c>
      <c r="P1" t="inlineStr">
        <is>
          <t>Sub Function Code</t>
        </is>
      </c>
      <c r="Q1" t="inlineStr">
        <is>
          <t>Cost Center*</t>
        </is>
      </c>
      <c r="R1" t="inlineStr">
        <is>
          <t>LT Member*</t>
        </is>
      </c>
      <c r="S1" t="inlineStr">
        <is>
          <t>LT Member -1*</t>
        </is>
      </c>
      <c r="T1" t="inlineStr">
        <is>
          <t>CC Description</t>
        </is>
      </c>
      <c r="U1" t="inlineStr">
        <is>
          <t>CC Level 1</t>
        </is>
      </c>
      <c r="V1" t="inlineStr">
        <is>
          <t>CC Level 2</t>
        </is>
      </c>
      <c r="W1" t="inlineStr">
        <is>
          <t>Org</t>
        </is>
      </c>
      <c r="X1" t="inlineStr">
        <is>
          <t>CC Level 4</t>
        </is>
      </c>
      <c r="Y1" t="inlineStr">
        <is>
          <t>CC Level 5</t>
        </is>
      </c>
      <c r="Z1" t="inlineStr">
        <is>
          <t>Major Code</t>
        </is>
      </c>
      <c r="AA1" t="inlineStr">
        <is>
          <t>Minor Code</t>
        </is>
      </c>
      <c r="AB1" t="inlineStr">
        <is>
          <t>Exp Acct Minor Code - Text</t>
        </is>
      </c>
      <c r="AC1" t="inlineStr">
        <is>
          <t>Account*</t>
        </is>
      </c>
      <c r="AD1" t="inlineStr">
        <is>
          <t>Expense Account Code</t>
        </is>
      </c>
      <c r="AE1" t="inlineStr">
        <is>
          <t>Division Code</t>
        </is>
      </c>
      <c r="AF1" t="inlineStr">
        <is>
          <t>Market Code</t>
        </is>
      </c>
      <c r="AG1" t="inlineStr">
        <is>
          <t>Value Type</t>
        </is>
      </c>
      <c r="AH1" t="inlineStr">
        <is>
          <t>Document Type</t>
        </is>
      </c>
      <c r="AI1" t="inlineStr">
        <is>
          <t>Legal Entity</t>
        </is>
      </c>
      <c r="AJ1" t="inlineStr">
        <is>
          <t>Country</t>
        </is>
      </c>
      <c r="AK1" t="inlineStr">
        <is>
          <t>Region</t>
        </is>
      </c>
      <c r="AL1" t="inlineStr">
        <is>
          <t>Project Code*</t>
        </is>
      </c>
      <c r="AM1" t="inlineStr">
        <is>
          <t>Grouping</t>
        </is>
      </c>
      <c r="AN1" t="inlineStr">
        <is>
          <t>GL Transaction Number</t>
        </is>
      </c>
      <c r="AO1" t="inlineStr">
        <is>
          <t>GL Invoice Number</t>
        </is>
      </c>
      <c r="AP1" t="inlineStr">
        <is>
          <t>Ledger Currency</t>
        </is>
      </c>
      <c r="AQ1" t="inlineStr">
        <is>
          <t>Local Currency</t>
        </is>
      </c>
      <c r="AR1" t="inlineStr">
        <is>
          <t>Transaction Currency</t>
        </is>
      </c>
      <c r="AS1" t="inlineStr">
        <is>
          <t>GL MAR Corp Amount</t>
        </is>
      </c>
      <c r="AT1" t="inlineStr">
        <is>
          <t>GL Local Amount</t>
        </is>
      </c>
      <c r="AU1" t="inlineStr">
        <is>
          <t>GL BER Corp Amount</t>
        </is>
      </c>
    </row>
    <row r="2">
      <c r="A2" t="inlineStr">
        <is>
          <t>9500879389</t>
        </is>
      </c>
      <c r="B2" t="n">
        <v>202502</v>
      </c>
      <c r="C2" t="n">
        <v>5107267072</v>
      </c>
      <c r="D2" t="inlineStr">
        <is>
          <t>IBM WW ORDERING AND US INVOICING</t>
        </is>
      </c>
      <c r="E2" t="inlineStr">
        <is>
          <t>IT-FBT0397-OG-US-00</t>
        </is>
      </c>
      <c r="F2" s="167" t="n">
        <v>45702</v>
      </c>
      <c r="G2" s="167" t="n">
        <v>45702</v>
      </c>
      <c r="H2" t="inlineStr">
        <is>
          <t>IBM 2025 S1 - IO SUPPORT</t>
        </is>
      </c>
      <c r="I2" t="inlineStr">
        <is>
          <t>IBM 2025 S1 - IO SUPPORT</t>
        </is>
      </c>
      <c r="J2" t="n">
        <v>2</v>
      </c>
      <c r="K2" t="n">
        <v>13822.5</v>
      </c>
      <c r="L2" t="inlineStr">
        <is>
          <t>Actual</t>
        </is>
      </c>
      <c r="M2" t="n">
        <v>2025</v>
      </c>
      <c r="N2" s="167" t="n">
        <v>45689</v>
      </c>
      <c r="O2" t="inlineStr">
        <is>
          <t>DIGITAL</t>
        </is>
      </c>
      <c r="P2" t="inlineStr">
        <is>
          <t>IT160</t>
        </is>
      </c>
      <c r="Q2" t="n">
        <v>2320521</v>
      </c>
      <c r="R2" t="inlineStr">
        <is>
          <t>DeHart, Lynn</t>
        </is>
      </c>
      <c r="S2" t="inlineStr">
        <is>
          <t>Ganesan, Srinivasan</t>
        </is>
      </c>
      <c r="T2" t="inlineStr">
        <is>
          <t>1400/9318/02/IT160/0002320521 (780) (Net</t>
        </is>
      </c>
      <c r="U2" t="inlineStr">
        <is>
          <t>DIGITAL</t>
        </is>
      </c>
      <c r="V2" t="inlineStr">
        <is>
          <t>CTIES</t>
        </is>
      </c>
      <c r="W2" t="inlineStr">
        <is>
          <t>ERP</t>
        </is>
      </c>
      <c r="X2" t="inlineStr">
        <is>
          <t>DIGITAL SOLUTION DELIVERY</t>
        </is>
      </c>
      <c r="Y2" t="inlineStr">
        <is>
          <t>DIGITAL SOLUTION DELIVERY HQ- US</t>
        </is>
      </c>
      <c r="Z2" t="n">
        <v>890</v>
      </c>
      <c r="AA2" t="n">
        <v>915</v>
      </c>
      <c r="AB2" t="inlineStr">
        <is>
          <t>Professional Serv-Admin&amp;Commercial</t>
        </is>
      </c>
      <c r="AC2" t="inlineStr">
        <is>
          <t>Contractors</t>
        </is>
      </c>
      <c r="AD2" t="n">
        <v>41010100</v>
      </c>
      <c r="AE2" t="n">
        <v>2</v>
      </c>
      <c r="AF2" t="n">
        <v>9318</v>
      </c>
      <c r="AG2" t="n">
        <v>10</v>
      </c>
      <c r="AH2" t="inlineStr">
        <is>
          <t>RE</t>
        </is>
      </c>
      <c r="AI2" t="n">
        <v>1400</v>
      </c>
      <c r="AJ2" t="inlineStr">
        <is>
          <t>United States</t>
        </is>
      </c>
      <c r="AK2" t="inlineStr">
        <is>
          <t>AMER</t>
        </is>
      </c>
      <c r="AL2" t="inlineStr">
        <is>
          <t>IT-FBT0397-OG-US-00</t>
        </is>
      </c>
      <c r="AM2" t="n">
        <v/>
      </c>
      <c r="AN2" t="n">
        <v>51072670722</v>
      </c>
      <c r="AO2" t="inlineStr">
        <is>
          <t>C25W938901</t>
        </is>
      </c>
      <c r="AP2" t="inlineStr">
        <is>
          <t>USD</t>
        </is>
      </c>
      <c r="AQ2" t="inlineStr">
        <is>
          <t>US Dollar</t>
        </is>
      </c>
      <c r="AR2" t="inlineStr">
        <is>
          <t>USD</t>
        </is>
      </c>
      <c r="AS2" t="n">
        <v>13822.5</v>
      </c>
      <c r="AT2" t="n">
        <v>13822.5</v>
      </c>
      <c r="AU2" t="n">
        <v>13822.5</v>
      </c>
    </row>
    <row r="3">
      <c r="A3" t="inlineStr">
        <is>
          <t>9500882917</t>
        </is>
      </c>
      <c r="B3" t="n">
        <v>202502</v>
      </c>
      <c r="C3" t="n">
        <v>5107267040</v>
      </c>
      <c r="D3" t="inlineStr">
        <is>
          <t>IBM WW ORDERING AND US INVOICING</t>
        </is>
      </c>
      <c r="E3" t="inlineStr">
        <is>
          <t>IT-FBT0545-OG-US-00</t>
        </is>
      </c>
      <c r="F3" s="167" t="n">
        <v>45702</v>
      </c>
      <c r="G3" s="167" t="n">
        <v>45702</v>
      </c>
      <c r="H3" t="inlineStr">
        <is>
          <t>IBM - 2025 S1 COVID APPLICATIONS SUPPORT</t>
        </is>
      </c>
      <c r="I3" t="inlineStr">
        <is>
          <t>IBM - 2025 S1 COVID APPLICATIONS SUPPORT</t>
        </is>
      </c>
      <c r="J3" t="n">
        <v>2</v>
      </c>
      <c r="K3" t="n">
        <v>34040</v>
      </c>
      <c r="L3" t="inlineStr">
        <is>
          <t>Actual</t>
        </is>
      </c>
      <c r="M3" t="n">
        <v>2025</v>
      </c>
      <c r="N3" s="167" t="n">
        <v>45689</v>
      </c>
      <c r="O3" t="inlineStr">
        <is>
          <t>DIGITAL</t>
        </is>
      </c>
      <c r="P3" t="inlineStr">
        <is>
          <t>IT160</t>
        </is>
      </c>
      <c r="Q3" t="n">
        <v>2320521</v>
      </c>
      <c r="R3" t="inlineStr">
        <is>
          <t>DeHart, Lynn</t>
        </is>
      </c>
      <c r="S3" t="inlineStr">
        <is>
          <t>Ganesan, Srinivasan</t>
        </is>
      </c>
      <c r="T3" t="inlineStr">
        <is>
          <t>1400/9318/02/IT160/0002320521 (780) (Net</t>
        </is>
      </c>
      <c r="U3" t="inlineStr">
        <is>
          <t>DIGITAL</t>
        </is>
      </c>
      <c r="V3" t="inlineStr">
        <is>
          <t>CTIES</t>
        </is>
      </c>
      <c r="W3" t="inlineStr">
        <is>
          <t>ERP</t>
        </is>
      </c>
      <c r="X3" t="inlineStr">
        <is>
          <t>DIGITAL SOLUTION DELIVERY</t>
        </is>
      </c>
      <c r="Y3" t="inlineStr">
        <is>
          <t>DIGITAL SOLUTION DELIVERY HQ- US</t>
        </is>
      </c>
      <c r="Z3" t="n">
        <v>890</v>
      </c>
      <c r="AA3" t="n">
        <v>915</v>
      </c>
      <c r="AB3" t="inlineStr">
        <is>
          <t>Professional Serv-Admin&amp;Commercial</t>
        </is>
      </c>
      <c r="AC3" t="inlineStr">
        <is>
          <t>Contractors</t>
        </is>
      </c>
      <c r="AD3" t="n">
        <v>41010100</v>
      </c>
      <c r="AE3" t="n">
        <v>2</v>
      </c>
      <c r="AF3" t="n">
        <v>9318</v>
      </c>
      <c r="AG3" t="n">
        <v>10</v>
      </c>
      <c r="AH3" t="inlineStr">
        <is>
          <t>RE</t>
        </is>
      </c>
      <c r="AI3" t="n">
        <v>1400</v>
      </c>
      <c r="AJ3" t="inlineStr">
        <is>
          <t>United States</t>
        </is>
      </c>
      <c r="AK3" t="inlineStr">
        <is>
          <t>AMER</t>
        </is>
      </c>
      <c r="AL3" t="inlineStr">
        <is>
          <t>IT-FBT0545-OG-US-00</t>
        </is>
      </c>
      <c r="AM3" t="n">
        <v/>
      </c>
      <c r="AN3" t="n">
        <v>51072670402</v>
      </c>
      <c r="AO3" t="inlineStr">
        <is>
          <t>C25W291701</t>
        </is>
      </c>
      <c r="AP3" t="inlineStr">
        <is>
          <t>USD</t>
        </is>
      </c>
      <c r="AQ3" t="inlineStr">
        <is>
          <t>US Dollar</t>
        </is>
      </c>
      <c r="AR3" t="inlineStr">
        <is>
          <t>USD</t>
        </is>
      </c>
      <c r="AS3" t="n">
        <v>34040</v>
      </c>
      <c r="AT3" t="n">
        <v>34040</v>
      </c>
      <c r="AU3" t="n">
        <v>34040</v>
      </c>
    </row>
    <row r="4">
      <c r="A4" t="inlineStr">
        <is>
          <t>9500879389</t>
        </is>
      </c>
      <c r="B4" t="n">
        <v>202502</v>
      </c>
      <c r="C4" t="n">
        <v>2100077443</v>
      </c>
      <c r="D4" t="inlineStr">
        <is>
          <t>Not assigned</t>
        </is>
      </c>
      <c r="E4" t="inlineStr">
        <is>
          <t>IT-FBT0397-OG-US-00</t>
        </is>
      </c>
      <c r="F4" s="167" t="n">
        <v>45712</v>
      </c>
      <c r="G4" s="167" t="n">
        <v>45703</v>
      </c>
      <c r="H4" t="inlineStr">
        <is>
          <t>PO- 9500879389 IBM CORP</t>
        </is>
      </c>
      <c r="I4" t="inlineStr">
        <is>
          <t>PO- 9500879389 IBM CORP</t>
        </is>
      </c>
      <c r="J4" t="n">
        <v>2</v>
      </c>
      <c r="K4" t="n">
        <v>19385.28</v>
      </c>
      <c r="L4" t="inlineStr">
        <is>
          <t>Accrual</t>
        </is>
      </c>
      <c r="M4" t="n">
        <v>2025</v>
      </c>
      <c r="N4" s="167" t="n">
        <v>45689</v>
      </c>
      <c r="O4" t="inlineStr">
        <is>
          <t>DIGITAL</t>
        </is>
      </c>
      <c r="P4" t="inlineStr">
        <is>
          <t>IT160</t>
        </is>
      </c>
      <c r="Q4" t="n">
        <v>2320521</v>
      </c>
      <c r="R4" t="inlineStr">
        <is>
          <t>DeHart, Lynn</t>
        </is>
      </c>
      <c r="S4" t="inlineStr">
        <is>
          <t>Ganesan, Srinivasan</t>
        </is>
      </c>
      <c r="T4" t="inlineStr">
        <is>
          <t>1400/9318/02/IT160/0002320521 (780) (Net</t>
        </is>
      </c>
      <c r="U4" t="inlineStr">
        <is>
          <t>DIGITAL</t>
        </is>
      </c>
      <c r="V4" t="inlineStr">
        <is>
          <t>CTIES</t>
        </is>
      </c>
      <c r="W4" t="inlineStr">
        <is>
          <t>ERP</t>
        </is>
      </c>
      <c r="X4" t="inlineStr">
        <is>
          <t>DIGITAL SOLUTION DELIVERY</t>
        </is>
      </c>
      <c r="Y4" t="inlineStr">
        <is>
          <t>DIGITAL SOLUTION DELIVERY HQ- US</t>
        </is>
      </c>
      <c r="Z4" t="n">
        <v>890</v>
      </c>
      <c r="AA4" t="n">
        <v>915</v>
      </c>
      <c r="AB4" t="inlineStr">
        <is>
          <t>Professional Serv-Admin&amp;Commercial</t>
        </is>
      </c>
      <c r="AC4" t="inlineStr">
        <is>
          <t>Contractors</t>
        </is>
      </c>
      <c r="AD4" t="n">
        <v>41010100</v>
      </c>
      <c r="AE4" t="n">
        <v>2</v>
      </c>
      <c r="AF4" t="n">
        <v>9318</v>
      </c>
      <c r="AG4" t="n">
        <v>10</v>
      </c>
      <c r="AH4" t="inlineStr">
        <is>
          <t>ZY</t>
        </is>
      </c>
      <c r="AI4" t="n">
        <v>1400</v>
      </c>
      <c r="AJ4" t="inlineStr">
        <is>
          <t>United States</t>
        </is>
      </c>
      <c r="AK4" t="inlineStr">
        <is>
          <t>AMER</t>
        </is>
      </c>
      <c r="AL4" t="inlineStr">
        <is>
          <t>IT-FBT0397-OG-US-00</t>
        </is>
      </c>
      <c r="AM4" t="n">
        <v/>
      </c>
      <c r="AN4" t="n">
        <v>2100077443174</v>
      </c>
      <c r="AO4" t="inlineStr">
        <is>
          <t>AP2-25 2WM</t>
        </is>
      </c>
      <c r="AP4" t="inlineStr">
        <is>
          <t>USD</t>
        </is>
      </c>
      <c r="AQ4" t="inlineStr">
        <is>
          <t>US Dollar</t>
        </is>
      </c>
      <c r="AR4" t="inlineStr">
        <is>
          <t>USD</t>
        </is>
      </c>
      <c r="AS4" t="n">
        <v>19385.28</v>
      </c>
      <c r="AT4" t="n">
        <v>19385.28</v>
      </c>
      <c r="AU4" t="n">
        <v>19385.28</v>
      </c>
    </row>
    <row r="5">
      <c r="A5" t="inlineStr">
        <is>
          <t>9500882917</t>
        </is>
      </c>
      <c r="B5" t="n">
        <v>202502</v>
      </c>
      <c r="C5" t="n">
        <v>2100077443</v>
      </c>
      <c r="D5" t="inlineStr">
        <is>
          <t>Not assigned</t>
        </is>
      </c>
      <c r="E5" t="inlineStr">
        <is>
          <t>IT-FBT0545-OG-US-00</t>
        </is>
      </c>
      <c r="F5" s="167" t="n">
        <v>45712</v>
      </c>
      <c r="G5" s="167" t="n">
        <v>45703</v>
      </c>
      <c r="H5" t="inlineStr">
        <is>
          <t>PO- 9500882917 IBM CORP</t>
        </is>
      </c>
      <c r="I5" t="inlineStr">
        <is>
          <t>PO- 9500882917 IBM CORP</t>
        </is>
      </c>
      <c r="J5" t="n">
        <v>2</v>
      </c>
      <c r="K5" t="n">
        <v>62210</v>
      </c>
      <c r="L5" t="inlineStr">
        <is>
          <t>Accrual</t>
        </is>
      </c>
      <c r="M5" t="n">
        <v>2025</v>
      </c>
      <c r="N5" s="167" t="n">
        <v>45689</v>
      </c>
      <c r="O5" t="inlineStr">
        <is>
          <t>DIGITAL</t>
        </is>
      </c>
      <c r="P5" t="inlineStr">
        <is>
          <t>IT160</t>
        </is>
      </c>
      <c r="Q5" t="n">
        <v>2320521</v>
      </c>
      <c r="R5" t="inlineStr">
        <is>
          <t>DeHart, Lynn</t>
        </is>
      </c>
      <c r="S5" t="inlineStr">
        <is>
          <t>Ganesan, Srinivasan</t>
        </is>
      </c>
      <c r="T5" t="inlineStr">
        <is>
          <t>1400/9318/02/IT160/0002320521 (780) (Net</t>
        </is>
      </c>
      <c r="U5" t="inlineStr">
        <is>
          <t>DIGITAL</t>
        </is>
      </c>
      <c r="V5" t="inlineStr">
        <is>
          <t>CTIES</t>
        </is>
      </c>
      <c r="W5" t="inlineStr">
        <is>
          <t>ERP</t>
        </is>
      </c>
      <c r="X5" t="inlineStr">
        <is>
          <t>DIGITAL SOLUTION DELIVERY</t>
        </is>
      </c>
      <c r="Y5" t="inlineStr">
        <is>
          <t>DIGITAL SOLUTION DELIVERY HQ- US</t>
        </is>
      </c>
      <c r="Z5" t="n">
        <v>890</v>
      </c>
      <c r="AA5" t="n">
        <v>915</v>
      </c>
      <c r="AB5" t="inlineStr">
        <is>
          <t>Professional Serv-Admin&amp;Commercial</t>
        </is>
      </c>
      <c r="AC5" t="inlineStr">
        <is>
          <t>Contractors</t>
        </is>
      </c>
      <c r="AD5" t="n">
        <v>41010100</v>
      </c>
      <c r="AE5" t="n">
        <v>2</v>
      </c>
      <c r="AF5" t="n">
        <v>9318</v>
      </c>
      <c r="AG5" t="n">
        <v>10</v>
      </c>
      <c r="AH5" t="inlineStr">
        <is>
          <t>ZY</t>
        </is>
      </c>
      <c r="AI5" t="n">
        <v>1400</v>
      </c>
      <c r="AJ5" t="inlineStr">
        <is>
          <t>United States</t>
        </is>
      </c>
      <c r="AK5" t="inlineStr">
        <is>
          <t>AMER</t>
        </is>
      </c>
      <c r="AL5" t="inlineStr">
        <is>
          <t>IT-FBT0545-OG-US-00</t>
        </is>
      </c>
      <c r="AM5" t="n">
        <v/>
      </c>
      <c r="AN5" t="n">
        <v>2100077443177</v>
      </c>
      <c r="AO5" t="inlineStr">
        <is>
          <t>AP2-25 2WM</t>
        </is>
      </c>
      <c r="AP5" t="inlineStr">
        <is>
          <t>USD</t>
        </is>
      </c>
      <c r="AQ5" t="inlineStr">
        <is>
          <t>US Dollar</t>
        </is>
      </c>
      <c r="AR5" t="inlineStr">
        <is>
          <t>USD</t>
        </is>
      </c>
      <c r="AS5" t="n">
        <v>62210</v>
      </c>
      <c r="AT5" t="n">
        <v>62210</v>
      </c>
      <c r="AU5" t="n">
        <v>62210</v>
      </c>
    </row>
    <row r="6">
      <c r="A6" t="inlineStr">
        <is>
          <t>9500879389</t>
        </is>
      </c>
      <c r="B6" t="n">
        <v>202503</v>
      </c>
      <c r="C6" t="n">
        <v>2100077864</v>
      </c>
      <c r="D6" t="inlineStr">
        <is>
          <t>Not assigned</t>
        </is>
      </c>
      <c r="E6" t="inlineStr">
        <is>
          <t>IT-FBT0790-OG-US-00</t>
        </is>
      </c>
      <c r="F6" s="167" t="n">
        <v>45747</v>
      </c>
      <c r="G6" s="167" t="n">
        <v>45731</v>
      </c>
      <c r="H6" t="inlineStr">
        <is>
          <t>PO- 9500879389 IBM CORP</t>
        </is>
      </c>
      <c r="I6" t="inlineStr">
        <is>
          <t>PO- 9500879389 IBM CORP</t>
        </is>
      </c>
      <c r="J6" t="n">
        <v>3</v>
      </c>
      <c r="K6" t="n">
        <v>22813.72</v>
      </c>
      <c r="L6" t="inlineStr">
        <is>
          <t>Accrual</t>
        </is>
      </c>
      <c r="M6" t="n">
        <v>2025</v>
      </c>
      <c r="N6" s="167" t="n">
        <v>45717</v>
      </c>
      <c r="O6" t="inlineStr">
        <is>
          <t>DIGITAL</t>
        </is>
      </c>
      <c r="P6" t="inlineStr">
        <is>
          <t>IT160</t>
        </is>
      </c>
      <c r="Q6" t="n">
        <v>2320521</v>
      </c>
      <c r="R6" t="inlineStr">
        <is>
          <t>DeHart, Lynn</t>
        </is>
      </c>
      <c r="S6" t="inlineStr">
        <is>
          <t>Ganesan, Srinivasan</t>
        </is>
      </c>
      <c r="T6" t="inlineStr">
        <is>
          <t>1400/9318/02/IT160/0002320521 (780) (Net</t>
        </is>
      </c>
      <c r="U6" t="inlineStr">
        <is>
          <t>DIGITAL</t>
        </is>
      </c>
      <c r="V6" t="inlineStr">
        <is>
          <t>CTIES</t>
        </is>
      </c>
      <c r="W6" t="inlineStr">
        <is>
          <t>ERP</t>
        </is>
      </c>
      <c r="X6" t="inlineStr">
        <is>
          <t>DIGITAL SOLUTION DELIVERY</t>
        </is>
      </c>
      <c r="Y6" t="inlineStr">
        <is>
          <t>DIGITAL SOLUTION DELIVERY HQ- US</t>
        </is>
      </c>
      <c r="Z6" t="n">
        <v>890</v>
      </c>
      <c r="AA6" t="n">
        <v>915</v>
      </c>
      <c r="AB6" t="inlineStr">
        <is>
          <t>Professional Serv-Admin&amp;Commercial</t>
        </is>
      </c>
      <c r="AC6" t="inlineStr">
        <is>
          <t>Contractors</t>
        </is>
      </c>
      <c r="AD6" t="n">
        <v>41010100</v>
      </c>
      <c r="AE6" t="n">
        <v>2</v>
      </c>
      <c r="AF6" t="n">
        <v>9318</v>
      </c>
      <c r="AG6" t="n">
        <v>10</v>
      </c>
      <c r="AH6" t="inlineStr">
        <is>
          <t>ZY</t>
        </is>
      </c>
      <c r="AI6" t="n">
        <v>1400</v>
      </c>
      <c r="AJ6" t="inlineStr">
        <is>
          <t>United States</t>
        </is>
      </c>
      <c r="AK6" t="inlineStr">
        <is>
          <t>AMER</t>
        </is>
      </c>
      <c r="AL6" t="inlineStr">
        <is>
          <t>IT-FBT0790-OG-US-00</t>
        </is>
      </c>
      <c r="AM6" t="n">
        <v/>
      </c>
      <c r="AN6" t="n">
        <v>2100077864157</v>
      </c>
      <c r="AO6" t="inlineStr">
        <is>
          <t>AP3-25 2WM</t>
        </is>
      </c>
      <c r="AP6" t="inlineStr">
        <is>
          <t>USD</t>
        </is>
      </c>
      <c r="AQ6" t="inlineStr">
        <is>
          <t>US Dollar</t>
        </is>
      </c>
      <c r="AR6" t="inlineStr">
        <is>
          <t>USD</t>
        </is>
      </c>
      <c r="AS6" t="n">
        <v>22813.72</v>
      </c>
      <c r="AT6" t="n">
        <v>22813.72</v>
      </c>
      <c r="AU6" t="n">
        <v>22813.72</v>
      </c>
    </row>
    <row r="7">
      <c r="A7" t="inlineStr">
        <is>
          <t>9500882917</t>
        </is>
      </c>
      <c r="B7" t="n">
        <v>202504</v>
      </c>
      <c r="C7" t="n">
        <v>5107369850</v>
      </c>
      <c r="D7" t="inlineStr">
        <is>
          <t>IBM WW ORDERING AND US INVOICING</t>
        </is>
      </c>
      <c r="E7" t="inlineStr">
        <is>
          <t>IT-FBT0545-OG-US-00</t>
        </is>
      </c>
      <c r="F7" s="167" t="n">
        <v>45758</v>
      </c>
      <c r="G7" s="167" t="n">
        <v>45761</v>
      </c>
      <c r="H7" t="inlineStr">
        <is>
          <t>IBM - 2025 S1 COVID APPLICATIONS SUPPORT</t>
        </is>
      </c>
      <c r="I7" t="inlineStr">
        <is>
          <t>IBM - 2025 S1 COVID APPLICATIONS SUPPORT</t>
        </is>
      </c>
      <c r="J7" t="n">
        <v>4</v>
      </c>
      <c r="K7" t="n">
        <v>58648</v>
      </c>
      <c r="L7" t="inlineStr">
        <is>
          <t>Actual</t>
        </is>
      </c>
      <c r="M7" t="n">
        <v>2025</v>
      </c>
      <c r="N7" s="167" t="n">
        <v>45748</v>
      </c>
      <c r="O7" t="inlineStr">
        <is>
          <t>DIGITAL</t>
        </is>
      </c>
      <c r="P7" t="inlineStr">
        <is>
          <t>IT160</t>
        </is>
      </c>
      <c r="Q7" t="n">
        <v>2320521</v>
      </c>
      <c r="R7" t="inlineStr">
        <is>
          <t>DeHart, Lynn</t>
        </is>
      </c>
      <c r="S7" t="inlineStr">
        <is>
          <t>Ganesan, Srinivasan</t>
        </is>
      </c>
      <c r="T7" t="inlineStr">
        <is>
          <t>1400/9318/02/IT160/0002320521 (780) (Net</t>
        </is>
      </c>
      <c r="U7" t="inlineStr">
        <is>
          <t>DIGITAL</t>
        </is>
      </c>
      <c r="V7" t="inlineStr">
        <is>
          <t>CTIES</t>
        </is>
      </c>
      <c r="W7" t="inlineStr">
        <is>
          <t>ERP</t>
        </is>
      </c>
      <c r="X7" t="inlineStr">
        <is>
          <t>DIGITAL SOLUTION DELIVERY</t>
        </is>
      </c>
      <c r="Y7" t="inlineStr">
        <is>
          <t>DIGITAL SOLUTION DELIVERY HQ- US</t>
        </is>
      </c>
      <c r="Z7" t="n">
        <v>890</v>
      </c>
      <c r="AA7" t="n">
        <v>915</v>
      </c>
      <c r="AB7" t="inlineStr">
        <is>
          <t>Professional Serv-Admin&amp;Commercial</t>
        </is>
      </c>
      <c r="AC7" t="inlineStr">
        <is>
          <t>Contractors</t>
        </is>
      </c>
      <c r="AD7" t="n">
        <v>41010100</v>
      </c>
      <c r="AE7" t="n">
        <v>2</v>
      </c>
      <c r="AF7" t="n">
        <v>9318</v>
      </c>
      <c r="AG7" t="n">
        <v>10</v>
      </c>
      <c r="AH7" t="inlineStr">
        <is>
          <t>RE</t>
        </is>
      </c>
      <c r="AI7" t="n">
        <v>1400</v>
      </c>
      <c r="AJ7" t="inlineStr">
        <is>
          <t>United States</t>
        </is>
      </c>
      <c r="AK7" t="inlineStr">
        <is>
          <t>AMER</t>
        </is>
      </c>
      <c r="AL7" t="inlineStr">
        <is>
          <t>IT-FBT0545-OG-US-00</t>
        </is>
      </c>
      <c r="AM7" t="n">
        <v/>
      </c>
      <c r="AN7" t="n">
        <v>51073698502</v>
      </c>
      <c r="AO7" t="inlineStr">
        <is>
          <t>C25291703</t>
        </is>
      </c>
      <c r="AP7" t="inlineStr">
        <is>
          <t>USD</t>
        </is>
      </c>
      <c r="AQ7" t="inlineStr">
        <is>
          <t>US Dollar</t>
        </is>
      </c>
      <c r="AR7" t="inlineStr">
        <is>
          <t>USD</t>
        </is>
      </c>
      <c r="AS7" t="n">
        <v>58648</v>
      </c>
      <c r="AT7" t="n">
        <v>58648</v>
      </c>
      <c r="AU7" t="n">
        <v>58648</v>
      </c>
    </row>
    <row r="8">
      <c r="A8" t="inlineStr">
        <is>
          <t>9500879389</t>
        </is>
      </c>
      <c r="B8" t="n">
        <v>202504</v>
      </c>
      <c r="C8" t="n">
        <v>5107366814</v>
      </c>
      <c r="D8" t="inlineStr">
        <is>
          <t>IBM WW ORDERING AND US INVOICING</t>
        </is>
      </c>
      <c r="E8" t="inlineStr">
        <is>
          <t>IT-FBT0790-OG-US-00</t>
        </is>
      </c>
      <c r="F8" s="167" t="n">
        <v>45758</v>
      </c>
      <c r="G8" s="167" t="n">
        <v>45758</v>
      </c>
      <c r="H8" t="inlineStr">
        <is>
          <t>IBM 2025 S1 - IO SUPPORT</t>
        </is>
      </c>
      <c r="I8" t="inlineStr">
        <is>
          <t>IBM 2025 S1 - IO SUPPORT</t>
        </is>
      </c>
      <c r="J8" t="n">
        <v>4</v>
      </c>
      <c r="K8" t="n">
        <v>20425</v>
      </c>
      <c r="L8" t="inlineStr">
        <is>
          <t>Actual</t>
        </is>
      </c>
      <c r="M8" t="n">
        <v>2025</v>
      </c>
      <c r="N8" s="167" t="n">
        <v>45748</v>
      </c>
      <c r="O8" t="inlineStr">
        <is>
          <t>DIGITAL</t>
        </is>
      </c>
      <c r="P8" t="inlineStr">
        <is>
          <t>IT160</t>
        </is>
      </c>
      <c r="Q8" t="n">
        <v>2320521</v>
      </c>
      <c r="R8" t="inlineStr">
        <is>
          <t>DeHart, Lynn</t>
        </is>
      </c>
      <c r="S8" t="inlineStr">
        <is>
          <t>Ganesan, Srinivasan</t>
        </is>
      </c>
      <c r="T8" t="inlineStr">
        <is>
          <t>1400/9318/02/IT160/0002320521 (780) (Net</t>
        </is>
      </c>
      <c r="U8" t="inlineStr">
        <is>
          <t>DIGITAL</t>
        </is>
      </c>
      <c r="V8" t="inlineStr">
        <is>
          <t>CTIES</t>
        </is>
      </c>
      <c r="W8" t="inlineStr">
        <is>
          <t>ERP</t>
        </is>
      </c>
      <c r="X8" t="inlineStr">
        <is>
          <t>DIGITAL SOLUTION DELIVERY</t>
        </is>
      </c>
      <c r="Y8" t="inlineStr">
        <is>
          <t>DIGITAL SOLUTION DELIVERY HQ- US</t>
        </is>
      </c>
      <c r="Z8" t="n">
        <v>890</v>
      </c>
      <c r="AA8" t="n">
        <v>915</v>
      </c>
      <c r="AB8" t="inlineStr">
        <is>
          <t>Professional Serv-Admin&amp;Commercial</t>
        </is>
      </c>
      <c r="AC8" t="inlineStr">
        <is>
          <t>Contractors</t>
        </is>
      </c>
      <c r="AD8" t="n">
        <v>41010100</v>
      </c>
      <c r="AE8" t="n">
        <v>2</v>
      </c>
      <c r="AF8" t="n">
        <v>9318</v>
      </c>
      <c r="AG8" t="n">
        <v>10</v>
      </c>
      <c r="AH8" t="inlineStr">
        <is>
          <t>RE</t>
        </is>
      </c>
      <c r="AI8" t="n">
        <v>1400</v>
      </c>
      <c r="AJ8" t="inlineStr">
        <is>
          <t>United States</t>
        </is>
      </c>
      <c r="AK8" t="inlineStr">
        <is>
          <t>AMER</t>
        </is>
      </c>
      <c r="AL8" t="inlineStr">
        <is>
          <t>IT-FBT0790-OG-US-00</t>
        </is>
      </c>
      <c r="AM8" t="n">
        <v/>
      </c>
      <c r="AN8" t="n">
        <v>51073668142</v>
      </c>
      <c r="AO8" t="inlineStr">
        <is>
          <t>C25938903</t>
        </is>
      </c>
      <c r="AP8" t="inlineStr">
        <is>
          <t>USD</t>
        </is>
      </c>
      <c r="AQ8" t="inlineStr">
        <is>
          <t>US Dollar</t>
        </is>
      </c>
      <c r="AR8" t="inlineStr">
        <is>
          <t>USD</t>
        </is>
      </c>
      <c r="AS8" t="n">
        <v>20425</v>
      </c>
      <c r="AT8" t="n">
        <v>20425</v>
      </c>
      <c r="AU8" t="n">
        <v>20425</v>
      </c>
    </row>
    <row r="9">
      <c r="A9" t="inlineStr">
        <is>
          <t>9500882917</t>
        </is>
      </c>
      <c r="B9" t="n">
        <v>202504</v>
      </c>
      <c r="C9" t="n">
        <v>2100078176</v>
      </c>
      <c r="D9" t="inlineStr">
        <is>
          <t>Not assigned</t>
        </is>
      </c>
      <c r="E9" t="inlineStr">
        <is>
          <t>IT-FBT0545-OG-US-00</t>
        </is>
      </c>
      <c r="F9" s="167" t="n">
        <v>45747</v>
      </c>
      <c r="G9" s="167" t="n">
        <v>45754</v>
      </c>
      <c r="H9" t="inlineStr">
        <is>
          <t>PO- 9500882917 IBM CORP</t>
        </is>
      </c>
      <c r="I9" t="inlineStr">
        <is>
          <t>PO- 9500882917 IBM CORP</t>
        </is>
      </c>
      <c r="J9" t="n">
        <v>4</v>
      </c>
      <c r="K9" t="n">
        <v>-121710</v>
      </c>
      <c r="L9" t="inlineStr">
        <is>
          <t>Reversal</t>
        </is>
      </c>
      <c r="M9" t="n">
        <v>2025</v>
      </c>
      <c r="N9" s="167" t="n">
        <v>45748</v>
      </c>
      <c r="O9" t="inlineStr">
        <is>
          <t>DIGITAL</t>
        </is>
      </c>
      <c r="P9" t="inlineStr">
        <is>
          <t>IT160</t>
        </is>
      </c>
      <c r="Q9" t="n">
        <v>2320521</v>
      </c>
      <c r="R9" t="inlineStr">
        <is>
          <t>DeHart, Lynn</t>
        </is>
      </c>
      <c r="S9" t="inlineStr">
        <is>
          <t>Ganesan, Srinivasan</t>
        </is>
      </c>
      <c r="T9" t="inlineStr">
        <is>
          <t>1400/9318/02/IT160/0002320521 (780) (Net</t>
        </is>
      </c>
      <c r="U9" t="inlineStr">
        <is>
          <t>DIGITAL</t>
        </is>
      </c>
      <c r="V9" t="inlineStr">
        <is>
          <t>CTIES</t>
        </is>
      </c>
      <c r="W9" t="inlineStr">
        <is>
          <t>ERP</t>
        </is>
      </c>
      <c r="X9" t="inlineStr">
        <is>
          <t>DIGITAL SOLUTION DELIVERY</t>
        </is>
      </c>
      <c r="Y9" t="inlineStr">
        <is>
          <t>DIGITAL SOLUTION DELIVERY HQ- US</t>
        </is>
      </c>
      <c r="Z9" t="n">
        <v>890</v>
      </c>
      <c r="AA9" t="n">
        <v>915</v>
      </c>
      <c r="AB9" t="inlineStr">
        <is>
          <t>Professional Serv-Admin&amp;Commercial</t>
        </is>
      </c>
      <c r="AC9" t="inlineStr">
        <is>
          <t>Contractors</t>
        </is>
      </c>
      <c r="AD9" t="n">
        <v>41010100</v>
      </c>
      <c r="AE9" t="n">
        <v>2</v>
      </c>
      <c r="AF9" t="n">
        <v>9318</v>
      </c>
      <c r="AG9" t="n">
        <v>10</v>
      </c>
      <c r="AH9" t="inlineStr">
        <is>
          <t>ZY</t>
        </is>
      </c>
      <c r="AI9" t="n">
        <v>1400</v>
      </c>
      <c r="AJ9" t="inlineStr">
        <is>
          <t>United States</t>
        </is>
      </c>
      <c r="AK9" t="inlineStr">
        <is>
          <t>AMER</t>
        </is>
      </c>
      <c r="AL9" t="inlineStr">
        <is>
          <t>IT-FBT0545-OG-US-00</t>
        </is>
      </c>
      <c r="AM9" t="n">
        <v/>
      </c>
      <c r="AN9" t="n">
        <v>210007817614</v>
      </c>
      <c r="AO9" t="inlineStr">
        <is>
          <t>#</t>
        </is>
      </c>
      <c r="AP9" t="inlineStr">
        <is>
          <t>USD</t>
        </is>
      </c>
      <c r="AQ9" t="inlineStr">
        <is>
          <t>US Dollar</t>
        </is>
      </c>
      <c r="AR9" t="inlineStr">
        <is>
          <t>USD</t>
        </is>
      </c>
      <c r="AS9" t="n">
        <v>-121710</v>
      </c>
      <c r="AT9" t="n">
        <v>-121710</v>
      </c>
      <c r="AU9" t="n">
        <v>-121710</v>
      </c>
    </row>
    <row r="10">
      <c r="A10" t="inlineStr">
        <is>
          <t>9500882917</t>
        </is>
      </c>
      <c r="B10" t="n">
        <v>202504</v>
      </c>
      <c r="C10" t="n">
        <v>2100078226</v>
      </c>
      <c r="D10" t="inlineStr">
        <is>
          <t>Not assigned</t>
        </is>
      </c>
      <c r="E10" t="inlineStr">
        <is>
          <t>IT-FBT0545-OG-US-00</t>
        </is>
      </c>
      <c r="F10" s="167" t="n">
        <v>45748</v>
      </c>
      <c r="G10" s="167" t="n">
        <v>45754</v>
      </c>
      <c r="H10" t="inlineStr">
        <is>
          <t>PO- 9500882917 IBM CORP</t>
        </is>
      </c>
      <c r="I10" t="inlineStr">
        <is>
          <t>PO- 9500882917 IBM CORP</t>
        </is>
      </c>
      <c r="J10" t="n">
        <v>4</v>
      </c>
      <c r="K10" t="n">
        <v>16110</v>
      </c>
      <c r="L10" t="inlineStr">
        <is>
          <t>Accrual</t>
        </is>
      </c>
      <c r="M10" t="n">
        <v>2025</v>
      </c>
      <c r="N10" s="167" t="n">
        <v>45748</v>
      </c>
      <c r="O10" t="inlineStr">
        <is>
          <t>DIGITAL</t>
        </is>
      </c>
      <c r="P10" t="inlineStr">
        <is>
          <t>IT160</t>
        </is>
      </c>
      <c r="Q10" t="n">
        <v>2320521</v>
      </c>
      <c r="R10" t="inlineStr">
        <is>
          <t>DeHart, Lynn</t>
        </is>
      </c>
      <c r="S10" t="inlineStr">
        <is>
          <t>Ganesan, Srinivasan</t>
        </is>
      </c>
      <c r="T10" t="inlineStr">
        <is>
          <t>1400/9318/02/IT160/0002320521 (780) (Net</t>
        </is>
      </c>
      <c r="U10" t="inlineStr">
        <is>
          <t>DIGITAL</t>
        </is>
      </c>
      <c r="V10" t="inlineStr">
        <is>
          <t>CTIES</t>
        </is>
      </c>
      <c r="W10" t="inlineStr">
        <is>
          <t>ERP</t>
        </is>
      </c>
      <c r="X10" t="inlineStr">
        <is>
          <t>DIGITAL SOLUTION DELIVERY</t>
        </is>
      </c>
      <c r="Y10" t="inlineStr">
        <is>
          <t>DIGITAL SOLUTION DELIVERY HQ- US</t>
        </is>
      </c>
      <c r="Z10" t="n">
        <v>890</v>
      </c>
      <c r="AA10" t="n">
        <v>915</v>
      </c>
      <c r="AB10" t="inlineStr">
        <is>
          <t>Professional Serv-Admin&amp;Commercial</t>
        </is>
      </c>
      <c r="AC10" t="inlineStr">
        <is>
          <t>Contractors</t>
        </is>
      </c>
      <c r="AD10" t="n">
        <v>41010100</v>
      </c>
      <c r="AE10" t="n">
        <v>2</v>
      </c>
      <c r="AF10" t="n">
        <v>9318</v>
      </c>
      <c r="AG10" t="n">
        <v>10</v>
      </c>
      <c r="AH10" t="inlineStr">
        <is>
          <t>ZY</t>
        </is>
      </c>
      <c r="AI10" t="n">
        <v>1400</v>
      </c>
      <c r="AJ10" t="inlineStr">
        <is>
          <t>United States</t>
        </is>
      </c>
      <c r="AK10" t="inlineStr">
        <is>
          <t>AMER</t>
        </is>
      </c>
      <c r="AL10" t="inlineStr">
        <is>
          <t>IT-FBT0545-OG-US-00</t>
        </is>
      </c>
      <c r="AM10" t="n">
        <v/>
      </c>
      <c r="AN10" t="n">
        <v>21000782268</v>
      </c>
      <c r="AO10" t="inlineStr">
        <is>
          <t>OPEX -T3 ADJ</t>
        </is>
      </c>
      <c r="AP10" t="inlineStr">
        <is>
          <t>USD</t>
        </is>
      </c>
      <c r="AQ10" t="inlineStr">
        <is>
          <t>US Dollar</t>
        </is>
      </c>
      <c r="AR10" t="inlineStr">
        <is>
          <t>USD</t>
        </is>
      </c>
      <c r="AS10" t="n">
        <v>16110</v>
      </c>
      <c r="AT10" t="n">
        <v>16110</v>
      </c>
      <c r="AU10" t="n">
        <v>16110</v>
      </c>
    </row>
    <row r="11">
      <c r="A11" t="inlineStr">
        <is>
          <t>9500882917</t>
        </is>
      </c>
      <c r="B11" t="n">
        <v>202504</v>
      </c>
      <c r="C11" t="n">
        <v>2100078519</v>
      </c>
      <c r="D11" t="inlineStr">
        <is>
          <t>Not assigned</t>
        </is>
      </c>
      <c r="E11" t="inlineStr">
        <is>
          <t>IT-FBT0545-OG-US-00</t>
        </is>
      </c>
      <c r="F11" s="167" t="n">
        <v>45775</v>
      </c>
      <c r="G11" s="167" t="n">
        <v>45762</v>
      </c>
      <c r="H11" t="inlineStr">
        <is>
          <t>PO- 9500882917 IBM CORP</t>
        </is>
      </c>
      <c r="I11" t="inlineStr">
        <is>
          <t>PO- 9500882917 IBM CORP</t>
        </is>
      </c>
      <c r="J11" t="n">
        <v>4</v>
      </c>
      <c r="K11" t="n">
        <v>112062</v>
      </c>
      <c r="L11" t="inlineStr">
        <is>
          <t>Accrual</t>
        </is>
      </c>
      <c r="M11" t="n">
        <v>2025</v>
      </c>
      <c r="N11" s="167" t="n">
        <v>45748</v>
      </c>
      <c r="O11" t="inlineStr">
        <is>
          <t>DIGITAL</t>
        </is>
      </c>
      <c r="P11" t="inlineStr">
        <is>
          <t>IT160</t>
        </is>
      </c>
      <c r="Q11" t="n">
        <v>2320521</v>
      </c>
      <c r="R11" t="inlineStr">
        <is>
          <t>DeHart, Lynn</t>
        </is>
      </c>
      <c r="S11" t="inlineStr">
        <is>
          <t>Ganesan, Srinivasan</t>
        </is>
      </c>
      <c r="T11" t="inlineStr">
        <is>
          <t>1400/9318/02/IT160/0002320521 (780) (Net</t>
        </is>
      </c>
      <c r="U11" t="inlineStr">
        <is>
          <t>DIGITAL</t>
        </is>
      </c>
      <c r="V11" t="inlineStr">
        <is>
          <t>CTIES</t>
        </is>
      </c>
      <c r="W11" t="inlineStr">
        <is>
          <t>ERP</t>
        </is>
      </c>
      <c r="X11" t="inlineStr">
        <is>
          <t>DIGITAL SOLUTION DELIVERY</t>
        </is>
      </c>
      <c r="Y11" t="inlineStr">
        <is>
          <t>DIGITAL SOLUTION DELIVERY HQ- US</t>
        </is>
      </c>
      <c r="Z11" t="n">
        <v>890</v>
      </c>
      <c r="AA11" t="n">
        <v>915</v>
      </c>
      <c r="AB11" t="inlineStr">
        <is>
          <t>Professional Serv-Admin&amp;Commercial</t>
        </is>
      </c>
      <c r="AC11" t="inlineStr">
        <is>
          <t>Contractors</t>
        </is>
      </c>
      <c r="AD11" t="n">
        <v>41010100</v>
      </c>
      <c r="AE11" t="n">
        <v>2</v>
      </c>
      <c r="AF11" t="n">
        <v>9318</v>
      </c>
      <c r="AG11" t="n">
        <v>10</v>
      </c>
      <c r="AH11" t="inlineStr">
        <is>
          <t>ZY</t>
        </is>
      </c>
      <c r="AI11" t="n">
        <v>1400</v>
      </c>
      <c r="AJ11" t="inlineStr">
        <is>
          <t>United States</t>
        </is>
      </c>
      <c r="AK11" t="inlineStr">
        <is>
          <t>AMER</t>
        </is>
      </c>
      <c r="AL11" t="inlineStr">
        <is>
          <t>IT-FBT0545-OG-US-00</t>
        </is>
      </c>
      <c r="AM11" t="n">
        <v/>
      </c>
      <c r="AN11" t="n">
        <v>210007851915</v>
      </c>
      <c r="AO11" t="inlineStr">
        <is>
          <t>#</t>
        </is>
      </c>
      <c r="AP11" t="inlineStr">
        <is>
          <t>USD</t>
        </is>
      </c>
      <c r="AQ11" t="inlineStr">
        <is>
          <t>US Dollar</t>
        </is>
      </c>
      <c r="AR11" t="inlineStr">
        <is>
          <t>USD</t>
        </is>
      </c>
      <c r="AS11" t="n">
        <v>112062</v>
      </c>
      <c r="AT11" t="n">
        <v>112062</v>
      </c>
      <c r="AU11" t="n">
        <v>112062</v>
      </c>
    </row>
    <row r="12">
      <c r="A12" t="inlineStr">
        <is>
          <t>9500882917</t>
        </is>
      </c>
      <c r="B12" t="n">
        <v>202504</v>
      </c>
      <c r="C12" t="n">
        <v>2100078580</v>
      </c>
      <c r="D12" t="inlineStr">
        <is>
          <t>Not assigned</t>
        </is>
      </c>
      <c r="E12" t="inlineStr">
        <is>
          <t>IT-FBT0545-OG-US-00</t>
        </is>
      </c>
      <c r="F12" s="167" t="n">
        <v>45776</v>
      </c>
      <c r="G12" s="167" t="n">
        <v>45762</v>
      </c>
      <c r="H12" t="inlineStr">
        <is>
          <t>PO- 9500882917 IBM CORP</t>
        </is>
      </c>
      <c r="I12" t="inlineStr">
        <is>
          <t>PO- 9500882917 IBM CORP</t>
        </is>
      </c>
      <c r="J12" t="n">
        <v>4</v>
      </c>
      <c r="K12" t="n">
        <v>-18462</v>
      </c>
      <c r="L12" t="inlineStr">
        <is>
          <t>Reversal</t>
        </is>
      </c>
      <c r="M12" t="n">
        <v>2025</v>
      </c>
      <c r="N12" s="167" t="n">
        <v>45748</v>
      </c>
      <c r="O12" t="inlineStr">
        <is>
          <t>DIGITAL</t>
        </is>
      </c>
      <c r="P12" t="inlineStr">
        <is>
          <t>IT160</t>
        </is>
      </c>
      <c r="Q12" t="n">
        <v>2320521</v>
      </c>
      <c r="R12" t="inlineStr">
        <is>
          <t>DeHart, Lynn</t>
        </is>
      </c>
      <c r="S12" t="inlineStr">
        <is>
          <t>Ganesan, Srinivasan</t>
        </is>
      </c>
      <c r="T12" t="inlineStr">
        <is>
          <t>1400/9318/02/IT160/0002320521 (780) (Net</t>
        </is>
      </c>
      <c r="U12" t="inlineStr">
        <is>
          <t>DIGITAL</t>
        </is>
      </c>
      <c r="V12" t="inlineStr">
        <is>
          <t>CTIES</t>
        </is>
      </c>
      <c r="W12" t="inlineStr">
        <is>
          <t>ERP</t>
        </is>
      </c>
      <c r="X12" t="inlineStr">
        <is>
          <t>DIGITAL SOLUTION DELIVERY</t>
        </is>
      </c>
      <c r="Y12" t="inlineStr">
        <is>
          <t>DIGITAL SOLUTION DELIVERY HQ- US</t>
        </is>
      </c>
      <c r="Z12" t="n">
        <v>890</v>
      </c>
      <c r="AA12" t="n">
        <v>915</v>
      </c>
      <c r="AB12" t="inlineStr">
        <is>
          <t>Professional Serv-Admin&amp;Commercial</t>
        </is>
      </c>
      <c r="AC12" t="inlineStr">
        <is>
          <t>Contractors</t>
        </is>
      </c>
      <c r="AD12" t="n">
        <v>41010100</v>
      </c>
      <c r="AE12" t="n">
        <v>2</v>
      </c>
      <c r="AF12" t="n">
        <v>9318</v>
      </c>
      <c r="AG12" t="n">
        <v>10</v>
      </c>
      <c r="AH12" t="inlineStr">
        <is>
          <t>ZY</t>
        </is>
      </c>
      <c r="AI12" t="n">
        <v>1400</v>
      </c>
      <c r="AJ12" t="inlineStr">
        <is>
          <t>United States</t>
        </is>
      </c>
      <c r="AK12" t="inlineStr">
        <is>
          <t>AMER</t>
        </is>
      </c>
      <c r="AL12" t="inlineStr">
        <is>
          <t>IT-FBT0545-OG-US-00</t>
        </is>
      </c>
      <c r="AM12" t="n">
        <v/>
      </c>
      <c r="AN12" t="n">
        <v>210007858011</v>
      </c>
      <c r="AO12" t="inlineStr">
        <is>
          <t>OPEX -T3 ADJ</t>
        </is>
      </c>
      <c r="AP12" t="inlineStr">
        <is>
          <t>USD</t>
        </is>
      </c>
      <c r="AQ12" t="inlineStr">
        <is>
          <t>US Dollar</t>
        </is>
      </c>
      <c r="AR12" t="inlineStr">
        <is>
          <t>USD</t>
        </is>
      </c>
      <c r="AS12" t="n">
        <v>-18462</v>
      </c>
      <c r="AT12" t="n">
        <v>-18462</v>
      </c>
      <c r="AU12" t="n">
        <v>-18462</v>
      </c>
    </row>
    <row r="13">
      <c r="A13" t="inlineStr">
        <is>
          <t>9500879389</t>
        </is>
      </c>
      <c r="B13" t="n">
        <v>202504</v>
      </c>
      <c r="C13" t="n">
        <v>2100078170</v>
      </c>
      <c r="D13" t="inlineStr">
        <is>
          <t>Not assigned</t>
        </is>
      </c>
      <c r="E13" t="inlineStr">
        <is>
          <t>IT-FBT0790-OG-US-00</t>
        </is>
      </c>
      <c r="F13" s="167" t="n">
        <v>45747</v>
      </c>
      <c r="G13" s="167" t="n">
        <v>45754</v>
      </c>
      <c r="H13" t="inlineStr">
        <is>
          <t>PO- 9500879389 IBM CORP</t>
        </is>
      </c>
      <c r="I13" t="inlineStr">
        <is>
          <t>PO- 9500879389 IBM CORP</t>
        </is>
      </c>
      <c r="J13" t="n">
        <v>4</v>
      </c>
      <c r="K13" t="n">
        <v>-22813.72</v>
      </c>
      <c r="L13" t="inlineStr">
        <is>
          <t>Reversal</t>
        </is>
      </c>
      <c r="M13" t="n">
        <v>2025</v>
      </c>
      <c r="N13" s="167" t="n">
        <v>45748</v>
      </c>
      <c r="O13" t="inlineStr">
        <is>
          <t>DIGITAL</t>
        </is>
      </c>
      <c r="P13" t="inlineStr">
        <is>
          <t>IT160</t>
        </is>
      </c>
      <c r="Q13" t="n">
        <v>2320521</v>
      </c>
      <c r="R13" t="inlineStr">
        <is>
          <t>DeHart, Lynn</t>
        </is>
      </c>
      <c r="S13" t="inlineStr">
        <is>
          <t>Ganesan, Srinivasan</t>
        </is>
      </c>
      <c r="T13" t="inlineStr">
        <is>
          <t>1400/9318/02/IT160/0002320521 (780) (Net</t>
        </is>
      </c>
      <c r="U13" t="inlineStr">
        <is>
          <t>DIGITAL</t>
        </is>
      </c>
      <c r="V13" t="inlineStr">
        <is>
          <t>CTIES</t>
        </is>
      </c>
      <c r="W13" t="inlineStr">
        <is>
          <t>ERP</t>
        </is>
      </c>
      <c r="X13" t="inlineStr">
        <is>
          <t>DIGITAL SOLUTION DELIVERY</t>
        </is>
      </c>
      <c r="Y13" t="inlineStr">
        <is>
          <t>DIGITAL SOLUTION DELIVERY HQ- US</t>
        </is>
      </c>
      <c r="Z13" t="n">
        <v>890</v>
      </c>
      <c r="AA13" t="n">
        <v>915</v>
      </c>
      <c r="AB13" t="inlineStr">
        <is>
          <t>Professional Serv-Admin&amp;Commercial</t>
        </is>
      </c>
      <c r="AC13" t="inlineStr">
        <is>
          <t>Contractors</t>
        </is>
      </c>
      <c r="AD13" t="n">
        <v>41010100</v>
      </c>
      <c r="AE13" t="n">
        <v>2</v>
      </c>
      <c r="AF13" t="n">
        <v>9318</v>
      </c>
      <c r="AG13" t="n">
        <v>10</v>
      </c>
      <c r="AH13" t="inlineStr">
        <is>
          <t>ZY</t>
        </is>
      </c>
      <c r="AI13" t="n">
        <v>1400</v>
      </c>
      <c r="AJ13" t="inlineStr">
        <is>
          <t>United States</t>
        </is>
      </c>
      <c r="AK13" t="inlineStr">
        <is>
          <t>AMER</t>
        </is>
      </c>
      <c r="AL13" t="inlineStr">
        <is>
          <t>IT-FBT0790-OG-US-00</t>
        </is>
      </c>
      <c r="AM13" t="n">
        <v/>
      </c>
      <c r="AN13" t="n">
        <v>2100078170157</v>
      </c>
      <c r="AO13" t="inlineStr">
        <is>
          <t>AP3-25 2WM</t>
        </is>
      </c>
      <c r="AP13" t="inlineStr">
        <is>
          <t>USD</t>
        </is>
      </c>
      <c r="AQ13" t="inlineStr">
        <is>
          <t>US Dollar</t>
        </is>
      </c>
      <c r="AR13" t="inlineStr">
        <is>
          <t>USD</t>
        </is>
      </c>
      <c r="AS13" t="n">
        <v>-22813.72</v>
      </c>
      <c r="AT13" t="n">
        <v>-22813.72</v>
      </c>
      <c r="AU13" t="n">
        <v>-22813.72</v>
      </c>
    </row>
    <row r="14">
      <c r="A14" t="inlineStr">
        <is>
          <t>9500879389</t>
        </is>
      </c>
      <c r="B14" t="n">
        <v>202504</v>
      </c>
      <c r="C14" t="n">
        <v>2100078515</v>
      </c>
      <c r="D14" t="inlineStr">
        <is>
          <t>Not assigned</t>
        </is>
      </c>
      <c r="E14" t="inlineStr">
        <is>
          <t>IT-FBT0790-OG-US-00</t>
        </is>
      </c>
      <c r="F14" s="167" t="n">
        <v>45775</v>
      </c>
      <c r="G14" s="167" t="n">
        <v>45762</v>
      </c>
      <c r="H14" t="inlineStr">
        <is>
          <t>PO- 9500879389 IBM CORP</t>
        </is>
      </c>
      <c r="I14" t="inlineStr">
        <is>
          <t>PO- 9500879389 IBM CORP</t>
        </is>
      </c>
      <c r="J14" t="n">
        <v>4</v>
      </c>
      <c r="K14" t="n">
        <v>19294.5</v>
      </c>
      <c r="L14" t="inlineStr">
        <is>
          <t>Accrual</t>
        </is>
      </c>
      <c r="M14" t="n">
        <v>2025</v>
      </c>
      <c r="N14" s="167" t="n">
        <v>45748</v>
      </c>
      <c r="O14" t="inlineStr">
        <is>
          <t>DIGITAL</t>
        </is>
      </c>
      <c r="P14" t="inlineStr">
        <is>
          <t>IT160</t>
        </is>
      </c>
      <c r="Q14" t="n">
        <v>2320521</v>
      </c>
      <c r="R14" t="inlineStr">
        <is>
          <t>DeHart, Lynn</t>
        </is>
      </c>
      <c r="S14" t="inlineStr">
        <is>
          <t>Ganesan, Srinivasan</t>
        </is>
      </c>
      <c r="T14" t="inlineStr">
        <is>
          <t>1400/9318/02/IT160/0002320521 (780) (Net</t>
        </is>
      </c>
      <c r="U14" t="inlineStr">
        <is>
          <t>DIGITAL</t>
        </is>
      </c>
      <c r="V14" t="inlineStr">
        <is>
          <t>CTIES</t>
        </is>
      </c>
      <c r="W14" t="inlineStr">
        <is>
          <t>ERP</t>
        </is>
      </c>
      <c r="X14" t="inlineStr">
        <is>
          <t>DIGITAL SOLUTION DELIVERY</t>
        </is>
      </c>
      <c r="Y14" t="inlineStr">
        <is>
          <t>DIGITAL SOLUTION DELIVERY HQ- US</t>
        </is>
      </c>
      <c r="Z14" t="n">
        <v>890</v>
      </c>
      <c r="AA14" t="n">
        <v>915</v>
      </c>
      <c r="AB14" t="inlineStr">
        <is>
          <t>Professional Serv-Admin&amp;Commercial</t>
        </is>
      </c>
      <c r="AC14" t="inlineStr">
        <is>
          <t>Contractors</t>
        </is>
      </c>
      <c r="AD14" t="n">
        <v>41010100</v>
      </c>
      <c r="AE14" t="n">
        <v>2</v>
      </c>
      <c r="AF14" t="n">
        <v>9318</v>
      </c>
      <c r="AG14" t="n">
        <v>10</v>
      </c>
      <c r="AH14" t="inlineStr">
        <is>
          <t>ZY</t>
        </is>
      </c>
      <c r="AI14" t="n">
        <v>1400</v>
      </c>
      <c r="AJ14" t="inlineStr">
        <is>
          <t>United States</t>
        </is>
      </c>
      <c r="AK14" t="inlineStr">
        <is>
          <t>AMER</t>
        </is>
      </c>
      <c r="AL14" t="inlineStr">
        <is>
          <t>IT-FBT0790-OG-US-00</t>
        </is>
      </c>
      <c r="AM14" t="n">
        <v/>
      </c>
      <c r="AN14" t="n">
        <v>2100078515140</v>
      </c>
      <c r="AO14" t="inlineStr">
        <is>
          <t>AP4-25 2WM</t>
        </is>
      </c>
      <c r="AP14" t="inlineStr">
        <is>
          <t>USD</t>
        </is>
      </c>
      <c r="AQ14" t="inlineStr">
        <is>
          <t>US Dollar</t>
        </is>
      </c>
      <c r="AR14" t="inlineStr">
        <is>
          <t>USD</t>
        </is>
      </c>
      <c r="AS14" t="n">
        <v>19294.5</v>
      </c>
      <c r="AT14" t="n">
        <v>19294.5</v>
      </c>
      <c r="AU14" t="n">
        <v>19294.5</v>
      </c>
    </row>
    <row r="15">
      <c r="A15" t="inlineStr">
        <is>
          <t>9500879389</t>
        </is>
      </c>
      <c r="B15" t="n">
        <v>202503</v>
      </c>
      <c r="C15" t="n">
        <v>5107325007</v>
      </c>
      <c r="D15" t="inlineStr">
        <is>
          <t>IBM WW ORDERING AND US INVOICING</t>
        </is>
      </c>
      <c r="E15" t="inlineStr">
        <is>
          <t>IT-FBT0790-OG-US-00</t>
        </is>
      </c>
      <c r="F15" s="167" t="n">
        <v>45733</v>
      </c>
      <c r="G15" s="167" t="n">
        <v>45733</v>
      </c>
      <c r="H15" t="inlineStr">
        <is>
          <t>IBM 2025 S1 - IO SUPPORT</t>
        </is>
      </c>
      <c r="I15" t="inlineStr">
        <is>
          <t>IBM 2025 S1 - IO SUPPORT</t>
        </is>
      </c>
      <c r="J15" t="n">
        <v>3</v>
      </c>
      <c r="K15" t="n">
        <v>17100</v>
      </c>
      <c r="L15" t="inlineStr">
        <is>
          <t>Actual</t>
        </is>
      </c>
      <c r="M15" t="n">
        <v>2025</v>
      </c>
      <c r="N15" s="167" t="n">
        <v>45717</v>
      </c>
      <c r="O15" t="inlineStr">
        <is>
          <t>DIGITAL</t>
        </is>
      </c>
      <c r="P15" t="inlineStr">
        <is>
          <t>IT160</t>
        </is>
      </c>
      <c r="Q15" t="n">
        <v>2320521</v>
      </c>
      <c r="R15" t="inlineStr">
        <is>
          <t>DeHart, Lynn</t>
        </is>
      </c>
      <c r="S15" t="inlineStr">
        <is>
          <t>Ganesan, Srinivasan</t>
        </is>
      </c>
      <c r="T15" t="inlineStr">
        <is>
          <t>1400/9318/02/IT160/0002320521 (780) (Net</t>
        </is>
      </c>
      <c r="U15" t="inlineStr">
        <is>
          <t>DIGITAL</t>
        </is>
      </c>
      <c r="V15" t="inlineStr">
        <is>
          <t>CTIES</t>
        </is>
      </c>
      <c r="W15" t="inlineStr">
        <is>
          <t>ERP</t>
        </is>
      </c>
      <c r="X15" t="inlineStr">
        <is>
          <t>DIGITAL SOLUTION DELIVERY</t>
        </is>
      </c>
      <c r="Y15" t="inlineStr">
        <is>
          <t>DIGITAL SOLUTION DELIVERY HQ- US</t>
        </is>
      </c>
      <c r="Z15" t="n">
        <v>890</v>
      </c>
      <c r="AA15" t="n">
        <v>915</v>
      </c>
      <c r="AB15" t="inlineStr">
        <is>
          <t>Professional Serv-Admin&amp;Commercial</t>
        </is>
      </c>
      <c r="AC15" t="inlineStr">
        <is>
          <t>Contractors</t>
        </is>
      </c>
      <c r="AD15" t="n">
        <v>41010100</v>
      </c>
      <c r="AE15" t="n">
        <v>2</v>
      </c>
      <c r="AF15" t="n">
        <v>9318</v>
      </c>
      <c r="AG15" t="n">
        <v>10</v>
      </c>
      <c r="AH15" t="inlineStr">
        <is>
          <t>RE</t>
        </is>
      </c>
      <c r="AI15" t="n">
        <v>1400</v>
      </c>
      <c r="AJ15" t="inlineStr">
        <is>
          <t>United States</t>
        </is>
      </c>
      <c r="AK15" t="inlineStr">
        <is>
          <t>AMER</t>
        </is>
      </c>
      <c r="AL15" t="inlineStr">
        <is>
          <t>IT-FBT0790-OG-US-00</t>
        </is>
      </c>
      <c r="AM15" t="n">
        <v/>
      </c>
      <c r="AN15" t="n">
        <v>51073250072</v>
      </c>
      <c r="AO15" t="inlineStr">
        <is>
          <t>C25938902</t>
        </is>
      </c>
      <c r="AP15" t="inlineStr">
        <is>
          <t>USD</t>
        </is>
      </c>
      <c r="AQ15" t="inlineStr">
        <is>
          <t>US Dollar</t>
        </is>
      </c>
      <c r="AR15" t="inlineStr">
        <is>
          <t>USD</t>
        </is>
      </c>
      <c r="AS15" t="n">
        <v>17100</v>
      </c>
      <c r="AT15" t="n">
        <v>17100</v>
      </c>
      <c r="AU15" t="n">
        <v>17100</v>
      </c>
    </row>
    <row r="16">
      <c r="A16" t="inlineStr">
        <is>
          <t>9500879389</t>
        </is>
      </c>
      <c r="B16" t="n">
        <v>202503</v>
      </c>
      <c r="C16" t="n">
        <v>9005719467</v>
      </c>
      <c r="D16" t="inlineStr">
        <is>
          <t>Not assigned</t>
        </is>
      </c>
      <c r="E16" t="inlineStr">
        <is>
          <t>IT-FBT0397-OG-US-00</t>
        </is>
      </c>
      <c r="F16" s="167" t="n">
        <v>45743</v>
      </c>
      <c r="G16" s="167" t="n">
        <v>45731</v>
      </c>
      <c r="H16" t="inlineStr">
        <is>
          <t>RC03-9500879389-FIXING WBS CODE</t>
        </is>
      </c>
      <c r="I16" t="inlineStr">
        <is>
          <t>RC03-9500879389-FIXING WBS CODE</t>
        </is>
      </c>
      <c r="J16" t="n">
        <v>3</v>
      </c>
      <c r="K16" t="n">
        <v>-15096</v>
      </c>
      <c r="L16" t="inlineStr">
        <is>
          <t>Reclass</t>
        </is>
      </c>
      <c r="M16" t="n">
        <v>2025</v>
      </c>
      <c r="N16" s="167" t="n">
        <v>45717</v>
      </c>
      <c r="O16" t="inlineStr">
        <is>
          <t>DIGITAL</t>
        </is>
      </c>
      <c r="P16" t="inlineStr">
        <is>
          <t>IT160</t>
        </is>
      </c>
      <c r="Q16" t="n">
        <v>2320521</v>
      </c>
      <c r="R16" t="inlineStr">
        <is>
          <t>DeHart, Lynn</t>
        </is>
      </c>
      <c r="S16" t="inlineStr">
        <is>
          <t>Ganesan, Srinivasan</t>
        </is>
      </c>
      <c r="T16" t="inlineStr">
        <is>
          <t>1400/9318/02/IT160/0002320521 (780) (Net</t>
        </is>
      </c>
      <c r="U16" t="inlineStr">
        <is>
          <t>DIGITAL</t>
        </is>
      </c>
      <c r="V16" t="inlineStr">
        <is>
          <t>CTIES</t>
        </is>
      </c>
      <c r="W16" t="inlineStr">
        <is>
          <t>ERP</t>
        </is>
      </c>
      <c r="X16" t="inlineStr">
        <is>
          <t>DIGITAL SOLUTION DELIVERY</t>
        </is>
      </c>
      <c r="Y16" t="inlineStr">
        <is>
          <t>DIGITAL SOLUTION DELIVERY HQ- US</t>
        </is>
      </c>
      <c r="Z16" t="n">
        <v>890</v>
      </c>
      <c r="AA16" t="n">
        <v>915</v>
      </c>
      <c r="AB16" t="inlineStr">
        <is>
          <t>Professional Serv-Admin&amp;Commercial</t>
        </is>
      </c>
      <c r="AC16" t="inlineStr">
        <is>
          <t>Contractors</t>
        </is>
      </c>
      <c r="AD16" t="n">
        <v>41010100</v>
      </c>
      <c r="AE16" t="n">
        <v>2</v>
      </c>
      <c r="AF16" t="n">
        <v>9318</v>
      </c>
      <c r="AG16" t="n">
        <v>10</v>
      </c>
      <c r="AH16" t="inlineStr">
        <is>
          <t>ZO</t>
        </is>
      </c>
      <c r="AI16" t="n">
        <v>1400</v>
      </c>
      <c r="AJ16" t="inlineStr">
        <is>
          <t>United States</t>
        </is>
      </c>
      <c r="AK16" t="inlineStr">
        <is>
          <t>AMER</t>
        </is>
      </c>
      <c r="AL16" t="inlineStr">
        <is>
          <t>IT-FBT0397-OG-US-00</t>
        </is>
      </c>
      <c r="AM16" t="n">
        <v/>
      </c>
      <c r="AN16" t="n">
        <v>900571946771</v>
      </c>
      <c r="AO16" t="inlineStr">
        <is>
          <t>AP03 2025 WDAC -</t>
        </is>
      </c>
      <c r="AP16" t="inlineStr">
        <is>
          <t>USD</t>
        </is>
      </c>
      <c r="AQ16" t="inlineStr">
        <is>
          <t>US Dollar</t>
        </is>
      </c>
      <c r="AR16" t="inlineStr">
        <is>
          <t>USD</t>
        </is>
      </c>
      <c r="AS16" t="n">
        <v>-15096</v>
      </c>
      <c r="AT16" t="n">
        <v>-15096</v>
      </c>
      <c r="AU16" t="n">
        <v>-15096</v>
      </c>
    </row>
    <row r="17">
      <c r="A17" t="inlineStr">
        <is>
          <t>9500879389</t>
        </is>
      </c>
      <c r="B17" t="n">
        <v>202503</v>
      </c>
      <c r="C17" t="n">
        <v>9005719467</v>
      </c>
      <c r="D17" t="inlineStr">
        <is>
          <t>Not assigned</t>
        </is>
      </c>
      <c r="E17" t="inlineStr">
        <is>
          <t>IT-FBT0397-OG-US-00</t>
        </is>
      </c>
      <c r="F17" s="167" t="n">
        <v>45743</v>
      </c>
      <c r="G17" s="167" t="n">
        <v>45731</v>
      </c>
      <c r="H17" t="inlineStr">
        <is>
          <t>RC03-9500879389-FIXING WBS CODE</t>
        </is>
      </c>
      <c r="I17" t="inlineStr">
        <is>
          <t>RC03-9500879389-FIXING WBS CODE</t>
        </is>
      </c>
      <c r="J17" t="n">
        <v>3</v>
      </c>
      <c r="K17" t="n">
        <v>-18112</v>
      </c>
      <c r="L17" t="inlineStr">
        <is>
          <t>Reclass</t>
        </is>
      </c>
      <c r="M17" t="n">
        <v>2025</v>
      </c>
      <c r="N17" s="167" t="n">
        <v>45717</v>
      </c>
      <c r="O17" t="inlineStr">
        <is>
          <t>DIGITAL</t>
        </is>
      </c>
      <c r="P17" t="inlineStr">
        <is>
          <t>IT160</t>
        </is>
      </c>
      <c r="Q17" t="n">
        <v>2320521</v>
      </c>
      <c r="R17" t="inlineStr">
        <is>
          <t>DeHart, Lynn</t>
        </is>
      </c>
      <c r="S17" t="inlineStr">
        <is>
          <t>Ganesan, Srinivasan</t>
        </is>
      </c>
      <c r="T17" t="inlineStr">
        <is>
          <t>1400/9318/02/IT160/0002320521 (780) (Net</t>
        </is>
      </c>
      <c r="U17" t="inlineStr">
        <is>
          <t>DIGITAL</t>
        </is>
      </c>
      <c r="V17" t="inlineStr">
        <is>
          <t>CTIES</t>
        </is>
      </c>
      <c r="W17" t="inlineStr">
        <is>
          <t>ERP</t>
        </is>
      </c>
      <c r="X17" t="inlineStr">
        <is>
          <t>DIGITAL SOLUTION DELIVERY</t>
        </is>
      </c>
      <c r="Y17" t="inlineStr">
        <is>
          <t>DIGITAL SOLUTION DELIVERY HQ- US</t>
        </is>
      </c>
      <c r="Z17" t="n">
        <v>890</v>
      </c>
      <c r="AA17" t="n">
        <v>915</v>
      </c>
      <c r="AB17" t="inlineStr">
        <is>
          <t>Professional Serv-Admin&amp;Commercial</t>
        </is>
      </c>
      <c r="AC17" t="inlineStr">
        <is>
          <t>Contractors</t>
        </is>
      </c>
      <c r="AD17" t="n">
        <v>41010100</v>
      </c>
      <c r="AE17" t="n">
        <v>2</v>
      </c>
      <c r="AF17" t="n">
        <v>9318</v>
      </c>
      <c r="AG17" t="n">
        <v>10</v>
      </c>
      <c r="AH17" t="inlineStr">
        <is>
          <t>ZO</t>
        </is>
      </c>
      <c r="AI17" t="n">
        <v>1400</v>
      </c>
      <c r="AJ17" t="inlineStr">
        <is>
          <t>United States</t>
        </is>
      </c>
      <c r="AK17" t="inlineStr">
        <is>
          <t>AMER</t>
        </is>
      </c>
      <c r="AL17" t="inlineStr">
        <is>
          <t>IT-FBT0397-OG-US-00</t>
        </is>
      </c>
      <c r="AM17" t="n">
        <v/>
      </c>
      <c r="AN17" t="n">
        <v>900571946778</v>
      </c>
      <c r="AO17" t="inlineStr">
        <is>
          <t>AP03 2025 WDAC -</t>
        </is>
      </c>
      <c r="AP17" t="inlineStr">
        <is>
          <t>USD</t>
        </is>
      </c>
      <c r="AQ17" t="inlineStr">
        <is>
          <t>US Dollar</t>
        </is>
      </c>
      <c r="AR17" t="inlineStr">
        <is>
          <t>USD</t>
        </is>
      </c>
      <c r="AS17" t="n">
        <v>-18112</v>
      </c>
      <c r="AT17" t="n">
        <v>-18112</v>
      </c>
      <c r="AU17" t="n">
        <v>-18112</v>
      </c>
    </row>
    <row r="18">
      <c r="A18" t="inlineStr">
        <is>
          <t>9500879389</t>
        </is>
      </c>
      <c r="B18" t="n">
        <v>202503</v>
      </c>
      <c r="C18" t="n">
        <v>9005719467</v>
      </c>
      <c r="D18" t="inlineStr">
        <is>
          <t>Not assigned</t>
        </is>
      </c>
      <c r="E18" t="inlineStr">
        <is>
          <t>IT-FBT0790-OG-US-00</t>
        </is>
      </c>
      <c r="F18" s="167" t="n">
        <v>45743</v>
      </c>
      <c r="G18" s="167" t="n">
        <v>45731</v>
      </c>
      <c r="H18" t="inlineStr">
        <is>
          <t>RC03-9500879389-FIXING WBS CODE</t>
        </is>
      </c>
      <c r="I18" t="inlineStr">
        <is>
          <t>RC03-9500879389-FIXING WBS CODE</t>
        </is>
      </c>
      <c r="J18" t="n">
        <v>3</v>
      </c>
      <c r="K18" t="n">
        <v>15096</v>
      </c>
      <c r="L18" t="inlineStr">
        <is>
          <t>Reclass</t>
        </is>
      </c>
      <c r="M18" t="n">
        <v>2025</v>
      </c>
      <c r="N18" s="167" t="n">
        <v>45717</v>
      </c>
      <c r="O18" t="inlineStr">
        <is>
          <t>DIGITAL</t>
        </is>
      </c>
      <c r="P18" t="inlineStr">
        <is>
          <t>IT160</t>
        </is>
      </c>
      <c r="Q18" t="n">
        <v>2320521</v>
      </c>
      <c r="R18" t="inlineStr">
        <is>
          <t>DeHart, Lynn</t>
        </is>
      </c>
      <c r="S18" t="inlineStr">
        <is>
          <t>Ganesan, Srinivasan</t>
        </is>
      </c>
      <c r="T18" t="inlineStr">
        <is>
          <t>1400/9318/02/IT160/0002320521 (780) (Net</t>
        </is>
      </c>
      <c r="U18" t="inlineStr">
        <is>
          <t>DIGITAL</t>
        </is>
      </c>
      <c r="V18" t="inlineStr">
        <is>
          <t>CTIES</t>
        </is>
      </c>
      <c r="W18" t="inlineStr">
        <is>
          <t>ERP</t>
        </is>
      </c>
      <c r="X18" t="inlineStr">
        <is>
          <t>DIGITAL SOLUTION DELIVERY</t>
        </is>
      </c>
      <c r="Y18" t="inlineStr">
        <is>
          <t>DIGITAL SOLUTION DELIVERY HQ- US</t>
        </is>
      </c>
      <c r="Z18" t="n">
        <v>890</v>
      </c>
      <c r="AA18" t="n">
        <v>915</v>
      </c>
      <c r="AB18" t="inlineStr">
        <is>
          <t>Professional Serv-Admin&amp;Commercial</t>
        </is>
      </c>
      <c r="AC18" t="inlineStr">
        <is>
          <t>Contractors</t>
        </is>
      </c>
      <c r="AD18" t="n">
        <v>41010100</v>
      </c>
      <c r="AE18" t="n">
        <v>2</v>
      </c>
      <c r="AF18" t="n">
        <v>9318</v>
      </c>
      <c r="AG18" t="n">
        <v>10</v>
      </c>
      <c r="AH18" t="inlineStr">
        <is>
          <t>ZO</t>
        </is>
      </c>
      <c r="AI18" t="n">
        <v>1400</v>
      </c>
      <c r="AJ18" t="inlineStr">
        <is>
          <t>United States</t>
        </is>
      </c>
      <c r="AK18" t="inlineStr">
        <is>
          <t>AMER</t>
        </is>
      </c>
      <c r="AL18" t="inlineStr">
        <is>
          <t>IT-FBT0790-OG-US-00</t>
        </is>
      </c>
      <c r="AM18" t="n">
        <v/>
      </c>
      <c r="AN18" t="n">
        <v>900571946774</v>
      </c>
      <c r="AO18" t="inlineStr">
        <is>
          <t>AP03 2025 WDAC -</t>
        </is>
      </c>
      <c r="AP18" t="inlineStr">
        <is>
          <t>USD</t>
        </is>
      </c>
      <c r="AQ18" t="inlineStr">
        <is>
          <t>US Dollar</t>
        </is>
      </c>
      <c r="AR18" t="inlineStr">
        <is>
          <t>USD</t>
        </is>
      </c>
      <c r="AS18" t="n">
        <v>15096</v>
      </c>
      <c r="AT18" t="n">
        <v>15096</v>
      </c>
      <c r="AU18" t="n">
        <v>15096</v>
      </c>
    </row>
    <row r="19">
      <c r="A19" t="inlineStr">
        <is>
          <t>9500879389</t>
        </is>
      </c>
      <c r="B19" t="n">
        <v>202503</v>
      </c>
      <c r="C19" t="n">
        <v>9005719467</v>
      </c>
      <c r="D19" t="inlineStr">
        <is>
          <t>Not assigned</t>
        </is>
      </c>
      <c r="E19" t="inlineStr">
        <is>
          <t>IT-FBT0790-OG-US-00</t>
        </is>
      </c>
      <c r="F19" s="167" t="n">
        <v>45743</v>
      </c>
      <c r="G19" s="167" t="n">
        <v>45731</v>
      </c>
      <c r="H19" t="inlineStr">
        <is>
          <t>RC03-9500879389-FIXING WBS CODE</t>
        </is>
      </c>
      <c r="I19" t="inlineStr">
        <is>
          <t>RC03-9500879389-FIXING WBS CODE</t>
        </is>
      </c>
      <c r="J19" t="n">
        <v>3</v>
      </c>
      <c r="K19" t="n">
        <v>18112</v>
      </c>
      <c r="L19" t="inlineStr">
        <is>
          <t>Reclass</t>
        </is>
      </c>
      <c r="M19" t="n">
        <v>2025</v>
      </c>
      <c r="N19" s="167" t="n">
        <v>45717</v>
      </c>
      <c r="O19" t="inlineStr">
        <is>
          <t>DIGITAL</t>
        </is>
      </c>
      <c r="P19" t="inlineStr">
        <is>
          <t>IT160</t>
        </is>
      </c>
      <c r="Q19" t="n">
        <v>2320521</v>
      </c>
      <c r="R19" t="inlineStr">
        <is>
          <t>DeHart, Lynn</t>
        </is>
      </c>
      <c r="S19" t="inlineStr">
        <is>
          <t>Ganesan, Srinivasan</t>
        </is>
      </c>
      <c r="T19" t="inlineStr">
        <is>
          <t>1400/9318/02/IT160/0002320521 (780) (Net</t>
        </is>
      </c>
      <c r="U19" t="inlineStr">
        <is>
          <t>DIGITAL</t>
        </is>
      </c>
      <c r="V19" t="inlineStr">
        <is>
          <t>CTIES</t>
        </is>
      </c>
      <c r="W19" t="inlineStr">
        <is>
          <t>ERP</t>
        </is>
      </c>
      <c r="X19" t="inlineStr">
        <is>
          <t>DIGITAL SOLUTION DELIVERY</t>
        </is>
      </c>
      <c r="Y19" t="inlineStr">
        <is>
          <t>DIGITAL SOLUTION DELIVERY HQ- US</t>
        </is>
      </c>
      <c r="Z19" t="n">
        <v>890</v>
      </c>
      <c r="AA19" t="n">
        <v>915</v>
      </c>
      <c r="AB19" t="inlineStr">
        <is>
          <t>Professional Serv-Admin&amp;Commercial</t>
        </is>
      </c>
      <c r="AC19" t="inlineStr">
        <is>
          <t>Contractors</t>
        </is>
      </c>
      <c r="AD19" t="n">
        <v>41010100</v>
      </c>
      <c r="AE19" t="n">
        <v>2</v>
      </c>
      <c r="AF19" t="n">
        <v>9318</v>
      </c>
      <c r="AG19" t="n">
        <v>10</v>
      </c>
      <c r="AH19" t="inlineStr">
        <is>
          <t>ZO</t>
        </is>
      </c>
      <c r="AI19" t="n">
        <v>1400</v>
      </c>
      <c r="AJ19" t="inlineStr">
        <is>
          <t>United States</t>
        </is>
      </c>
      <c r="AK19" t="inlineStr">
        <is>
          <t>AMER</t>
        </is>
      </c>
      <c r="AL19" t="inlineStr">
        <is>
          <t>IT-FBT0790-OG-US-00</t>
        </is>
      </c>
      <c r="AM19" t="n">
        <v/>
      </c>
      <c r="AN19" t="n">
        <v>900571946775</v>
      </c>
      <c r="AO19" t="inlineStr">
        <is>
          <t>AP03 2025 WDAC -</t>
        </is>
      </c>
      <c r="AP19" t="inlineStr">
        <is>
          <t>USD</t>
        </is>
      </c>
      <c r="AQ19" t="inlineStr">
        <is>
          <t>US Dollar</t>
        </is>
      </c>
      <c r="AR19" t="inlineStr">
        <is>
          <t>USD</t>
        </is>
      </c>
      <c r="AS19" t="n">
        <v>18112</v>
      </c>
      <c r="AT19" t="n">
        <v>18112</v>
      </c>
      <c r="AU19" t="n">
        <v>18112</v>
      </c>
    </row>
    <row r="20">
      <c r="A20" t="inlineStr">
        <is>
          <t>9500879389</t>
        </is>
      </c>
      <c r="B20" t="n">
        <v>202503</v>
      </c>
      <c r="C20" t="n">
        <v>2100077618</v>
      </c>
      <c r="D20" t="inlineStr">
        <is>
          <t>Not assigned</t>
        </is>
      </c>
      <c r="E20" t="inlineStr">
        <is>
          <t>IT-FBT0397-OG-US-00</t>
        </is>
      </c>
      <c r="F20" s="167" t="n">
        <v>45712</v>
      </c>
      <c r="G20" s="167" t="n">
        <v>45719</v>
      </c>
      <c r="H20" t="inlineStr">
        <is>
          <t>PO- 9500879389 IBM CORP</t>
        </is>
      </c>
      <c r="I20" t="inlineStr">
        <is>
          <t>PO- 9500879389 IBM CORP</t>
        </is>
      </c>
      <c r="J20" t="n">
        <v>3</v>
      </c>
      <c r="K20" t="n">
        <v>-19385.28</v>
      </c>
      <c r="L20" t="inlineStr">
        <is>
          <t>Reversal</t>
        </is>
      </c>
      <c r="M20" t="n">
        <v>2025</v>
      </c>
      <c r="N20" s="167" t="n">
        <v>45717</v>
      </c>
      <c r="O20" t="inlineStr">
        <is>
          <t>DIGITAL</t>
        </is>
      </c>
      <c r="P20" t="inlineStr">
        <is>
          <t>IT160</t>
        </is>
      </c>
      <c r="Q20" t="n">
        <v>2320521</v>
      </c>
      <c r="R20" t="inlineStr">
        <is>
          <t>DeHart, Lynn</t>
        </is>
      </c>
      <c r="S20" t="inlineStr">
        <is>
          <t>Ganesan, Srinivasan</t>
        </is>
      </c>
      <c r="T20" t="inlineStr">
        <is>
          <t>1400/9318/02/IT160/0002320521 (780) (Net</t>
        </is>
      </c>
      <c r="U20" t="inlineStr">
        <is>
          <t>DIGITAL</t>
        </is>
      </c>
      <c r="V20" t="inlineStr">
        <is>
          <t>CTIES</t>
        </is>
      </c>
      <c r="W20" t="inlineStr">
        <is>
          <t>ERP</t>
        </is>
      </c>
      <c r="X20" t="inlineStr">
        <is>
          <t>DIGITAL SOLUTION DELIVERY</t>
        </is>
      </c>
      <c r="Y20" t="inlineStr">
        <is>
          <t>DIGITAL SOLUTION DELIVERY HQ- US</t>
        </is>
      </c>
      <c r="Z20" t="n">
        <v>890</v>
      </c>
      <c r="AA20" t="n">
        <v>915</v>
      </c>
      <c r="AB20" t="inlineStr">
        <is>
          <t>Professional Serv-Admin&amp;Commercial</t>
        </is>
      </c>
      <c r="AC20" t="inlineStr">
        <is>
          <t>Contractors</t>
        </is>
      </c>
      <c r="AD20" t="n">
        <v>41010100</v>
      </c>
      <c r="AE20" t="n">
        <v>2</v>
      </c>
      <c r="AF20" t="n">
        <v>9318</v>
      </c>
      <c r="AG20" t="n">
        <v>10</v>
      </c>
      <c r="AH20" t="inlineStr">
        <is>
          <t>ZY</t>
        </is>
      </c>
      <c r="AI20" t="n">
        <v>1400</v>
      </c>
      <c r="AJ20" t="inlineStr">
        <is>
          <t>United States</t>
        </is>
      </c>
      <c r="AK20" t="inlineStr">
        <is>
          <t>AMER</t>
        </is>
      </c>
      <c r="AL20" t="inlineStr">
        <is>
          <t>IT-FBT0397-OG-US-00</t>
        </is>
      </c>
      <c r="AM20" t="n">
        <v/>
      </c>
      <c r="AN20" t="n">
        <v>2100077618174</v>
      </c>
      <c r="AO20" t="inlineStr">
        <is>
          <t>AP2-25 2WM</t>
        </is>
      </c>
      <c r="AP20" t="inlineStr">
        <is>
          <t>USD</t>
        </is>
      </c>
      <c r="AQ20" t="inlineStr">
        <is>
          <t>US Dollar</t>
        </is>
      </c>
      <c r="AR20" t="inlineStr">
        <is>
          <t>USD</t>
        </is>
      </c>
      <c r="AS20" t="n">
        <v>-19385.28</v>
      </c>
      <c r="AT20" t="n">
        <v>-19385.28</v>
      </c>
      <c r="AU20" t="n">
        <v>-19385.28</v>
      </c>
    </row>
    <row r="21">
      <c r="A21" t="inlineStr">
        <is>
          <t>9500882917</t>
        </is>
      </c>
      <c r="B21" t="n">
        <v>202503</v>
      </c>
      <c r="C21" t="n">
        <v>2100077618</v>
      </c>
      <c r="D21" t="inlineStr">
        <is>
          <t>Not assigned</t>
        </is>
      </c>
      <c r="E21" t="inlineStr">
        <is>
          <t>IT-FBT0545-OG-US-00</t>
        </is>
      </c>
      <c r="F21" s="167" t="n">
        <v>45712</v>
      </c>
      <c r="G21" s="167" t="n">
        <v>45719</v>
      </c>
      <c r="H21" t="inlineStr">
        <is>
          <t>PO- 9500882917 IBM CORP</t>
        </is>
      </c>
      <c r="I21" t="inlineStr">
        <is>
          <t>PO- 9500882917 IBM CORP</t>
        </is>
      </c>
      <c r="J21" t="n">
        <v>3</v>
      </c>
      <c r="K21" t="n">
        <v>-62210</v>
      </c>
      <c r="L21" t="inlineStr">
        <is>
          <t>Reversal</t>
        </is>
      </c>
      <c r="M21" t="n">
        <v>2025</v>
      </c>
      <c r="N21" s="167" t="n">
        <v>45717</v>
      </c>
      <c r="O21" t="inlineStr">
        <is>
          <t>DIGITAL</t>
        </is>
      </c>
      <c r="P21" t="inlineStr">
        <is>
          <t>IT160</t>
        </is>
      </c>
      <c r="Q21" t="n">
        <v>2320521</v>
      </c>
      <c r="R21" t="inlineStr">
        <is>
          <t>DeHart, Lynn</t>
        </is>
      </c>
      <c r="S21" t="inlineStr">
        <is>
          <t>Ganesan, Srinivasan</t>
        </is>
      </c>
      <c r="T21" t="inlineStr">
        <is>
          <t>1400/9318/02/IT160/0002320521 (780) (Net</t>
        </is>
      </c>
      <c r="U21" t="inlineStr">
        <is>
          <t>DIGITAL</t>
        </is>
      </c>
      <c r="V21" t="inlineStr">
        <is>
          <t>CTIES</t>
        </is>
      </c>
      <c r="W21" t="inlineStr">
        <is>
          <t>ERP</t>
        </is>
      </c>
      <c r="X21" t="inlineStr">
        <is>
          <t>DIGITAL SOLUTION DELIVERY</t>
        </is>
      </c>
      <c r="Y21" t="inlineStr">
        <is>
          <t>DIGITAL SOLUTION DELIVERY HQ- US</t>
        </is>
      </c>
      <c r="Z21" t="n">
        <v>890</v>
      </c>
      <c r="AA21" t="n">
        <v>915</v>
      </c>
      <c r="AB21" t="inlineStr">
        <is>
          <t>Professional Serv-Admin&amp;Commercial</t>
        </is>
      </c>
      <c r="AC21" t="inlineStr">
        <is>
          <t>Contractors</t>
        </is>
      </c>
      <c r="AD21" t="n">
        <v>41010100</v>
      </c>
      <c r="AE21" t="n">
        <v>2</v>
      </c>
      <c r="AF21" t="n">
        <v>9318</v>
      </c>
      <c r="AG21" t="n">
        <v>10</v>
      </c>
      <c r="AH21" t="inlineStr">
        <is>
          <t>ZY</t>
        </is>
      </c>
      <c r="AI21" t="n">
        <v>1400</v>
      </c>
      <c r="AJ21" t="inlineStr">
        <is>
          <t>United States</t>
        </is>
      </c>
      <c r="AK21" t="inlineStr">
        <is>
          <t>AMER</t>
        </is>
      </c>
      <c r="AL21" t="inlineStr">
        <is>
          <t>IT-FBT0545-OG-US-00</t>
        </is>
      </c>
      <c r="AM21" t="n">
        <v/>
      </c>
      <c r="AN21" t="n">
        <v>2100077618177</v>
      </c>
      <c r="AO21" t="inlineStr">
        <is>
          <t>AP2-25 2WM</t>
        </is>
      </c>
      <c r="AP21" t="inlineStr">
        <is>
          <t>USD</t>
        </is>
      </c>
      <c r="AQ21" t="inlineStr">
        <is>
          <t>US Dollar</t>
        </is>
      </c>
      <c r="AR21" t="inlineStr">
        <is>
          <t>USD</t>
        </is>
      </c>
      <c r="AS21" t="n">
        <v>-62210</v>
      </c>
      <c r="AT21" t="n">
        <v>-62210</v>
      </c>
      <c r="AU21" t="n">
        <v>-62210</v>
      </c>
    </row>
    <row r="22">
      <c r="A22" t="inlineStr">
        <is>
          <t>9500882917</t>
        </is>
      </c>
      <c r="B22" t="n">
        <v>202503</v>
      </c>
      <c r="C22" t="n">
        <v>2100077870</v>
      </c>
      <c r="D22" t="inlineStr">
        <is>
          <t>Not assigned</t>
        </is>
      </c>
      <c r="E22" t="inlineStr">
        <is>
          <t>IT-FBT0545-OG-US-00</t>
        </is>
      </c>
      <c r="F22" s="167" t="n">
        <v>45747</v>
      </c>
      <c r="G22" s="167" t="n">
        <v>45731</v>
      </c>
      <c r="H22" t="inlineStr">
        <is>
          <t>PO- 9500882917 IBM CORP</t>
        </is>
      </c>
      <c r="I22" t="inlineStr">
        <is>
          <t>PO- 9500882917 IBM CORP</t>
        </is>
      </c>
      <c r="J22" t="n">
        <v>3</v>
      </c>
      <c r="K22" t="n">
        <v>121710</v>
      </c>
      <c r="L22" t="inlineStr">
        <is>
          <t>Accrual</t>
        </is>
      </c>
      <c r="M22" t="n">
        <v>2025</v>
      </c>
      <c r="N22" s="167" t="n">
        <v>45717</v>
      </c>
      <c r="O22" t="inlineStr">
        <is>
          <t>DIGITAL</t>
        </is>
      </c>
      <c r="P22" t="inlineStr">
        <is>
          <t>IT160</t>
        </is>
      </c>
      <c r="Q22" t="n">
        <v>2320521</v>
      </c>
      <c r="R22" t="inlineStr">
        <is>
          <t>DeHart, Lynn</t>
        </is>
      </c>
      <c r="S22" t="inlineStr">
        <is>
          <t>Ganesan, Srinivasan</t>
        </is>
      </c>
      <c r="T22" t="inlineStr">
        <is>
          <t>1400/9318/02/IT160/0002320521 (780) (Net</t>
        </is>
      </c>
      <c r="U22" t="inlineStr">
        <is>
          <t>DIGITAL</t>
        </is>
      </c>
      <c r="V22" t="inlineStr">
        <is>
          <t>CTIES</t>
        </is>
      </c>
      <c r="W22" t="inlineStr">
        <is>
          <t>ERP</t>
        </is>
      </c>
      <c r="X22" t="inlineStr">
        <is>
          <t>DIGITAL SOLUTION DELIVERY</t>
        </is>
      </c>
      <c r="Y22" t="inlineStr">
        <is>
          <t>DIGITAL SOLUTION DELIVERY HQ- US</t>
        </is>
      </c>
      <c r="Z22" t="n">
        <v>890</v>
      </c>
      <c r="AA22" t="n">
        <v>915</v>
      </c>
      <c r="AB22" t="inlineStr">
        <is>
          <t>Professional Serv-Admin&amp;Commercial</t>
        </is>
      </c>
      <c r="AC22" t="inlineStr">
        <is>
          <t>Contractors</t>
        </is>
      </c>
      <c r="AD22" t="n">
        <v>41010100</v>
      </c>
      <c r="AE22" t="n">
        <v>2</v>
      </c>
      <c r="AF22" t="n">
        <v>9318</v>
      </c>
      <c r="AG22" t="n">
        <v>10</v>
      </c>
      <c r="AH22" t="inlineStr">
        <is>
          <t>ZY</t>
        </is>
      </c>
      <c r="AI22" t="n">
        <v>1400</v>
      </c>
      <c r="AJ22" t="inlineStr">
        <is>
          <t>United States</t>
        </is>
      </c>
      <c r="AK22" t="inlineStr">
        <is>
          <t>AMER</t>
        </is>
      </c>
      <c r="AL22" t="inlineStr">
        <is>
          <t>IT-FBT0545-OG-US-00</t>
        </is>
      </c>
      <c r="AM22" t="n">
        <v/>
      </c>
      <c r="AN22" t="n">
        <v>210007787014</v>
      </c>
      <c r="AO22" t="inlineStr">
        <is>
          <t>#</t>
        </is>
      </c>
      <c r="AP22" t="inlineStr">
        <is>
          <t>USD</t>
        </is>
      </c>
      <c r="AQ22" t="inlineStr">
        <is>
          <t>US Dollar</t>
        </is>
      </c>
      <c r="AR22" t="inlineStr">
        <is>
          <t>USD</t>
        </is>
      </c>
      <c r="AS22" t="n">
        <v>121710</v>
      </c>
      <c r="AT22" t="n">
        <v>121710</v>
      </c>
      <c r="AU22" t="n">
        <v>121710</v>
      </c>
    </row>
    <row r="23">
      <c r="A23" t="inlineStr">
        <is>
          <t>9500882917</t>
        </is>
      </c>
      <c r="B23" t="n">
        <v>202503</v>
      </c>
      <c r="C23" t="n">
        <v>2100077928</v>
      </c>
      <c r="D23" t="inlineStr">
        <is>
          <t>Not assigned</t>
        </is>
      </c>
      <c r="E23" t="inlineStr">
        <is>
          <t>IT-FBT0545-OG-US-00</t>
        </is>
      </c>
      <c r="F23" s="167" t="n">
        <v>45748</v>
      </c>
      <c r="G23" s="167" t="n">
        <v>45731</v>
      </c>
      <c r="H23" t="inlineStr">
        <is>
          <t>PO- 9500882917 IBM CORP</t>
        </is>
      </c>
      <c r="I23" t="inlineStr">
        <is>
          <t>PO- 9500882917 IBM CORP</t>
        </is>
      </c>
      <c r="J23" t="n">
        <v>3</v>
      </c>
      <c r="K23" t="n">
        <v>-16110</v>
      </c>
      <c r="L23" t="inlineStr">
        <is>
          <t>Reversal</t>
        </is>
      </c>
      <c r="M23" t="n">
        <v>2025</v>
      </c>
      <c r="N23" s="167" t="n">
        <v>45717</v>
      </c>
      <c r="O23" t="inlineStr">
        <is>
          <t>DIGITAL</t>
        </is>
      </c>
      <c r="P23" t="inlineStr">
        <is>
          <t>IT160</t>
        </is>
      </c>
      <c r="Q23" t="n">
        <v>2320521</v>
      </c>
      <c r="R23" t="inlineStr">
        <is>
          <t>DeHart, Lynn</t>
        </is>
      </c>
      <c r="S23" t="inlineStr">
        <is>
          <t>Ganesan, Srinivasan</t>
        </is>
      </c>
      <c r="T23" t="inlineStr">
        <is>
          <t>1400/9318/02/IT160/0002320521 (780) (Net</t>
        </is>
      </c>
      <c r="U23" t="inlineStr">
        <is>
          <t>DIGITAL</t>
        </is>
      </c>
      <c r="V23" t="inlineStr">
        <is>
          <t>CTIES</t>
        </is>
      </c>
      <c r="W23" t="inlineStr">
        <is>
          <t>ERP</t>
        </is>
      </c>
      <c r="X23" t="inlineStr">
        <is>
          <t>DIGITAL SOLUTION DELIVERY</t>
        </is>
      </c>
      <c r="Y23" t="inlineStr">
        <is>
          <t>DIGITAL SOLUTION DELIVERY HQ- US</t>
        </is>
      </c>
      <c r="Z23" t="n">
        <v>890</v>
      </c>
      <c r="AA23" t="n">
        <v>915</v>
      </c>
      <c r="AB23" t="inlineStr">
        <is>
          <t>Professional Serv-Admin&amp;Commercial</t>
        </is>
      </c>
      <c r="AC23" t="inlineStr">
        <is>
          <t>Contractors</t>
        </is>
      </c>
      <c r="AD23" t="n">
        <v>41010100</v>
      </c>
      <c r="AE23" t="n">
        <v>2</v>
      </c>
      <c r="AF23" t="n">
        <v>9318</v>
      </c>
      <c r="AG23" t="n">
        <v>10</v>
      </c>
      <c r="AH23" t="inlineStr">
        <is>
          <t>ZY</t>
        </is>
      </c>
      <c r="AI23" t="n">
        <v>1400</v>
      </c>
      <c r="AJ23" t="inlineStr">
        <is>
          <t>United States</t>
        </is>
      </c>
      <c r="AK23" t="inlineStr">
        <is>
          <t>AMER</t>
        </is>
      </c>
      <c r="AL23" t="inlineStr">
        <is>
          <t>IT-FBT0545-OG-US-00</t>
        </is>
      </c>
      <c r="AM23" t="n">
        <v/>
      </c>
      <c r="AN23" t="n">
        <v>21000779288</v>
      </c>
      <c r="AO23" t="inlineStr">
        <is>
          <t>OPEX -T3 ADJ</t>
        </is>
      </c>
      <c r="AP23" t="inlineStr">
        <is>
          <t>USD</t>
        </is>
      </c>
      <c r="AQ23" t="inlineStr">
        <is>
          <t>US Dollar</t>
        </is>
      </c>
      <c r="AR23" t="inlineStr">
        <is>
          <t>USD</t>
        </is>
      </c>
      <c r="AS23" t="n">
        <v>-16110</v>
      </c>
      <c r="AT23" t="n">
        <v>-16110</v>
      </c>
      <c r="AU23" t="n">
        <v>-16110</v>
      </c>
    </row>
    <row r="24">
      <c r="A24" t="inlineStr">
        <is>
          <t>9500879389</t>
        </is>
      </c>
      <c r="B24" t="n">
        <v>202505</v>
      </c>
      <c r="C24" t="n">
        <v>9005790523</v>
      </c>
      <c r="D24" t="inlineStr">
        <is>
          <t>Not assigned</t>
        </is>
      </c>
      <c r="E24" t="inlineStr">
        <is>
          <t>IT-FBT0784-OG-US-00</t>
        </is>
      </c>
      <c r="F24" s="167" t="n">
        <v>45799</v>
      </c>
      <c r="G24" s="167" t="n">
        <v>45792</v>
      </c>
      <c r="H24" t="inlineStr">
        <is>
          <t>RC05-9500879389-FIXING INCORRECT AMOUNT ON RECLASS</t>
        </is>
      </c>
      <c r="I24" t="inlineStr">
        <is>
          <t>RC05-9500879389-FIXING INCORRECT AMOUNT ON RECLASS</t>
        </is>
      </c>
      <c r="J24" t="n">
        <v>5</v>
      </c>
      <c r="K24" t="n">
        <v>-2286</v>
      </c>
      <c r="L24" t="inlineStr">
        <is>
          <t>Reclass</t>
        </is>
      </c>
      <c r="M24" t="n">
        <v>2025</v>
      </c>
      <c r="N24" s="167" t="n">
        <v>45778</v>
      </c>
      <c r="O24" t="inlineStr">
        <is>
          <t>DIGITAL</t>
        </is>
      </c>
      <c r="P24" t="inlineStr">
        <is>
          <t>IT160</t>
        </is>
      </c>
      <c r="Q24" t="n">
        <v>2320521</v>
      </c>
      <c r="R24" t="inlineStr">
        <is>
          <t>DeHart, Lynn</t>
        </is>
      </c>
      <c r="S24" t="inlineStr">
        <is>
          <t>Ganesan, Srinivasan</t>
        </is>
      </c>
      <c r="T24" t="inlineStr">
        <is>
          <t>1400/9318/02/IT160/0002320521 (780) (Net</t>
        </is>
      </c>
      <c r="U24" t="inlineStr">
        <is>
          <t>DIGITAL</t>
        </is>
      </c>
      <c r="V24" t="inlineStr">
        <is>
          <t>CTIES</t>
        </is>
      </c>
      <c r="W24" t="inlineStr">
        <is>
          <t>ERP</t>
        </is>
      </c>
      <c r="X24" t="inlineStr">
        <is>
          <t>DIGITAL SOLUTION DELIVERY</t>
        </is>
      </c>
      <c r="Y24" t="inlineStr">
        <is>
          <t>DIGITAL SOLUTION DELIVERY HQ- US</t>
        </is>
      </c>
      <c r="Z24" t="n">
        <v>890</v>
      </c>
      <c r="AA24" t="n">
        <v>915</v>
      </c>
      <c r="AB24" t="inlineStr">
        <is>
          <t>Professional Serv-Admin&amp;Commercial</t>
        </is>
      </c>
      <c r="AC24" t="inlineStr">
        <is>
          <t>Contractors</t>
        </is>
      </c>
      <c r="AD24" t="n">
        <v>41010000</v>
      </c>
      <c r="AE24" t="n">
        <v>2</v>
      </c>
      <c r="AF24" t="n">
        <v>9318</v>
      </c>
      <c r="AG24" t="n">
        <v>10</v>
      </c>
      <c r="AH24" t="inlineStr">
        <is>
          <t>ZO</t>
        </is>
      </c>
      <c r="AI24" t="n">
        <v>1400</v>
      </c>
      <c r="AJ24" t="inlineStr">
        <is>
          <t>United States</t>
        </is>
      </c>
      <c r="AK24" t="inlineStr">
        <is>
          <t>AMER</t>
        </is>
      </c>
      <c r="AL24" t="inlineStr">
        <is>
          <t>IT-FBT0784-OG-US-00</t>
        </is>
      </c>
      <c r="AM24" t="n">
        <v/>
      </c>
      <c r="AN24" t="n">
        <v>9005790523692</v>
      </c>
      <c r="AO24" t="inlineStr">
        <is>
          <t>AP05 2025 WDAC -</t>
        </is>
      </c>
      <c r="AP24" t="inlineStr">
        <is>
          <t>USD</t>
        </is>
      </c>
      <c r="AQ24" t="inlineStr">
        <is>
          <t>US Dollar</t>
        </is>
      </c>
      <c r="AR24" t="inlineStr">
        <is>
          <t>USD</t>
        </is>
      </c>
      <c r="AS24" t="n">
        <v>-2286</v>
      </c>
      <c r="AT24" t="n">
        <v>-2286</v>
      </c>
      <c r="AU24" t="n">
        <v>-2286</v>
      </c>
    </row>
    <row r="25">
      <c r="A25" t="inlineStr">
        <is>
          <t>9500882917</t>
        </is>
      </c>
      <c r="B25" t="n">
        <v>202505</v>
      </c>
      <c r="C25" t="n">
        <v>5107435533</v>
      </c>
      <c r="D25" t="inlineStr">
        <is>
          <t>IBM WW ORDERING AND US INVOICING</t>
        </is>
      </c>
      <c r="E25" t="inlineStr">
        <is>
          <t>IT-FBT0545-OG-US-00</t>
        </is>
      </c>
      <c r="F25" s="167" t="n">
        <v>45797</v>
      </c>
      <c r="G25" s="167" t="n">
        <v>45797</v>
      </c>
      <c r="H25" t="inlineStr">
        <is>
          <t>IBM - 2025 S1 COVID APPLICATIONS SUPPORT</t>
        </is>
      </c>
      <c r="I25" t="inlineStr">
        <is>
          <t>IBM - 2025 S1 COVID APPLICATIONS SUPPORT</t>
        </is>
      </c>
      <c r="J25" t="n">
        <v>5</v>
      </c>
      <c r="K25" t="n">
        <v>20960</v>
      </c>
      <c r="L25" t="inlineStr">
        <is>
          <t>Actual</t>
        </is>
      </c>
      <c r="M25" t="n">
        <v>2025</v>
      </c>
      <c r="N25" s="167" t="n">
        <v>45778</v>
      </c>
      <c r="O25" t="inlineStr">
        <is>
          <t>DIGITAL</t>
        </is>
      </c>
      <c r="P25" t="inlineStr">
        <is>
          <t>IT160</t>
        </is>
      </c>
      <c r="Q25" t="n">
        <v>2320521</v>
      </c>
      <c r="R25" t="inlineStr">
        <is>
          <t>DeHart, Lynn</t>
        </is>
      </c>
      <c r="S25" t="inlineStr">
        <is>
          <t>Ganesan, Srinivasan</t>
        </is>
      </c>
      <c r="T25" t="inlineStr">
        <is>
          <t>1400/9318/02/IT160/0002320521 (780) (Net</t>
        </is>
      </c>
      <c r="U25" t="inlineStr">
        <is>
          <t>DIGITAL</t>
        </is>
      </c>
      <c r="V25" t="inlineStr">
        <is>
          <t>CTIES</t>
        </is>
      </c>
      <c r="W25" t="inlineStr">
        <is>
          <t>ERP</t>
        </is>
      </c>
      <c r="X25" t="inlineStr">
        <is>
          <t>DIGITAL SOLUTION DELIVERY</t>
        </is>
      </c>
      <c r="Y25" t="inlineStr">
        <is>
          <t>DIGITAL SOLUTION DELIVERY HQ- US</t>
        </is>
      </c>
      <c r="Z25" t="n">
        <v>890</v>
      </c>
      <c r="AA25" t="n">
        <v>915</v>
      </c>
      <c r="AB25" t="inlineStr">
        <is>
          <t>Professional Serv-Admin&amp;Commercial</t>
        </is>
      </c>
      <c r="AC25" t="inlineStr">
        <is>
          <t>Contractors</t>
        </is>
      </c>
      <c r="AD25" t="n">
        <v>41010100</v>
      </c>
      <c r="AE25" t="n">
        <v>2</v>
      </c>
      <c r="AF25" t="n">
        <v>9318</v>
      </c>
      <c r="AG25" t="n">
        <v>10</v>
      </c>
      <c r="AH25" t="inlineStr">
        <is>
          <t>RE</t>
        </is>
      </c>
      <c r="AI25" t="n">
        <v>1400</v>
      </c>
      <c r="AJ25" t="inlineStr">
        <is>
          <t>United States</t>
        </is>
      </c>
      <c r="AK25" t="inlineStr">
        <is>
          <t>AMER</t>
        </is>
      </c>
      <c r="AL25" t="inlineStr">
        <is>
          <t>IT-FBT0545-OG-US-00</t>
        </is>
      </c>
      <c r="AM25" t="n">
        <v/>
      </c>
      <c r="AN25" t="n">
        <v>51074355332</v>
      </c>
      <c r="AO25" t="inlineStr">
        <is>
          <t>C25291704</t>
        </is>
      </c>
      <c r="AP25" t="inlineStr">
        <is>
          <t>USD</t>
        </is>
      </c>
      <c r="AQ25" t="inlineStr">
        <is>
          <t>US Dollar</t>
        </is>
      </c>
      <c r="AR25" t="inlineStr">
        <is>
          <t>USD</t>
        </is>
      </c>
      <c r="AS25" t="n">
        <v>20960</v>
      </c>
      <c r="AT25" t="n">
        <v>20960</v>
      </c>
      <c r="AU25" t="n">
        <v>20960</v>
      </c>
    </row>
    <row r="26">
      <c r="A26" t="inlineStr">
        <is>
          <t>9500879389</t>
        </is>
      </c>
      <c r="B26" t="n">
        <v>202505</v>
      </c>
      <c r="C26" t="n">
        <v>5107435534</v>
      </c>
      <c r="D26" t="inlineStr">
        <is>
          <t>IBM WW ORDERING AND US INVOICING</t>
        </is>
      </c>
      <c r="E26" t="inlineStr">
        <is>
          <t>IT-FBT0790-OG-US-00</t>
        </is>
      </c>
      <c r="F26" s="167" t="n">
        <v>45797</v>
      </c>
      <c r="G26" s="167" t="n">
        <v>45797</v>
      </c>
      <c r="H26" t="inlineStr">
        <is>
          <t>IBM 2025 S1 - IO SUPPORT</t>
        </is>
      </c>
      <c r="I26" t="inlineStr">
        <is>
          <t>IBM 2025 S1 - IO SUPPORT</t>
        </is>
      </c>
      <c r="J26" t="n">
        <v>5</v>
      </c>
      <c r="K26" t="n">
        <v>15247.5</v>
      </c>
      <c r="L26" t="inlineStr">
        <is>
          <t>Actual</t>
        </is>
      </c>
      <c r="M26" t="n">
        <v>2025</v>
      </c>
      <c r="N26" s="167" t="n">
        <v>45778</v>
      </c>
      <c r="O26" t="inlineStr">
        <is>
          <t>DIGITAL</t>
        </is>
      </c>
      <c r="P26" t="inlineStr">
        <is>
          <t>IT160</t>
        </is>
      </c>
      <c r="Q26" t="n">
        <v>2320521</v>
      </c>
      <c r="R26" t="inlineStr">
        <is>
          <t>DeHart, Lynn</t>
        </is>
      </c>
      <c r="S26" t="inlineStr">
        <is>
          <t>Ganesan, Srinivasan</t>
        </is>
      </c>
      <c r="T26" t="inlineStr">
        <is>
          <t>1400/9318/02/IT160/0002320521 (780) (Net</t>
        </is>
      </c>
      <c r="U26" t="inlineStr">
        <is>
          <t>DIGITAL</t>
        </is>
      </c>
      <c r="V26" t="inlineStr">
        <is>
          <t>CTIES</t>
        </is>
      </c>
      <c r="W26" t="inlineStr">
        <is>
          <t>ERP</t>
        </is>
      </c>
      <c r="X26" t="inlineStr">
        <is>
          <t>DIGITAL SOLUTION DELIVERY</t>
        </is>
      </c>
      <c r="Y26" t="inlineStr">
        <is>
          <t>DIGITAL SOLUTION DELIVERY HQ- US</t>
        </is>
      </c>
      <c r="Z26" t="n">
        <v>890</v>
      </c>
      <c r="AA26" t="n">
        <v>915</v>
      </c>
      <c r="AB26" t="inlineStr">
        <is>
          <t>Professional Serv-Admin&amp;Commercial</t>
        </is>
      </c>
      <c r="AC26" t="inlineStr">
        <is>
          <t>Contractors</t>
        </is>
      </c>
      <c r="AD26" t="n">
        <v>41010100</v>
      </c>
      <c r="AE26" t="n">
        <v>2</v>
      </c>
      <c r="AF26" t="n">
        <v>9318</v>
      </c>
      <c r="AG26" t="n">
        <v>10</v>
      </c>
      <c r="AH26" t="inlineStr">
        <is>
          <t>RE</t>
        </is>
      </c>
      <c r="AI26" t="n">
        <v>1400</v>
      </c>
      <c r="AJ26" t="inlineStr">
        <is>
          <t>United States</t>
        </is>
      </c>
      <c r="AK26" t="inlineStr">
        <is>
          <t>AMER</t>
        </is>
      </c>
      <c r="AL26" t="inlineStr">
        <is>
          <t>IT-FBT0790-OG-US-00</t>
        </is>
      </c>
      <c r="AM26" t="n">
        <v/>
      </c>
      <c r="AN26" t="n">
        <v>51074355342</v>
      </c>
      <c r="AO26" t="inlineStr">
        <is>
          <t>C25938904</t>
        </is>
      </c>
      <c r="AP26" t="inlineStr">
        <is>
          <t>USD</t>
        </is>
      </c>
      <c r="AQ26" t="inlineStr">
        <is>
          <t>US Dollar</t>
        </is>
      </c>
      <c r="AR26" t="inlineStr">
        <is>
          <t>USD</t>
        </is>
      </c>
      <c r="AS26" t="n">
        <v>15247.5</v>
      </c>
      <c r="AT26" t="n">
        <v>15247.5</v>
      </c>
      <c r="AU26" t="n">
        <v>15247.5</v>
      </c>
    </row>
    <row r="27">
      <c r="A27" t="inlineStr">
        <is>
          <t>9500882917</t>
        </is>
      </c>
      <c r="B27" t="n">
        <v>202505</v>
      </c>
      <c r="C27" t="n">
        <v>2100078712</v>
      </c>
      <c r="D27" t="inlineStr">
        <is>
          <t>Not assigned</t>
        </is>
      </c>
      <c r="E27" t="inlineStr">
        <is>
          <t>IT-FBT0545-OG-US-00</t>
        </is>
      </c>
      <c r="F27" s="167" t="n">
        <v>45775</v>
      </c>
      <c r="G27" s="167" t="n">
        <v>45782</v>
      </c>
      <c r="H27" t="inlineStr">
        <is>
          <t>PO- 9500882917 IBM CORP</t>
        </is>
      </c>
      <c r="I27" t="inlineStr">
        <is>
          <t>PO- 9500882917 IBM CORP</t>
        </is>
      </c>
      <c r="J27" t="n">
        <v>5</v>
      </c>
      <c r="K27" t="n">
        <v>-112062</v>
      </c>
      <c r="L27" t="inlineStr">
        <is>
          <t>Reversal</t>
        </is>
      </c>
      <c r="M27" t="n">
        <v>2025</v>
      </c>
      <c r="N27" s="167" t="n">
        <v>45778</v>
      </c>
      <c r="O27" t="inlineStr">
        <is>
          <t>DIGITAL</t>
        </is>
      </c>
      <c r="P27" t="inlineStr">
        <is>
          <t>IT160</t>
        </is>
      </c>
      <c r="Q27" t="n">
        <v>2320521</v>
      </c>
      <c r="R27" t="inlineStr">
        <is>
          <t>DeHart, Lynn</t>
        </is>
      </c>
      <c r="S27" t="inlineStr">
        <is>
          <t>Ganesan, Srinivasan</t>
        </is>
      </c>
      <c r="T27" t="inlineStr">
        <is>
          <t>1400/9318/02/IT160/0002320521 (780) (Net</t>
        </is>
      </c>
      <c r="U27" t="inlineStr">
        <is>
          <t>DIGITAL</t>
        </is>
      </c>
      <c r="V27" t="inlineStr">
        <is>
          <t>CTIES</t>
        </is>
      </c>
      <c r="W27" t="inlineStr">
        <is>
          <t>ERP</t>
        </is>
      </c>
      <c r="X27" t="inlineStr">
        <is>
          <t>DIGITAL SOLUTION DELIVERY</t>
        </is>
      </c>
      <c r="Y27" t="inlineStr">
        <is>
          <t>DIGITAL SOLUTION DELIVERY HQ- US</t>
        </is>
      </c>
      <c r="Z27" t="n">
        <v>890</v>
      </c>
      <c r="AA27" t="n">
        <v>915</v>
      </c>
      <c r="AB27" t="inlineStr">
        <is>
          <t>Professional Serv-Admin&amp;Commercial</t>
        </is>
      </c>
      <c r="AC27" t="inlineStr">
        <is>
          <t>Contractors</t>
        </is>
      </c>
      <c r="AD27" t="n">
        <v>41010100</v>
      </c>
      <c r="AE27" t="n">
        <v>2</v>
      </c>
      <c r="AF27" t="n">
        <v>9318</v>
      </c>
      <c r="AG27" t="n">
        <v>10</v>
      </c>
      <c r="AH27" t="inlineStr">
        <is>
          <t>ZY</t>
        </is>
      </c>
      <c r="AI27" t="n">
        <v>1400</v>
      </c>
      <c r="AJ27" t="inlineStr">
        <is>
          <t>United States</t>
        </is>
      </c>
      <c r="AK27" t="inlineStr">
        <is>
          <t>AMER</t>
        </is>
      </c>
      <c r="AL27" t="inlineStr">
        <is>
          <t>IT-FBT0545-OG-US-00</t>
        </is>
      </c>
      <c r="AM27" t="n">
        <v/>
      </c>
      <c r="AN27" t="n">
        <v>210007871215</v>
      </c>
      <c r="AO27" t="inlineStr">
        <is>
          <t>#</t>
        </is>
      </c>
      <c r="AP27" t="inlineStr">
        <is>
          <t>USD</t>
        </is>
      </c>
      <c r="AQ27" t="inlineStr">
        <is>
          <t>US Dollar</t>
        </is>
      </c>
      <c r="AR27" t="inlineStr">
        <is>
          <t>USD</t>
        </is>
      </c>
      <c r="AS27" t="n">
        <v>-112062</v>
      </c>
      <c r="AT27" t="n">
        <v>-112062</v>
      </c>
      <c r="AU27" t="n">
        <v>-112062</v>
      </c>
    </row>
    <row r="28">
      <c r="A28" t="inlineStr">
        <is>
          <t>9500882917</t>
        </is>
      </c>
      <c r="B28" t="n">
        <v>202505</v>
      </c>
      <c r="C28" t="n">
        <v>2100078772</v>
      </c>
      <c r="D28" t="inlineStr">
        <is>
          <t>Not assigned</t>
        </is>
      </c>
      <c r="E28" t="inlineStr">
        <is>
          <t>IT-FBT0545-OG-US-00</t>
        </is>
      </c>
      <c r="F28" s="167" t="n">
        <v>45776</v>
      </c>
      <c r="G28" s="167" t="n">
        <v>45782</v>
      </c>
      <c r="H28" t="inlineStr">
        <is>
          <t>PO- 9500882917 IBM CORP</t>
        </is>
      </c>
      <c r="I28" t="inlineStr">
        <is>
          <t>PO- 9500882917 IBM CORP</t>
        </is>
      </c>
      <c r="J28" t="n">
        <v>5</v>
      </c>
      <c r="K28" t="n">
        <v>18462</v>
      </c>
      <c r="L28" t="inlineStr">
        <is>
          <t>Accrual</t>
        </is>
      </c>
      <c r="M28" t="n">
        <v>2025</v>
      </c>
      <c r="N28" s="167" t="n">
        <v>45778</v>
      </c>
      <c r="O28" t="inlineStr">
        <is>
          <t>DIGITAL</t>
        </is>
      </c>
      <c r="P28" t="inlineStr">
        <is>
          <t>IT160</t>
        </is>
      </c>
      <c r="Q28" t="n">
        <v>2320521</v>
      </c>
      <c r="R28" t="inlineStr">
        <is>
          <t>DeHart, Lynn</t>
        </is>
      </c>
      <c r="S28" t="inlineStr">
        <is>
          <t>Ganesan, Srinivasan</t>
        </is>
      </c>
      <c r="T28" t="inlineStr">
        <is>
          <t>1400/9318/02/IT160/0002320521 (780) (Net</t>
        </is>
      </c>
      <c r="U28" t="inlineStr">
        <is>
          <t>DIGITAL</t>
        </is>
      </c>
      <c r="V28" t="inlineStr">
        <is>
          <t>CTIES</t>
        </is>
      </c>
      <c r="W28" t="inlineStr">
        <is>
          <t>ERP</t>
        </is>
      </c>
      <c r="X28" t="inlineStr">
        <is>
          <t>DIGITAL SOLUTION DELIVERY</t>
        </is>
      </c>
      <c r="Y28" t="inlineStr">
        <is>
          <t>DIGITAL SOLUTION DELIVERY HQ- US</t>
        </is>
      </c>
      <c r="Z28" t="n">
        <v>890</v>
      </c>
      <c r="AA28" t="n">
        <v>915</v>
      </c>
      <c r="AB28" t="inlineStr">
        <is>
          <t>Professional Serv-Admin&amp;Commercial</t>
        </is>
      </c>
      <c r="AC28" t="inlineStr">
        <is>
          <t>Contractors</t>
        </is>
      </c>
      <c r="AD28" t="n">
        <v>41010100</v>
      </c>
      <c r="AE28" t="n">
        <v>2</v>
      </c>
      <c r="AF28" t="n">
        <v>9318</v>
      </c>
      <c r="AG28" t="n">
        <v>10</v>
      </c>
      <c r="AH28" t="inlineStr">
        <is>
          <t>ZY</t>
        </is>
      </c>
      <c r="AI28" t="n">
        <v>1400</v>
      </c>
      <c r="AJ28" t="inlineStr">
        <is>
          <t>United States</t>
        </is>
      </c>
      <c r="AK28" t="inlineStr">
        <is>
          <t>AMER</t>
        </is>
      </c>
      <c r="AL28" t="inlineStr">
        <is>
          <t>IT-FBT0545-OG-US-00</t>
        </is>
      </c>
      <c r="AM28" t="n">
        <v/>
      </c>
      <c r="AN28" t="n">
        <v>210007877211</v>
      </c>
      <c r="AO28" t="inlineStr">
        <is>
          <t>OPEX -T3 ADJ</t>
        </is>
      </c>
      <c r="AP28" t="inlineStr">
        <is>
          <t>USD</t>
        </is>
      </c>
      <c r="AQ28" t="inlineStr">
        <is>
          <t>US Dollar</t>
        </is>
      </c>
      <c r="AR28" t="inlineStr">
        <is>
          <t>USD</t>
        </is>
      </c>
      <c r="AS28" t="n">
        <v>18462</v>
      </c>
      <c r="AT28" t="n">
        <v>18462</v>
      </c>
      <c r="AU28" t="n">
        <v>18462</v>
      </c>
    </row>
    <row r="29">
      <c r="A29" t="inlineStr">
        <is>
          <t>9500882917</t>
        </is>
      </c>
      <c r="B29" t="n">
        <v>202505</v>
      </c>
      <c r="C29" t="n">
        <v>2100078931</v>
      </c>
      <c r="D29" t="inlineStr">
        <is>
          <t>Not assigned</t>
        </is>
      </c>
      <c r="E29" t="inlineStr">
        <is>
          <t>IT-FBT0545-OG-US-00</t>
        </is>
      </c>
      <c r="F29" s="167" t="n">
        <v>45804</v>
      </c>
      <c r="G29" s="167" t="n">
        <v>45792</v>
      </c>
      <c r="H29" t="inlineStr">
        <is>
          <t>PO- 9500882917 IBM CORP</t>
        </is>
      </c>
      <c r="I29" t="inlineStr">
        <is>
          <t>PO- 9500882917 IBM CORP</t>
        </is>
      </c>
      <c r="J29" t="n">
        <v>5</v>
      </c>
      <c r="K29" t="n">
        <v>140102</v>
      </c>
      <c r="L29" t="inlineStr">
        <is>
          <t>Accrual</t>
        </is>
      </c>
      <c r="M29" t="n">
        <v>2025</v>
      </c>
      <c r="N29" s="167" t="n">
        <v>45778</v>
      </c>
      <c r="O29" t="inlineStr">
        <is>
          <t>DIGITAL</t>
        </is>
      </c>
      <c r="P29" t="inlineStr">
        <is>
          <t>IT160</t>
        </is>
      </c>
      <c r="Q29" t="n">
        <v>2320521</v>
      </c>
      <c r="R29" t="inlineStr">
        <is>
          <t>DeHart, Lynn</t>
        </is>
      </c>
      <c r="S29" t="inlineStr">
        <is>
          <t>Ganesan, Srinivasan</t>
        </is>
      </c>
      <c r="T29" t="inlineStr">
        <is>
          <t>1400/9318/02/IT160/0002320521 (780) (Net</t>
        </is>
      </c>
      <c r="U29" t="inlineStr">
        <is>
          <t>DIGITAL</t>
        </is>
      </c>
      <c r="V29" t="inlineStr">
        <is>
          <t>CTIES</t>
        </is>
      </c>
      <c r="W29" t="inlineStr">
        <is>
          <t>ERP</t>
        </is>
      </c>
      <c r="X29" t="inlineStr">
        <is>
          <t>DIGITAL SOLUTION DELIVERY</t>
        </is>
      </c>
      <c r="Y29" t="inlineStr">
        <is>
          <t>DIGITAL SOLUTION DELIVERY HQ- US</t>
        </is>
      </c>
      <c r="Z29" t="n">
        <v>890</v>
      </c>
      <c r="AA29" t="n">
        <v>915</v>
      </c>
      <c r="AB29" t="inlineStr">
        <is>
          <t>Professional Serv-Admin&amp;Commercial</t>
        </is>
      </c>
      <c r="AC29" t="inlineStr">
        <is>
          <t>Contractors</t>
        </is>
      </c>
      <c r="AD29" t="n">
        <v>41010100</v>
      </c>
      <c r="AE29" t="n">
        <v>2</v>
      </c>
      <c r="AF29" t="n">
        <v>9318</v>
      </c>
      <c r="AG29" t="n">
        <v>10</v>
      </c>
      <c r="AH29" t="inlineStr">
        <is>
          <t>ZY</t>
        </is>
      </c>
      <c r="AI29" t="n">
        <v>1400</v>
      </c>
      <c r="AJ29" t="inlineStr">
        <is>
          <t>United States</t>
        </is>
      </c>
      <c r="AK29" t="inlineStr">
        <is>
          <t>AMER</t>
        </is>
      </c>
      <c r="AL29" t="inlineStr">
        <is>
          <t>IT-FBT0545-OG-US-00</t>
        </is>
      </c>
      <c r="AM29" t="n">
        <v/>
      </c>
      <c r="AN29" t="n">
        <v>210007893113</v>
      </c>
      <c r="AO29" t="inlineStr">
        <is>
          <t>#</t>
        </is>
      </c>
      <c r="AP29" t="inlineStr">
        <is>
          <t>USD</t>
        </is>
      </c>
      <c r="AQ29" t="inlineStr">
        <is>
          <t>US Dollar</t>
        </is>
      </c>
      <c r="AR29" t="inlineStr">
        <is>
          <t>USD</t>
        </is>
      </c>
      <c r="AS29" t="n">
        <v>140102</v>
      </c>
      <c r="AT29" t="n">
        <v>140102</v>
      </c>
      <c r="AU29" t="n">
        <v>140102</v>
      </c>
    </row>
    <row r="30">
      <c r="A30" t="inlineStr">
        <is>
          <t>9500882917</t>
        </is>
      </c>
      <c r="B30" t="n">
        <v>202505</v>
      </c>
      <c r="C30" t="n">
        <v>2100079005</v>
      </c>
      <c r="D30" t="inlineStr">
        <is>
          <t>Not assigned</t>
        </is>
      </c>
      <c r="E30" t="inlineStr">
        <is>
          <t>IT-FBT0545-OG-US-00</t>
        </is>
      </c>
      <c r="F30" s="167" t="n">
        <v>45805</v>
      </c>
      <c r="G30" s="167" t="n">
        <v>45792</v>
      </c>
      <c r="H30" t="inlineStr">
        <is>
          <t>PO- 9500882917 IBM CORP</t>
        </is>
      </c>
      <c r="I30" t="inlineStr">
        <is>
          <t>PO- 9500882917 IBM CORP</t>
        </is>
      </c>
      <c r="J30" t="n">
        <v>5</v>
      </c>
      <c r="K30" t="n">
        <v>-18502</v>
      </c>
      <c r="L30" t="inlineStr">
        <is>
          <t>Reversal</t>
        </is>
      </c>
      <c r="M30" t="n">
        <v>2025</v>
      </c>
      <c r="N30" s="167" t="n">
        <v>45778</v>
      </c>
      <c r="O30" t="inlineStr">
        <is>
          <t>DIGITAL</t>
        </is>
      </c>
      <c r="P30" t="inlineStr">
        <is>
          <t>IT160</t>
        </is>
      </c>
      <c r="Q30" t="n">
        <v>2320521</v>
      </c>
      <c r="R30" t="inlineStr">
        <is>
          <t>DeHart, Lynn</t>
        </is>
      </c>
      <c r="S30" t="inlineStr">
        <is>
          <t>Ganesan, Srinivasan</t>
        </is>
      </c>
      <c r="T30" t="inlineStr">
        <is>
          <t>1400/9318/02/IT160/0002320521 (780) (Net</t>
        </is>
      </c>
      <c r="U30" t="inlineStr">
        <is>
          <t>DIGITAL</t>
        </is>
      </c>
      <c r="V30" t="inlineStr">
        <is>
          <t>CTIES</t>
        </is>
      </c>
      <c r="W30" t="inlineStr">
        <is>
          <t>ERP</t>
        </is>
      </c>
      <c r="X30" t="inlineStr">
        <is>
          <t>DIGITAL SOLUTION DELIVERY</t>
        </is>
      </c>
      <c r="Y30" t="inlineStr">
        <is>
          <t>DIGITAL SOLUTION DELIVERY HQ- US</t>
        </is>
      </c>
      <c r="Z30" t="n">
        <v>890</v>
      </c>
      <c r="AA30" t="n">
        <v>915</v>
      </c>
      <c r="AB30" t="inlineStr">
        <is>
          <t>Professional Serv-Admin&amp;Commercial</t>
        </is>
      </c>
      <c r="AC30" t="inlineStr">
        <is>
          <t>Contractors</t>
        </is>
      </c>
      <c r="AD30" t="n">
        <v>41010100</v>
      </c>
      <c r="AE30" t="n">
        <v>2</v>
      </c>
      <c r="AF30" t="n">
        <v>9318</v>
      </c>
      <c r="AG30" t="n">
        <v>10</v>
      </c>
      <c r="AH30" t="inlineStr">
        <is>
          <t>ZY</t>
        </is>
      </c>
      <c r="AI30" t="n">
        <v>1400</v>
      </c>
      <c r="AJ30" t="inlineStr">
        <is>
          <t>United States</t>
        </is>
      </c>
      <c r="AK30" t="inlineStr">
        <is>
          <t>AMER</t>
        </is>
      </c>
      <c r="AL30" t="inlineStr">
        <is>
          <t>IT-FBT0545-OG-US-00</t>
        </is>
      </c>
      <c r="AM30" t="n">
        <v/>
      </c>
      <c r="AN30" t="n">
        <v>210007900510</v>
      </c>
      <c r="AO30" t="inlineStr">
        <is>
          <t>OPEX -T3 ADJ</t>
        </is>
      </c>
      <c r="AP30" t="inlineStr">
        <is>
          <t>USD</t>
        </is>
      </c>
      <c r="AQ30" t="inlineStr">
        <is>
          <t>US Dollar</t>
        </is>
      </c>
      <c r="AR30" t="inlineStr">
        <is>
          <t>USD</t>
        </is>
      </c>
      <c r="AS30" t="n">
        <v>-18502</v>
      </c>
      <c r="AT30" t="n">
        <v>-18502</v>
      </c>
      <c r="AU30" t="n">
        <v>-18502</v>
      </c>
    </row>
    <row r="31">
      <c r="A31" t="inlineStr">
        <is>
          <t>9500879389</t>
        </is>
      </c>
      <c r="B31" t="n">
        <v>202505</v>
      </c>
      <c r="C31" t="n">
        <v>2100078708</v>
      </c>
      <c r="D31" t="inlineStr">
        <is>
          <t>Not assigned</t>
        </is>
      </c>
      <c r="E31" t="inlineStr">
        <is>
          <t>IT-FBT0790-OG-US-00</t>
        </is>
      </c>
      <c r="F31" s="167" t="n">
        <v>45775</v>
      </c>
      <c r="G31" s="167" t="n">
        <v>45782</v>
      </c>
      <c r="H31" t="inlineStr">
        <is>
          <t>PO- 9500879389 IBM CORP</t>
        </is>
      </c>
      <c r="I31" t="inlineStr">
        <is>
          <t>PO- 9500879389 IBM CORP</t>
        </is>
      </c>
      <c r="J31" t="n">
        <v>5</v>
      </c>
      <c r="K31" t="n">
        <v>-19294.5</v>
      </c>
      <c r="L31" t="inlineStr">
        <is>
          <t>Reversal</t>
        </is>
      </c>
      <c r="M31" t="n">
        <v>2025</v>
      </c>
      <c r="N31" s="167" t="n">
        <v>45778</v>
      </c>
      <c r="O31" t="inlineStr">
        <is>
          <t>DIGITAL</t>
        </is>
      </c>
      <c r="P31" t="inlineStr">
        <is>
          <t>IT160</t>
        </is>
      </c>
      <c r="Q31" t="n">
        <v>2320521</v>
      </c>
      <c r="R31" t="inlineStr">
        <is>
          <t>DeHart, Lynn</t>
        </is>
      </c>
      <c r="S31" t="inlineStr">
        <is>
          <t>Ganesan, Srinivasan</t>
        </is>
      </c>
      <c r="T31" t="inlineStr">
        <is>
          <t>1400/9318/02/IT160/0002320521 (780) (Net</t>
        </is>
      </c>
      <c r="U31" t="inlineStr">
        <is>
          <t>DIGITAL</t>
        </is>
      </c>
      <c r="V31" t="inlineStr">
        <is>
          <t>CTIES</t>
        </is>
      </c>
      <c r="W31" t="inlineStr">
        <is>
          <t>ERP</t>
        </is>
      </c>
      <c r="X31" t="inlineStr">
        <is>
          <t>DIGITAL SOLUTION DELIVERY</t>
        </is>
      </c>
      <c r="Y31" t="inlineStr">
        <is>
          <t>DIGITAL SOLUTION DELIVERY HQ- US</t>
        </is>
      </c>
      <c r="Z31" t="n">
        <v>890</v>
      </c>
      <c r="AA31" t="n">
        <v>915</v>
      </c>
      <c r="AB31" t="inlineStr">
        <is>
          <t>Professional Serv-Admin&amp;Commercial</t>
        </is>
      </c>
      <c r="AC31" t="inlineStr">
        <is>
          <t>Contractors</t>
        </is>
      </c>
      <c r="AD31" t="n">
        <v>41010100</v>
      </c>
      <c r="AE31" t="n">
        <v>2</v>
      </c>
      <c r="AF31" t="n">
        <v>9318</v>
      </c>
      <c r="AG31" t="n">
        <v>10</v>
      </c>
      <c r="AH31" t="inlineStr">
        <is>
          <t>ZY</t>
        </is>
      </c>
      <c r="AI31" t="n">
        <v>1400</v>
      </c>
      <c r="AJ31" t="inlineStr">
        <is>
          <t>United States</t>
        </is>
      </c>
      <c r="AK31" t="inlineStr">
        <is>
          <t>AMER</t>
        </is>
      </c>
      <c r="AL31" t="inlineStr">
        <is>
          <t>IT-FBT0790-OG-US-00</t>
        </is>
      </c>
      <c r="AM31" t="n">
        <v/>
      </c>
      <c r="AN31" t="n">
        <v>2100078708140</v>
      </c>
      <c r="AO31" t="inlineStr">
        <is>
          <t>AP4-25 2WM</t>
        </is>
      </c>
      <c r="AP31" t="inlineStr">
        <is>
          <t>USD</t>
        </is>
      </c>
      <c r="AQ31" t="inlineStr">
        <is>
          <t>US Dollar</t>
        </is>
      </c>
      <c r="AR31" t="inlineStr">
        <is>
          <t>USD</t>
        </is>
      </c>
      <c r="AS31" t="n">
        <v>-19294.5</v>
      </c>
      <c r="AT31" t="n">
        <v>-19294.5</v>
      </c>
      <c r="AU31" t="n">
        <v>-19294.5</v>
      </c>
    </row>
    <row r="32">
      <c r="A32" t="inlineStr">
        <is>
          <t>9500879389</t>
        </is>
      </c>
      <c r="B32" t="n">
        <v>202505</v>
      </c>
      <c r="C32" t="n">
        <v>2100078972</v>
      </c>
      <c r="D32" t="inlineStr">
        <is>
          <t>Not assigned</t>
        </is>
      </c>
      <c r="E32" t="inlineStr">
        <is>
          <t>IT-FBT0790-OG-US-00</t>
        </is>
      </c>
      <c r="F32" s="167" t="n">
        <v>45804</v>
      </c>
      <c r="G32" s="167" t="n">
        <v>45792</v>
      </c>
      <c r="H32" t="inlineStr">
        <is>
          <t>PO- 9500879389 IBM CORP</t>
        </is>
      </c>
      <c r="I32" t="inlineStr">
        <is>
          <t>PO- 9500879389 IBM CORP</t>
        </is>
      </c>
      <c r="J32" t="n">
        <v>5</v>
      </c>
      <c r="K32" t="n">
        <v>20952.78</v>
      </c>
      <c r="L32" t="inlineStr">
        <is>
          <t>Accrual</t>
        </is>
      </c>
      <c r="M32" t="n">
        <v>2025</v>
      </c>
      <c r="N32" s="167" t="n">
        <v>45778</v>
      </c>
      <c r="O32" t="inlineStr">
        <is>
          <t>DIGITAL</t>
        </is>
      </c>
      <c r="P32" t="inlineStr">
        <is>
          <t>IT160</t>
        </is>
      </c>
      <c r="Q32" t="n">
        <v>2320521</v>
      </c>
      <c r="R32" t="inlineStr">
        <is>
          <t>DeHart, Lynn</t>
        </is>
      </c>
      <c r="S32" t="inlineStr">
        <is>
          <t>Ganesan, Srinivasan</t>
        </is>
      </c>
      <c r="T32" t="inlineStr">
        <is>
          <t>1400/9318/02/IT160/0002320521 (780) (Net</t>
        </is>
      </c>
      <c r="U32" t="inlineStr">
        <is>
          <t>DIGITAL</t>
        </is>
      </c>
      <c r="V32" t="inlineStr">
        <is>
          <t>CTIES</t>
        </is>
      </c>
      <c r="W32" t="inlineStr">
        <is>
          <t>ERP</t>
        </is>
      </c>
      <c r="X32" t="inlineStr">
        <is>
          <t>DIGITAL SOLUTION DELIVERY</t>
        </is>
      </c>
      <c r="Y32" t="inlineStr">
        <is>
          <t>DIGITAL SOLUTION DELIVERY HQ- US</t>
        </is>
      </c>
      <c r="Z32" t="n">
        <v>890</v>
      </c>
      <c r="AA32" t="n">
        <v>915</v>
      </c>
      <c r="AB32" t="inlineStr">
        <is>
          <t>Professional Serv-Admin&amp;Commercial</t>
        </is>
      </c>
      <c r="AC32" t="inlineStr">
        <is>
          <t>Contractors</t>
        </is>
      </c>
      <c r="AD32" t="n">
        <v>41010100</v>
      </c>
      <c r="AE32" t="n">
        <v>2</v>
      </c>
      <c r="AF32" t="n">
        <v>9318</v>
      </c>
      <c r="AG32" t="n">
        <v>10</v>
      </c>
      <c r="AH32" t="inlineStr">
        <is>
          <t>ZY</t>
        </is>
      </c>
      <c r="AI32" t="n">
        <v>1400</v>
      </c>
      <c r="AJ32" t="inlineStr">
        <is>
          <t>United States</t>
        </is>
      </c>
      <c r="AK32" t="inlineStr">
        <is>
          <t>AMER</t>
        </is>
      </c>
      <c r="AL32" t="inlineStr">
        <is>
          <t>IT-FBT0790-OG-US-00</t>
        </is>
      </c>
      <c r="AM32" t="n">
        <v/>
      </c>
      <c r="AN32" t="n">
        <v>2100078972119</v>
      </c>
      <c r="AO32" t="inlineStr">
        <is>
          <t>AP5-25 2WM</t>
        </is>
      </c>
      <c r="AP32" t="inlineStr">
        <is>
          <t>USD</t>
        </is>
      </c>
      <c r="AQ32" t="inlineStr">
        <is>
          <t>US Dollar</t>
        </is>
      </c>
      <c r="AR32" t="inlineStr">
        <is>
          <t>USD</t>
        </is>
      </c>
      <c r="AS32" t="n">
        <v>20952.78</v>
      </c>
      <c r="AT32" t="n">
        <v>20952.78</v>
      </c>
      <c r="AU32" t="n">
        <v>20952.78</v>
      </c>
    </row>
    <row r="33">
      <c r="A33" t="inlineStr">
        <is>
          <t>9500879389</t>
        </is>
      </c>
      <c r="B33" t="n">
        <v>202505</v>
      </c>
      <c r="C33" t="n">
        <v>9005790523</v>
      </c>
      <c r="D33" t="inlineStr">
        <is>
          <t>Not assigned</t>
        </is>
      </c>
      <c r="E33" t="inlineStr">
        <is>
          <t>IT-FBT0397-OG-US-00</t>
        </is>
      </c>
      <c r="F33" s="167" t="n">
        <v>45799</v>
      </c>
      <c r="G33" s="167" t="n">
        <v>45792</v>
      </c>
      <c r="H33" t="inlineStr">
        <is>
          <t>RC05-9500879389-FIXING INCORRECT AMOUNT ON RECLASS</t>
        </is>
      </c>
      <c r="I33" t="inlineStr">
        <is>
          <t>RC05-9500879389-FIXING INCORRECT AMOUNT ON RECLASS</t>
        </is>
      </c>
      <c r="J33" t="n">
        <v>5</v>
      </c>
      <c r="K33" t="n">
        <v>2286</v>
      </c>
      <c r="L33" t="inlineStr">
        <is>
          <t>Reclass</t>
        </is>
      </c>
      <c r="M33" t="n">
        <v>2025</v>
      </c>
      <c r="N33" s="167" t="n">
        <v>45778</v>
      </c>
      <c r="O33" t="inlineStr">
        <is>
          <t>DIGITAL</t>
        </is>
      </c>
      <c r="P33" t="inlineStr">
        <is>
          <t>IT160</t>
        </is>
      </c>
      <c r="Q33" t="n">
        <v>2320521</v>
      </c>
      <c r="R33" t="inlineStr">
        <is>
          <t>DeHart, Lynn</t>
        </is>
      </c>
      <c r="S33" t="inlineStr">
        <is>
          <t>Ganesan, Srinivasan</t>
        </is>
      </c>
      <c r="T33" t="inlineStr">
        <is>
          <t>1400/9318/02/IT160/0002320521 (780) (Net</t>
        </is>
      </c>
      <c r="U33" t="inlineStr">
        <is>
          <t>DIGITAL</t>
        </is>
      </c>
      <c r="V33" t="inlineStr">
        <is>
          <t>CTIES</t>
        </is>
      </c>
      <c r="W33" t="inlineStr">
        <is>
          <t>ERP</t>
        </is>
      </c>
      <c r="X33" t="inlineStr">
        <is>
          <t>DIGITAL SOLUTION DELIVERY</t>
        </is>
      </c>
      <c r="Y33" t="inlineStr">
        <is>
          <t>DIGITAL SOLUTION DELIVERY HQ- US</t>
        </is>
      </c>
      <c r="Z33" t="n">
        <v>890</v>
      </c>
      <c r="AA33" t="n">
        <v>923</v>
      </c>
      <c r="AB33" t="inlineStr">
        <is>
          <t>Managed Services</t>
        </is>
      </c>
      <c r="AC33" t="inlineStr">
        <is>
          <t>Managed Services</t>
        </is>
      </c>
      <c r="AD33" t="n">
        <v>41500000</v>
      </c>
      <c r="AE33" t="n">
        <v>2</v>
      </c>
      <c r="AF33" t="n">
        <v>9318</v>
      </c>
      <c r="AG33" t="n">
        <v>10</v>
      </c>
      <c r="AH33" t="inlineStr">
        <is>
          <t>ZO</t>
        </is>
      </c>
      <c r="AI33" t="n">
        <v>1400</v>
      </c>
      <c r="AJ33" t="inlineStr">
        <is>
          <t>United States</t>
        </is>
      </c>
      <c r="AK33" t="inlineStr">
        <is>
          <t>AMER</t>
        </is>
      </c>
      <c r="AL33" t="inlineStr">
        <is>
          <t>IT-FBT0397-OG-US-00</t>
        </is>
      </c>
      <c r="AM33" t="n">
        <v/>
      </c>
      <c r="AN33" t="n">
        <v>9005790523688</v>
      </c>
      <c r="AO33" t="inlineStr">
        <is>
          <t>AP05 2025 WDAC -</t>
        </is>
      </c>
      <c r="AP33" t="inlineStr">
        <is>
          <t>USD</t>
        </is>
      </c>
      <c r="AQ33" t="inlineStr">
        <is>
          <t>US Dollar</t>
        </is>
      </c>
      <c r="AR33" t="inlineStr">
        <is>
          <t>USD</t>
        </is>
      </c>
      <c r="AS33" t="n">
        <v>2286</v>
      </c>
      <c r="AT33" t="n">
        <v>2286</v>
      </c>
      <c r="AU33" t="n">
        <v>2286</v>
      </c>
    </row>
    <row r="34">
      <c r="A34" t="inlineStr">
        <is>
          <t>9500882917</t>
        </is>
      </c>
      <c r="B34" t="n">
        <v>202506</v>
      </c>
      <c r="C34" t="n">
        <v>5107443439</v>
      </c>
      <c r="D34" t="inlineStr">
        <is>
          <t>IBM WW ORDERING AND US INVOICING</t>
        </is>
      </c>
      <c r="E34" t="inlineStr">
        <is>
          <t>IT-FBT0545-OG-US-00</t>
        </is>
      </c>
      <c r="F34" s="167" t="n">
        <v>45805</v>
      </c>
      <c r="G34" s="167" t="n">
        <v>45805</v>
      </c>
      <c r="H34" t="inlineStr">
        <is>
          <t>IBM - 2025 S1 COVID APPLICATIONS SUPPORT</t>
        </is>
      </c>
      <c r="I34" t="inlineStr">
        <is>
          <t>IBM - 2025 S1 COVID APPLICATIONS SUPPORT</t>
        </is>
      </c>
      <c r="J34" t="n">
        <v>6</v>
      </c>
      <c r="K34" t="n">
        <v>27720</v>
      </c>
      <c r="L34" t="inlineStr">
        <is>
          <t>Actual</t>
        </is>
      </c>
      <c r="M34" t="n">
        <v>2025</v>
      </c>
      <c r="N34" s="167" t="n">
        <v>45809</v>
      </c>
      <c r="O34" t="inlineStr">
        <is>
          <t>DIGITAL</t>
        </is>
      </c>
      <c r="P34" t="inlineStr">
        <is>
          <t>IT160</t>
        </is>
      </c>
      <c r="Q34" t="n">
        <v>2320521</v>
      </c>
      <c r="R34" t="inlineStr">
        <is>
          <t>DeHart, Lynn</t>
        </is>
      </c>
      <c r="S34" t="inlineStr">
        <is>
          <t>Ganesan, Srinivasan</t>
        </is>
      </c>
      <c r="T34" t="inlineStr">
        <is>
          <t>1400/9318/02/IT160/0002320521 (780) (Net</t>
        </is>
      </c>
      <c r="U34" t="inlineStr">
        <is>
          <t>DIGITAL</t>
        </is>
      </c>
      <c r="V34" t="inlineStr">
        <is>
          <t>CTIES</t>
        </is>
      </c>
      <c r="W34" t="inlineStr">
        <is>
          <t>ERP</t>
        </is>
      </c>
      <c r="X34" t="inlineStr">
        <is>
          <t>DIGITAL SOLUTION DELIVERY</t>
        </is>
      </c>
      <c r="Y34" t="inlineStr">
        <is>
          <t>DIGITAL SOLUTION DELIVERY HQ- US</t>
        </is>
      </c>
      <c r="Z34" t="n">
        <v>890</v>
      </c>
      <c r="AA34" t="n">
        <v>915</v>
      </c>
      <c r="AB34" t="inlineStr">
        <is>
          <t>Professional Serv-Admin&amp;Commercial</t>
        </is>
      </c>
      <c r="AC34" t="inlineStr">
        <is>
          <t>Contractors</t>
        </is>
      </c>
      <c r="AD34" t="n">
        <v>41010100</v>
      </c>
      <c r="AE34" t="n">
        <v>2</v>
      </c>
      <c r="AF34" t="n">
        <v>9318</v>
      </c>
      <c r="AG34" t="n">
        <v>10</v>
      </c>
      <c r="AH34" t="inlineStr">
        <is>
          <t>RE</t>
        </is>
      </c>
      <c r="AI34" t="n">
        <v>1400</v>
      </c>
      <c r="AJ34" t="inlineStr">
        <is>
          <t>United States</t>
        </is>
      </c>
      <c r="AK34" t="inlineStr">
        <is>
          <t>AMER</t>
        </is>
      </c>
      <c r="AL34" t="inlineStr">
        <is>
          <t>IT-FBT0545-OG-US-00</t>
        </is>
      </c>
      <c r="AM34" t="n">
        <v/>
      </c>
      <c r="AN34" t="n">
        <v>51074434392</v>
      </c>
      <c r="AO34" t="inlineStr">
        <is>
          <t>C25291702</t>
        </is>
      </c>
      <c r="AP34" t="inlineStr">
        <is>
          <t>USD</t>
        </is>
      </c>
      <c r="AQ34" t="inlineStr">
        <is>
          <t>US Dollar</t>
        </is>
      </c>
      <c r="AR34" t="inlineStr">
        <is>
          <t>USD</t>
        </is>
      </c>
      <c r="AS34" t="n">
        <v>27720</v>
      </c>
      <c r="AT34" t="n">
        <v>27720</v>
      </c>
      <c r="AU34" t="n">
        <v>27720</v>
      </c>
    </row>
    <row r="35">
      <c r="A35" t="inlineStr">
        <is>
          <t>9500882917</t>
        </is>
      </c>
      <c r="B35" t="n">
        <v>202506</v>
      </c>
      <c r="C35" t="n">
        <v>5107470913</v>
      </c>
      <c r="D35" t="inlineStr">
        <is>
          <t>IBM WW ORDERING AND US INVOICING</t>
        </is>
      </c>
      <c r="E35" t="inlineStr">
        <is>
          <t>IT-FBT0545-OG-US-00</t>
        </is>
      </c>
      <c r="F35" s="167" t="n">
        <v>45821</v>
      </c>
      <c r="G35" s="167" t="n">
        <v>45821</v>
      </c>
      <c r="H35" t="inlineStr">
        <is>
          <t>IBM - 2025 S1 COVID APPLICATIONS SUPPORT</t>
        </is>
      </c>
      <c r="I35" t="inlineStr">
        <is>
          <t>IBM - 2025 S1 COVID APPLICATIONS SUPPORT</t>
        </is>
      </c>
      <c r="J35" t="n">
        <v>6</v>
      </c>
      <c r="K35" t="n">
        <v>27040</v>
      </c>
      <c r="L35" t="inlineStr">
        <is>
          <t>Actual</t>
        </is>
      </c>
      <c r="M35" t="n">
        <v>2025</v>
      </c>
      <c r="N35" s="167" t="n">
        <v>45809</v>
      </c>
      <c r="O35" t="inlineStr">
        <is>
          <t>DIGITAL</t>
        </is>
      </c>
      <c r="P35" t="inlineStr">
        <is>
          <t>IT160</t>
        </is>
      </c>
      <c r="Q35" t="n">
        <v>2320521</v>
      </c>
      <c r="R35" t="inlineStr">
        <is>
          <t>DeHart, Lynn</t>
        </is>
      </c>
      <c r="S35" t="inlineStr">
        <is>
          <t>Ganesan, Srinivasan</t>
        </is>
      </c>
      <c r="T35" t="inlineStr">
        <is>
          <t>1400/9318/02/IT160/0002320521 (780) (Net</t>
        </is>
      </c>
      <c r="U35" t="inlineStr">
        <is>
          <t>DIGITAL</t>
        </is>
      </c>
      <c r="V35" t="inlineStr">
        <is>
          <t>CTIES</t>
        </is>
      </c>
      <c r="W35" t="inlineStr">
        <is>
          <t>ERP</t>
        </is>
      </c>
      <c r="X35" t="inlineStr">
        <is>
          <t>DIGITAL SOLUTION DELIVERY</t>
        </is>
      </c>
      <c r="Y35" t="inlineStr">
        <is>
          <t>DIGITAL SOLUTION DELIVERY HQ- US</t>
        </is>
      </c>
      <c r="Z35" t="n">
        <v>890</v>
      </c>
      <c r="AA35" t="n">
        <v>915</v>
      </c>
      <c r="AB35" t="inlineStr">
        <is>
          <t>Professional Serv-Admin&amp;Commercial</t>
        </is>
      </c>
      <c r="AC35" t="inlineStr">
        <is>
          <t>Contractors</t>
        </is>
      </c>
      <c r="AD35" t="n">
        <v>41010100</v>
      </c>
      <c r="AE35" t="n">
        <v>2</v>
      </c>
      <c r="AF35" t="n">
        <v>9318</v>
      </c>
      <c r="AG35" t="n">
        <v>10</v>
      </c>
      <c r="AH35" t="inlineStr">
        <is>
          <t>RE</t>
        </is>
      </c>
      <c r="AI35" t="n">
        <v>1400</v>
      </c>
      <c r="AJ35" t="inlineStr">
        <is>
          <t>United States</t>
        </is>
      </c>
      <c r="AK35" t="inlineStr">
        <is>
          <t>AMER</t>
        </is>
      </c>
      <c r="AL35" t="inlineStr">
        <is>
          <t>IT-FBT0545-OG-US-00</t>
        </is>
      </c>
      <c r="AM35" t="n">
        <v/>
      </c>
      <c r="AN35" t="n">
        <v>51074709132</v>
      </c>
      <c r="AO35" t="inlineStr">
        <is>
          <t>C258291704</t>
        </is>
      </c>
      <c r="AP35" t="inlineStr">
        <is>
          <t>USD</t>
        </is>
      </c>
      <c r="AQ35" t="inlineStr">
        <is>
          <t>US Dollar</t>
        </is>
      </c>
      <c r="AR35" t="inlineStr">
        <is>
          <t>USD</t>
        </is>
      </c>
      <c r="AS35" t="n">
        <v>27040</v>
      </c>
      <c r="AT35" t="n">
        <v>27040</v>
      </c>
      <c r="AU35" t="n">
        <v>27040</v>
      </c>
    </row>
    <row r="36">
      <c r="A36" t="inlineStr">
        <is>
          <t>9500882917</t>
        </is>
      </c>
      <c r="B36" t="n">
        <v>202506</v>
      </c>
      <c r="C36" t="n">
        <v>5107471190</v>
      </c>
      <c r="D36" t="inlineStr">
        <is>
          <t>IBM WW ORDERING AND US INVOICING</t>
        </is>
      </c>
      <c r="E36" t="inlineStr">
        <is>
          <t>IT-FBT0545-OG-US-00</t>
        </is>
      </c>
      <c r="F36" s="167" t="n">
        <v>45821</v>
      </c>
      <c r="G36" s="167" t="n">
        <v>45821</v>
      </c>
      <c r="H36" t="inlineStr">
        <is>
          <t>IBM - 2025 S1 COVID APPLICATIONS SUPPORT</t>
        </is>
      </c>
      <c r="I36" t="inlineStr">
        <is>
          <t>IBM - 2025 S1 COVID APPLICATIONS SUPPORT</t>
        </is>
      </c>
      <c r="J36" t="n">
        <v>6</v>
      </c>
      <c r="K36" t="n">
        <v>48000</v>
      </c>
      <c r="L36" t="inlineStr">
        <is>
          <t>Actual</t>
        </is>
      </c>
      <c r="M36" t="n">
        <v>2025</v>
      </c>
      <c r="N36" s="167" t="n">
        <v>45809</v>
      </c>
      <c r="O36" t="inlineStr">
        <is>
          <t>DIGITAL</t>
        </is>
      </c>
      <c r="P36" t="inlineStr">
        <is>
          <t>IT160</t>
        </is>
      </c>
      <c r="Q36" t="n">
        <v>2320521</v>
      </c>
      <c r="R36" t="inlineStr">
        <is>
          <t>DeHart, Lynn</t>
        </is>
      </c>
      <c r="S36" t="inlineStr">
        <is>
          <t>Ganesan, Srinivasan</t>
        </is>
      </c>
      <c r="T36" t="inlineStr">
        <is>
          <t>1400/9318/02/IT160/0002320521 (780) (Net</t>
        </is>
      </c>
      <c r="U36" t="inlineStr">
        <is>
          <t>DIGITAL</t>
        </is>
      </c>
      <c r="V36" t="inlineStr">
        <is>
          <t>CTIES</t>
        </is>
      </c>
      <c r="W36" t="inlineStr">
        <is>
          <t>ERP</t>
        </is>
      </c>
      <c r="X36" t="inlineStr">
        <is>
          <t>DIGITAL SOLUTION DELIVERY</t>
        </is>
      </c>
      <c r="Y36" t="inlineStr">
        <is>
          <t>DIGITAL SOLUTION DELIVERY HQ- US</t>
        </is>
      </c>
      <c r="Z36" t="n">
        <v>890</v>
      </c>
      <c r="AA36" t="n">
        <v>915</v>
      </c>
      <c r="AB36" t="inlineStr">
        <is>
          <t>Professional Serv-Admin&amp;Commercial</t>
        </is>
      </c>
      <c r="AC36" t="inlineStr">
        <is>
          <t>Contractors</t>
        </is>
      </c>
      <c r="AD36" t="n">
        <v>41010100</v>
      </c>
      <c r="AE36" t="n">
        <v>2</v>
      </c>
      <c r="AF36" t="n">
        <v>9318</v>
      </c>
      <c r="AG36" t="n">
        <v>10</v>
      </c>
      <c r="AH36" t="inlineStr">
        <is>
          <t>RE</t>
        </is>
      </c>
      <c r="AI36" t="n">
        <v>1400</v>
      </c>
      <c r="AJ36" t="inlineStr">
        <is>
          <t>United States</t>
        </is>
      </c>
      <c r="AK36" t="inlineStr">
        <is>
          <t>AMER</t>
        </is>
      </c>
      <c r="AL36" t="inlineStr">
        <is>
          <t>IT-FBT0545-OG-US-00</t>
        </is>
      </c>
      <c r="AM36" t="n">
        <v/>
      </c>
      <c r="AN36" t="n">
        <v>51074711902</v>
      </c>
      <c r="AO36" t="inlineStr">
        <is>
          <t>C25291705</t>
        </is>
      </c>
      <c r="AP36" t="inlineStr">
        <is>
          <t>USD</t>
        </is>
      </c>
      <c r="AQ36" t="inlineStr">
        <is>
          <t>US Dollar</t>
        </is>
      </c>
      <c r="AR36" t="inlineStr">
        <is>
          <t>USD</t>
        </is>
      </c>
      <c r="AS36" t="n">
        <v>48000</v>
      </c>
      <c r="AT36" t="n">
        <v>48000</v>
      </c>
      <c r="AU36" t="n">
        <v>48000</v>
      </c>
    </row>
    <row r="37">
      <c r="A37" t="inlineStr">
        <is>
          <t>9500879389</t>
        </is>
      </c>
      <c r="B37" t="n">
        <v>202506</v>
      </c>
      <c r="C37" t="n">
        <v>5107471189</v>
      </c>
      <c r="D37" t="inlineStr">
        <is>
          <t>IBM WW ORDERING AND US INVOICING</t>
        </is>
      </c>
      <c r="E37" t="inlineStr">
        <is>
          <t>IT-FBT0790-OG-US-00</t>
        </is>
      </c>
      <c r="F37" s="167" t="n">
        <v>45821</v>
      </c>
      <c r="G37" s="167" t="n">
        <v>45821</v>
      </c>
      <c r="H37" t="inlineStr">
        <is>
          <t>IBM 2025 S1 - IO SUPPORT</t>
        </is>
      </c>
      <c r="I37" t="inlineStr">
        <is>
          <t>IBM 2025 S1 - IO SUPPORT</t>
        </is>
      </c>
      <c r="J37" t="n">
        <v>6</v>
      </c>
      <c r="K37" t="n">
        <v>11162.5</v>
      </c>
      <c r="L37" t="inlineStr">
        <is>
          <t>Actual</t>
        </is>
      </c>
      <c r="M37" t="n">
        <v>2025</v>
      </c>
      <c r="N37" s="167" t="n">
        <v>45809</v>
      </c>
      <c r="O37" t="inlineStr">
        <is>
          <t>DIGITAL</t>
        </is>
      </c>
      <c r="P37" t="inlineStr">
        <is>
          <t>IT160</t>
        </is>
      </c>
      <c r="Q37" t="n">
        <v>2320521</v>
      </c>
      <c r="R37" t="inlineStr">
        <is>
          <t>DeHart, Lynn</t>
        </is>
      </c>
      <c r="S37" t="inlineStr">
        <is>
          <t>Ganesan, Srinivasan</t>
        </is>
      </c>
      <c r="T37" t="inlineStr">
        <is>
          <t>1400/9318/02/IT160/0002320521 (780) (Net</t>
        </is>
      </c>
      <c r="U37" t="inlineStr">
        <is>
          <t>DIGITAL</t>
        </is>
      </c>
      <c r="V37" t="inlineStr">
        <is>
          <t>CTIES</t>
        </is>
      </c>
      <c r="W37" t="inlineStr">
        <is>
          <t>ERP</t>
        </is>
      </c>
      <c r="X37" t="inlineStr">
        <is>
          <t>DIGITAL SOLUTION DELIVERY</t>
        </is>
      </c>
      <c r="Y37" t="inlineStr">
        <is>
          <t>DIGITAL SOLUTION DELIVERY HQ- US</t>
        </is>
      </c>
      <c r="Z37" t="n">
        <v>890</v>
      </c>
      <c r="AA37" t="n">
        <v>915</v>
      </c>
      <c r="AB37" t="inlineStr">
        <is>
          <t>Professional Serv-Admin&amp;Commercial</t>
        </is>
      </c>
      <c r="AC37" t="inlineStr">
        <is>
          <t>Contractors</t>
        </is>
      </c>
      <c r="AD37" t="n">
        <v>41010100</v>
      </c>
      <c r="AE37" t="n">
        <v>2</v>
      </c>
      <c r="AF37" t="n">
        <v>9318</v>
      </c>
      <c r="AG37" t="n">
        <v>10</v>
      </c>
      <c r="AH37" t="inlineStr">
        <is>
          <t>RE</t>
        </is>
      </c>
      <c r="AI37" t="n">
        <v>1400</v>
      </c>
      <c r="AJ37" t="inlineStr">
        <is>
          <t>United States</t>
        </is>
      </c>
      <c r="AK37" t="inlineStr">
        <is>
          <t>AMER</t>
        </is>
      </c>
      <c r="AL37" t="inlineStr">
        <is>
          <t>IT-FBT0790-OG-US-00</t>
        </is>
      </c>
      <c r="AM37" t="n">
        <v/>
      </c>
      <c r="AN37" t="n">
        <v>51074711892</v>
      </c>
      <c r="AO37" t="inlineStr">
        <is>
          <t>C25938905</t>
        </is>
      </c>
      <c r="AP37" t="inlineStr">
        <is>
          <t>USD</t>
        </is>
      </c>
      <c r="AQ37" t="inlineStr">
        <is>
          <t>US Dollar</t>
        </is>
      </c>
      <c r="AR37" t="inlineStr">
        <is>
          <t>USD</t>
        </is>
      </c>
      <c r="AS37" t="n">
        <v>11162.5</v>
      </c>
      <c r="AT37" t="n">
        <v>11162.5</v>
      </c>
      <c r="AU37" t="n">
        <v>11162.5</v>
      </c>
    </row>
    <row r="38">
      <c r="A38" t="inlineStr">
        <is>
          <t>9500882917</t>
        </is>
      </c>
      <c r="B38" t="n">
        <v>202506</v>
      </c>
      <c r="C38" t="n">
        <v>2100079100</v>
      </c>
      <c r="D38" t="inlineStr">
        <is>
          <t>Not assigned</t>
        </is>
      </c>
      <c r="E38" t="inlineStr">
        <is>
          <t>IT-FBT0545-OG-US-00</t>
        </is>
      </c>
      <c r="F38" s="167" t="n">
        <v>45804</v>
      </c>
      <c r="G38" s="167" t="n">
        <v>45810</v>
      </c>
      <c r="H38" t="inlineStr">
        <is>
          <t>PO- 9500882917 IBM CORP</t>
        </is>
      </c>
      <c r="I38" t="inlineStr">
        <is>
          <t>PO- 9500882917 IBM CORP</t>
        </is>
      </c>
      <c r="J38" t="n">
        <v>6</v>
      </c>
      <c r="K38" t="n">
        <v>-140102</v>
      </c>
      <c r="L38" t="inlineStr">
        <is>
          <t>Reversal</t>
        </is>
      </c>
      <c r="M38" t="n">
        <v>2025</v>
      </c>
      <c r="N38" s="167" t="n">
        <v>45809</v>
      </c>
      <c r="O38" t="inlineStr">
        <is>
          <t>DIGITAL</t>
        </is>
      </c>
      <c r="P38" t="inlineStr">
        <is>
          <t>IT160</t>
        </is>
      </c>
      <c r="Q38" t="n">
        <v>2320521</v>
      </c>
      <c r="R38" t="inlineStr">
        <is>
          <t>DeHart, Lynn</t>
        </is>
      </c>
      <c r="S38" t="inlineStr">
        <is>
          <t>Ganesan, Srinivasan</t>
        </is>
      </c>
      <c r="T38" t="inlineStr">
        <is>
          <t>1400/9318/02/IT160/0002320521 (780) (Net</t>
        </is>
      </c>
      <c r="U38" t="inlineStr">
        <is>
          <t>DIGITAL</t>
        </is>
      </c>
      <c r="V38" t="inlineStr">
        <is>
          <t>CTIES</t>
        </is>
      </c>
      <c r="W38" t="inlineStr">
        <is>
          <t>ERP</t>
        </is>
      </c>
      <c r="X38" t="inlineStr">
        <is>
          <t>DIGITAL SOLUTION DELIVERY</t>
        </is>
      </c>
      <c r="Y38" t="inlineStr">
        <is>
          <t>DIGITAL SOLUTION DELIVERY HQ- US</t>
        </is>
      </c>
      <c r="Z38" t="n">
        <v>890</v>
      </c>
      <c r="AA38" t="n">
        <v>915</v>
      </c>
      <c r="AB38" t="inlineStr">
        <is>
          <t>Professional Serv-Admin&amp;Commercial</t>
        </is>
      </c>
      <c r="AC38" t="inlineStr">
        <is>
          <t>Contractors</t>
        </is>
      </c>
      <c r="AD38" t="n">
        <v>41010100</v>
      </c>
      <c r="AE38" t="n">
        <v>2</v>
      </c>
      <c r="AF38" t="n">
        <v>9318</v>
      </c>
      <c r="AG38" t="n">
        <v>10</v>
      </c>
      <c r="AH38" t="inlineStr">
        <is>
          <t>ZY</t>
        </is>
      </c>
      <c r="AI38" t="n">
        <v>1400</v>
      </c>
      <c r="AJ38" t="inlineStr">
        <is>
          <t>United States</t>
        </is>
      </c>
      <c r="AK38" t="inlineStr">
        <is>
          <t>AMER</t>
        </is>
      </c>
      <c r="AL38" t="inlineStr">
        <is>
          <t>IT-FBT0545-OG-US-00</t>
        </is>
      </c>
      <c r="AM38" t="n">
        <v/>
      </c>
      <c r="AN38" t="n">
        <v>210007910013</v>
      </c>
      <c r="AO38" t="inlineStr">
        <is>
          <t>#</t>
        </is>
      </c>
      <c r="AP38" t="inlineStr">
        <is>
          <t>USD</t>
        </is>
      </c>
      <c r="AQ38" t="inlineStr">
        <is>
          <t>US Dollar</t>
        </is>
      </c>
      <c r="AR38" t="inlineStr">
        <is>
          <t>USD</t>
        </is>
      </c>
      <c r="AS38" t="n">
        <v>-140102</v>
      </c>
      <c r="AT38" t="n">
        <v>-140102</v>
      </c>
      <c r="AU38" t="n">
        <v>-140102</v>
      </c>
    </row>
    <row r="39">
      <c r="A39" t="inlineStr">
        <is>
          <t>9500882917</t>
        </is>
      </c>
      <c r="B39" t="n">
        <v>202506</v>
      </c>
      <c r="C39" t="n">
        <v>2100079171</v>
      </c>
      <c r="D39" t="inlineStr">
        <is>
          <t>Not assigned</t>
        </is>
      </c>
      <c r="E39" t="inlineStr">
        <is>
          <t>IT-FBT0545-OG-US-00</t>
        </is>
      </c>
      <c r="F39" s="167" t="n">
        <v>45805</v>
      </c>
      <c r="G39" s="167" t="n">
        <v>45810</v>
      </c>
      <c r="H39" t="inlineStr">
        <is>
          <t>PO- 9500882917 IBM CORP</t>
        </is>
      </c>
      <c r="I39" t="inlineStr">
        <is>
          <t>PO- 9500882917 IBM CORP</t>
        </is>
      </c>
      <c r="J39" t="n">
        <v>6</v>
      </c>
      <c r="K39" t="n">
        <v>18502</v>
      </c>
      <c r="L39" t="inlineStr">
        <is>
          <t>Accrual</t>
        </is>
      </c>
      <c r="M39" t="n">
        <v>2025</v>
      </c>
      <c r="N39" s="167" t="n">
        <v>45809</v>
      </c>
      <c r="O39" t="inlineStr">
        <is>
          <t>DIGITAL</t>
        </is>
      </c>
      <c r="P39" t="inlineStr">
        <is>
          <t>IT160</t>
        </is>
      </c>
      <c r="Q39" t="n">
        <v>2320521</v>
      </c>
      <c r="R39" t="inlineStr">
        <is>
          <t>DeHart, Lynn</t>
        </is>
      </c>
      <c r="S39" t="inlineStr">
        <is>
          <t>Ganesan, Srinivasan</t>
        </is>
      </c>
      <c r="T39" t="inlineStr">
        <is>
          <t>1400/9318/02/IT160/0002320521 (780) (Net</t>
        </is>
      </c>
      <c r="U39" t="inlineStr">
        <is>
          <t>DIGITAL</t>
        </is>
      </c>
      <c r="V39" t="inlineStr">
        <is>
          <t>CTIES</t>
        </is>
      </c>
      <c r="W39" t="inlineStr">
        <is>
          <t>ERP</t>
        </is>
      </c>
      <c r="X39" t="inlineStr">
        <is>
          <t>DIGITAL SOLUTION DELIVERY</t>
        </is>
      </c>
      <c r="Y39" t="inlineStr">
        <is>
          <t>DIGITAL SOLUTION DELIVERY HQ- US</t>
        </is>
      </c>
      <c r="Z39" t="n">
        <v>890</v>
      </c>
      <c r="AA39" t="n">
        <v>915</v>
      </c>
      <c r="AB39" t="inlineStr">
        <is>
          <t>Professional Serv-Admin&amp;Commercial</t>
        </is>
      </c>
      <c r="AC39" t="inlineStr">
        <is>
          <t>Contractors</t>
        </is>
      </c>
      <c r="AD39" t="n">
        <v>41010100</v>
      </c>
      <c r="AE39" t="n">
        <v>2</v>
      </c>
      <c r="AF39" t="n">
        <v>9318</v>
      </c>
      <c r="AG39" t="n">
        <v>10</v>
      </c>
      <c r="AH39" t="inlineStr">
        <is>
          <t>ZY</t>
        </is>
      </c>
      <c r="AI39" t="n">
        <v>1400</v>
      </c>
      <c r="AJ39" t="inlineStr">
        <is>
          <t>United States</t>
        </is>
      </c>
      <c r="AK39" t="inlineStr">
        <is>
          <t>AMER</t>
        </is>
      </c>
      <c r="AL39" t="inlineStr">
        <is>
          <t>IT-FBT0545-OG-US-00</t>
        </is>
      </c>
      <c r="AM39" t="n">
        <v/>
      </c>
      <c r="AN39" t="n">
        <v>210007917110</v>
      </c>
      <c r="AO39" t="inlineStr">
        <is>
          <t>OPEX -T3 ADJ</t>
        </is>
      </c>
      <c r="AP39" t="inlineStr">
        <is>
          <t>USD</t>
        </is>
      </c>
      <c r="AQ39" t="inlineStr">
        <is>
          <t>US Dollar</t>
        </is>
      </c>
      <c r="AR39" t="inlineStr">
        <is>
          <t>USD</t>
        </is>
      </c>
      <c r="AS39" t="n">
        <v>18502</v>
      </c>
      <c r="AT39" t="n">
        <v>18502</v>
      </c>
      <c r="AU39" t="n">
        <v>18502</v>
      </c>
    </row>
    <row r="40">
      <c r="A40" t="inlineStr">
        <is>
          <t>9500882917</t>
        </is>
      </c>
      <c r="B40" t="n">
        <v>202506</v>
      </c>
      <c r="C40" t="n">
        <v>2100079327</v>
      </c>
      <c r="D40" t="inlineStr">
        <is>
          <t>Not assigned</t>
        </is>
      </c>
      <c r="E40" t="inlineStr">
        <is>
          <t>IT-FBT0545-OG-US-00</t>
        </is>
      </c>
      <c r="F40" s="167" t="n">
        <v>45838</v>
      </c>
      <c r="G40" s="167" t="n">
        <v>45823</v>
      </c>
      <c r="H40" t="inlineStr">
        <is>
          <t>PO- 9500882917 IBM CORP</t>
        </is>
      </c>
      <c r="I40" t="inlineStr">
        <is>
          <t>PO- 9500882917 IBM CORP</t>
        </is>
      </c>
      <c r="J40" t="n">
        <v>6</v>
      </c>
      <c r="K40" t="n">
        <v>98592</v>
      </c>
      <c r="L40" t="inlineStr">
        <is>
          <t>Accrual</t>
        </is>
      </c>
      <c r="M40" t="n">
        <v>2025</v>
      </c>
      <c r="N40" s="167" t="n">
        <v>45809</v>
      </c>
      <c r="O40" t="inlineStr">
        <is>
          <t>DIGITAL</t>
        </is>
      </c>
      <c r="P40" t="inlineStr">
        <is>
          <t>IT160</t>
        </is>
      </c>
      <c r="Q40" t="n">
        <v>2320521</v>
      </c>
      <c r="R40" t="inlineStr">
        <is>
          <t>DeHart, Lynn</t>
        </is>
      </c>
      <c r="S40" t="inlineStr">
        <is>
          <t>Ganesan, Srinivasan</t>
        </is>
      </c>
      <c r="T40" t="inlineStr">
        <is>
          <t>1400/9318/02/IT160/0002320521 (780) (Net</t>
        </is>
      </c>
      <c r="U40" t="inlineStr">
        <is>
          <t>DIGITAL</t>
        </is>
      </c>
      <c r="V40" t="inlineStr">
        <is>
          <t>CTIES</t>
        </is>
      </c>
      <c r="W40" t="inlineStr">
        <is>
          <t>ERP</t>
        </is>
      </c>
      <c r="X40" t="inlineStr">
        <is>
          <t>DIGITAL SOLUTION DELIVERY</t>
        </is>
      </c>
      <c r="Y40" t="inlineStr">
        <is>
          <t>DIGITAL SOLUTION DELIVERY HQ- US</t>
        </is>
      </c>
      <c r="Z40" t="n">
        <v>890</v>
      </c>
      <c r="AA40" t="n">
        <v>915</v>
      </c>
      <c r="AB40" t="inlineStr">
        <is>
          <t>Professional Serv-Admin&amp;Commercial</t>
        </is>
      </c>
      <c r="AC40" t="inlineStr">
        <is>
          <t>Contractors</t>
        </is>
      </c>
      <c r="AD40" t="n">
        <v>41010100</v>
      </c>
      <c r="AE40" t="n">
        <v>2</v>
      </c>
      <c r="AF40" t="n">
        <v>9318</v>
      </c>
      <c r="AG40" t="n">
        <v>10</v>
      </c>
      <c r="AH40" t="inlineStr">
        <is>
          <t>ZY</t>
        </is>
      </c>
      <c r="AI40" t="n">
        <v>1400</v>
      </c>
      <c r="AJ40" t="inlineStr">
        <is>
          <t>United States</t>
        </is>
      </c>
      <c r="AK40" t="inlineStr">
        <is>
          <t>AMER</t>
        </is>
      </c>
      <c r="AL40" t="inlineStr">
        <is>
          <t>IT-FBT0545-OG-US-00</t>
        </is>
      </c>
      <c r="AM40" t="n">
        <v/>
      </c>
      <c r="AN40" t="n">
        <v>2100079327124</v>
      </c>
      <c r="AO40" t="inlineStr">
        <is>
          <t>AP6-25 2WM</t>
        </is>
      </c>
      <c r="AP40" t="inlineStr">
        <is>
          <t>USD</t>
        </is>
      </c>
      <c r="AQ40" t="inlineStr">
        <is>
          <t>US Dollar</t>
        </is>
      </c>
      <c r="AR40" t="inlineStr">
        <is>
          <t>USD</t>
        </is>
      </c>
      <c r="AS40" t="n">
        <v>98592</v>
      </c>
      <c r="AT40" t="n">
        <v>98592</v>
      </c>
      <c r="AU40" t="n">
        <v>98592</v>
      </c>
    </row>
    <row r="41">
      <c r="A41" t="inlineStr">
        <is>
          <t>9500879389</t>
        </is>
      </c>
      <c r="B41" t="n">
        <v>202506</v>
      </c>
      <c r="C41" t="n">
        <v>2100079139</v>
      </c>
      <c r="D41" t="inlineStr">
        <is>
          <t>Not assigned</t>
        </is>
      </c>
      <c r="E41" t="inlineStr">
        <is>
          <t>IT-FBT0790-OG-US-00</t>
        </is>
      </c>
      <c r="F41" s="167" t="n">
        <v>45804</v>
      </c>
      <c r="G41" s="167" t="n">
        <v>45810</v>
      </c>
      <c r="H41" t="inlineStr">
        <is>
          <t>PO- 9500879389 IBM CORP</t>
        </is>
      </c>
      <c r="I41" t="inlineStr">
        <is>
          <t>PO- 9500879389 IBM CORP</t>
        </is>
      </c>
      <c r="J41" t="n">
        <v>6</v>
      </c>
      <c r="K41" t="n">
        <v>-20952.78</v>
      </c>
      <c r="L41" t="inlineStr">
        <is>
          <t>Reversal</t>
        </is>
      </c>
      <c r="M41" t="n">
        <v>2025</v>
      </c>
      <c r="N41" s="167" t="n">
        <v>45809</v>
      </c>
      <c r="O41" t="inlineStr">
        <is>
          <t>DIGITAL</t>
        </is>
      </c>
      <c r="P41" t="inlineStr">
        <is>
          <t>IT160</t>
        </is>
      </c>
      <c r="Q41" t="n">
        <v>2320521</v>
      </c>
      <c r="R41" t="inlineStr">
        <is>
          <t>DeHart, Lynn</t>
        </is>
      </c>
      <c r="S41" t="inlineStr">
        <is>
          <t>Ganesan, Srinivasan</t>
        </is>
      </c>
      <c r="T41" t="inlineStr">
        <is>
          <t>1400/9318/02/IT160/0002320521 (780) (Net</t>
        </is>
      </c>
      <c r="U41" t="inlineStr">
        <is>
          <t>DIGITAL</t>
        </is>
      </c>
      <c r="V41" t="inlineStr">
        <is>
          <t>CTIES</t>
        </is>
      </c>
      <c r="W41" t="inlineStr">
        <is>
          <t>ERP</t>
        </is>
      </c>
      <c r="X41" t="inlineStr">
        <is>
          <t>DIGITAL SOLUTION DELIVERY</t>
        </is>
      </c>
      <c r="Y41" t="inlineStr">
        <is>
          <t>DIGITAL SOLUTION DELIVERY HQ- US</t>
        </is>
      </c>
      <c r="Z41" t="n">
        <v>890</v>
      </c>
      <c r="AA41" t="n">
        <v>915</v>
      </c>
      <c r="AB41" t="inlineStr">
        <is>
          <t>Professional Serv-Admin&amp;Commercial</t>
        </is>
      </c>
      <c r="AC41" t="inlineStr">
        <is>
          <t>Contractors</t>
        </is>
      </c>
      <c r="AD41" t="n">
        <v>41010100</v>
      </c>
      <c r="AE41" t="n">
        <v>2</v>
      </c>
      <c r="AF41" t="n">
        <v>9318</v>
      </c>
      <c r="AG41" t="n">
        <v>10</v>
      </c>
      <c r="AH41" t="inlineStr">
        <is>
          <t>ZY</t>
        </is>
      </c>
      <c r="AI41" t="n">
        <v>1400</v>
      </c>
      <c r="AJ41" t="inlineStr">
        <is>
          <t>United States</t>
        </is>
      </c>
      <c r="AK41" t="inlineStr">
        <is>
          <t>AMER</t>
        </is>
      </c>
      <c r="AL41" t="inlineStr">
        <is>
          <t>IT-FBT0790-OG-US-00</t>
        </is>
      </c>
      <c r="AM41" t="n">
        <v/>
      </c>
      <c r="AN41" t="n">
        <v>2100079139119</v>
      </c>
      <c r="AO41" t="inlineStr">
        <is>
          <t>AP5-25 2WM</t>
        </is>
      </c>
      <c r="AP41" t="inlineStr">
        <is>
          <t>USD</t>
        </is>
      </c>
      <c r="AQ41" t="inlineStr">
        <is>
          <t>US Dollar</t>
        </is>
      </c>
      <c r="AR41" t="inlineStr">
        <is>
          <t>USD</t>
        </is>
      </c>
      <c r="AS41" t="n">
        <v>-20952.78</v>
      </c>
      <c r="AT41" t="n">
        <v>-20952.78</v>
      </c>
      <c r="AU41" t="n">
        <v>-20952.78</v>
      </c>
    </row>
    <row r="42">
      <c r="A42" t="inlineStr">
        <is>
          <t>9500879389</t>
        </is>
      </c>
      <c r="B42" t="n">
        <v>202506</v>
      </c>
      <c r="C42" t="n">
        <v>2100079327</v>
      </c>
      <c r="D42" t="inlineStr">
        <is>
          <t>Not assigned</t>
        </is>
      </c>
      <c r="E42" t="inlineStr">
        <is>
          <t>IT-FBT0790-OG-US-00</t>
        </is>
      </c>
      <c r="F42" s="167" t="n">
        <v>45838</v>
      </c>
      <c r="G42" s="167" t="n">
        <v>45823</v>
      </c>
      <c r="H42" t="inlineStr">
        <is>
          <t>PO- 9500879389 IBM CORP</t>
        </is>
      </c>
      <c r="I42" t="inlineStr">
        <is>
          <t>PO- 9500879389 IBM CORP</t>
        </is>
      </c>
      <c r="J42" t="n">
        <v>6</v>
      </c>
      <c r="K42" t="n">
        <v>30922.5</v>
      </c>
      <c r="L42" t="inlineStr">
        <is>
          <t>Accrual</t>
        </is>
      </c>
      <c r="M42" t="n">
        <v>2025</v>
      </c>
      <c r="N42" s="167" t="n">
        <v>45809</v>
      </c>
      <c r="O42" t="inlineStr">
        <is>
          <t>DIGITAL</t>
        </is>
      </c>
      <c r="P42" t="inlineStr">
        <is>
          <t>IT160</t>
        </is>
      </c>
      <c r="Q42" t="n">
        <v>2320521</v>
      </c>
      <c r="R42" t="inlineStr">
        <is>
          <t>DeHart, Lynn</t>
        </is>
      </c>
      <c r="S42" t="inlineStr">
        <is>
          <t>Ganesan, Srinivasan</t>
        </is>
      </c>
      <c r="T42" t="inlineStr">
        <is>
          <t>1400/9318/02/IT160/0002320521 (780) (Net</t>
        </is>
      </c>
      <c r="U42" t="inlineStr">
        <is>
          <t>DIGITAL</t>
        </is>
      </c>
      <c r="V42" t="inlineStr">
        <is>
          <t>CTIES</t>
        </is>
      </c>
      <c r="W42" t="inlineStr">
        <is>
          <t>ERP</t>
        </is>
      </c>
      <c r="X42" t="inlineStr">
        <is>
          <t>DIGITAL SOLUTION DELIVERY</t>
        </is>
      </c>
      <c r="Y42" t="inlineStr">
        <is>
          <t>DIGITAL SOLUTION DELIVERY HQ- US</t>
        </is>
      </c>
      <c r="Z42" t="n">
        <v>890</v>
      </c>
      <c r="AA42" t="n">
        <v>915</v>
      </c>
      <c r="AB42" t="inlineStr">
        <is>
          <t>Professional Serv-Admin&amp;Commercial</t>
        </is>
      </c>
      <c r="AC42" t="inlineStr">
        <is>
          <t>Contractors</t>
        </is>
      </c>
      <c r="AD42" t="n">
        <v>41010100</v>
      </c>
      <c r="AE42" t="n">
        <v>2</v>
      </c>
      <c r="AF42" t="n">
        <v>9318</v>
      </c>
      <c r="AG42" t="n">
        <v>10</v>
      </c>
      <c r="AH42" t="inlineStr">
        <is>
          <t>ZY</t>
        </is>
      </c>
      <c r="AI42" t="n">
        <v>1400</v>
      </c>
      <c r="AJ42" t="inlineStr">
        <is>
          <t>United States</t>
        </is>
      </c>
      <c r="AK42" t="inlineStr">
        <is>
          <t>AMER</t>
        </is>
      </c>
      <c r="AL42" t="inlineStr">
        <is>
          <t>IT-FBT0790-OG-US-00</t>
        </is>
      </c>
      <c r="AM42" t="n">
        <v/>
      </c>
      <c r="AN42" t="n">
        <v>2100079327122</v>
      </c>
      <c r="AO42" t="inlineStr">
        <is>
          <t>AP6-25 2WM</t>
        </is>
      </c>
      <c r="AP42" t="inlineStr">
        <is>
          <t>USD</t>
        </is>
      </c>
      <c r="AQ42" t="inlineStr">
        <is>
          <t>US Dollar</t>
        </is>
      </c>
      <c r="AR42" t="inlineStr">
        <is>
          <t>USD</t>
        </is>
      </c>
      <c r="AS42" t="n">
        <v>30922.5</v>
      </c>
      <c r="AT42" t="n">
        <v>30922.5</v>
      </c>
      <c r="AU42" t="n">
        <v>30922.5</v>
      </c>
    </row>
    <row r="43">
      <c r="A43" t="inlineStr">
        <is>
          <t>9500882917</t>
        </is>
      </c>
      <c r="B43" t="n">
        <v>202509</v>
      </c>
      <c r="C43" t="n">
        <v>5107592031</v>
      </c>
      <c r="D43" t="inlineStr">
        <is>
          <t>IBM WW ORDERING AND US INVOICING</t>
        </is>
      </c>
      <c r="E43" t="inlineStr">
        <is>
          <t>IT-FBT0545-OG-US-00</t>
        </is>
      </c>
      <c r="F43" s="167" t="n">
        <v>45890</v>
      </c>
      <c r="G43" s="167" t="n">
        <v>45902</v>
      </c>
      <c r="H43" t="inlineStr">
        <is>
          <t>IBM - 2025 S1 COVID APPLICATIONS SUPPORT</t>
        </is>
      </c>
      <c r="I43" t="inlineStr">
        <is>
          <t>IBM - 2025 S1 COVID APPLICATIONS SUPPORT</t>
        </is>
      </c>
      <c r="J43" t="n">
        <v>9</v>
      </c>
      <c r="K43" t="n">
        <v>2400</v>
      </c>
      <c r="L43" t="inlineStr">
        <is>
          <t>Actual</t>
        </is>
      </c>
      <c r="M43" t="n">
        <v>2025</v>
      </c>
      <c r="N43" s="167" t="n">
        <v>45901</v>
      </c>
      <c r="O43" t="inlineStr">
        <is>
          <t>DIGITAL</t>
        </is>
      </c>
      <c r="P43" t="inlineStr">
        <is>
          <t>IT160</t>
        </is>
      </c>
      <c r="Q43" t="n">
        <v>2320521</v>
      </c>
      <c r="R43" t="inlineStr">
        <is>
          <t>DeHart, Lynn</t>
        </is>
      </c>
      <c r="S43" t="inlineStr">
        <is>
          <t>Ganesan, Srinivasan</t>
        </is>
      </c>
      <c r="T43" t="inlineStr">
        <is>
          <t>1400/9318/02/IT160/0002320521 (780) (Net</t>
        </is>
      </c>
      <c r="U43" t="inlineStr">
        <is>
          <t>DIGITAL</t>
        </is>
      </c>
      <c r="V43" t="inlineStr">
        <is>
          <t>CTIES</t>
        </is>
      </c>
      <c r="W43" t="inlineStr">
        <is>
          <t>ERP</t>
        </is>
      </c>
      <c r="X43" t="inlineStr">
        <is>
          <t>DIGITAL SOLUTION DELIVERY</t>
        </is>
      </c>
      <c r="Y43" t="inlineStr">
        <is>
          <t>DIGITAL SOLUTION DELIVERY HQ- US</t>
        </is>
      </c>
      <c r="Z43" t="n">
        <v>890</v>
      </c>
      <c r="AA43" t="n">
        <v>915</v>
      </c>
      <c r="AB43" t="inlineStr">
        <is>
          <t>Professional Serv-Admin&amp;Commercial</t>
        </is>
      </c>
      <c r="AC43" t="inlineStr">
        <is>
          <t>Contractors</t>
        </is>
      </c>
      <c r="AD43" t="n">
        <v>41010100</v>
      </c>
      <c r="AE43" t="n">
        <v>2</v>
      </c>
      <c r="AF43" t="n">
        <v>9318</v>
      </c>
      <c r="AG43" t="n">
        <v>10</v>
      </c>
      <c r="AH43" t="inlineStr">
        <is>
          <t>RE</t>
        </is>
      </c>
      <c r="AI43" t="n">
        <v>1400</v>
      </c>
      <c r="AJ43" t="inlineStr">
        <is>
          <t>United States</t>
        </is>
      </c>
      <c r="AK43" t="inlineStr">
        <is>
          <t>AMER</t>
        </is>
      </c>
      <c r="AL43" t="inlineStr">
        <is>
          <t>IT-FBT0545-OG-US-00</t>
        </is>
      </c>
      <c r="AM43" t="n">
        <v/>
      </c>
      <c r="AN43" t="n">
        <v>51075920312</v>
      </c>
      <c r="AO43" t="inlineStr">
        <is>
          <t>C25291707</t>
        </is>
      </c>
      <c r="AP43" t="inlineStr">
        <is>
          <t>USD</t>
        </is>
      </c>
      <c r="AQ43" t="inlineStr">
        <is>
          <t>US Dollar</t>
        </is>
      </c>
      <c r="AR43" t="inlineStr">
        <is>
          <t>USD</t>
        </is>
      </c>
      <c r="AS43" t="n">
        <v>2400</v>
      </c>
      <c r="AT43" t="n">
        <v>2400</v>
      </c>
      <c r="AU43" t="n">
        <v>2400</v>
      </c>
    </row>
    <row r="44">
      <c r="A44" t="inlineStr">
        <is>
          <t>9500882917</t>
        </is>
      </c>
      <c r="B44" t="n">
        <v>202509</v>
      </c>
      <c r="C44" t="n">
        <v>2100080552</v>
      </c>
      <c r="D44" t="inlineStr">
        <is>
          <t>Not assigned</t>
        </is>
      </c>
      <c r="E44" t="inlineStr">
        <is>
          <t>IT-FBT0545-OG-US-00</t>
        </is>
      </c>
      <c r="F44" s="167" t="n">
        <v>45929</v>
      </c>
      <c r="G44" s="167" t="n">
        <v>45915</v>
      </c>
      <c r="H44" t="inlineStr">
        <is>
          <t>PO - 9500882917 - IBM CORP</t>
        </is>
      </c>
      <c r="I44" t="inlineStr">
        <is>
          <t>PO - 9500882917 - IBM CORP</t>
        </is>
      </c>
      <c r="J44" t="n">
        <v>9</v>
      </c>
      <c r="K44" t="n">
        <v>57824</v>
      </c>
      <c r="L44" t="inlineStr">
        <is>
          <t>Accrual</t>
        </is>
      </c>
      <c r="M44" t="n">
        <v>2025</v>
      </c>
      <c r="N44" s="167" t="n">
        <v>45901</v>
      </c>
      <c r="O44" t="inlineStr">
        <is>
          <t>DIGITAL</t>
        </is>
      </c>
      <c r="P44" t="inlineStr">
        <is>
          <t>IT160</t>
        </is>
      </c>
      <c r="Q44" t="n">
        <v>2320521</v>
      </c>
      <c r="R44" t="inlineStr">
        <is>
          <t>DeHart, Lynn</t>
        </is>
      </c>
      <c r="S44" t="inlineStr">
        <is>
          <t>Ganesan, Srinivasan</t>
        </is>
      </c>
      <c r="T44" t="inlineStr">
        <is>
          <t>1400/9318/02/IT160/0002320521 (780) (Net</t>
        </is>
      </c>
      <c r="U44" t="inlineStr">
        <is>
          <t>DIGITAL</t>
        </is>
      </c>
      <c r="V44" t="inlineStr">
        <is>
          <t>CTIES</t>
        </is>
      </c>
      <c r="W44" t="inlineStr">
        <is>
          <t>ERP</t>
        </is>
      </c>
      <c r="X44" t="inlineStr">
        <is>
          <t>DIGITAL SOLUTION DELIVERY</t>
        </is>
      </c>
      <c r="Y44" t="inlineStr">
        <is>
          <t>DIGITAL SOLUTION DELIVERY HQ- US</t>
        </is>
      </c>
      <c r="Z44" t="n">
        <v>890</v>
      </c>
      <c r="AA44" t="n">
        <v>915</v>
      </c>
      <c r="AB44" t="inlineStr">
        <is>
          <t>Professional Serv-Admin&amp;Commercial</t>
        </is>
      </c>
      <c r="AC44" t="inlineStr">
        <is>
          <t>Contractors</t>
        </is>
      </c>
      <c r="AD44" t="n">
        <v>41010100</v>
      </c>
      <c r="AE44" t="n">
        <v>2</v>
      </c>
      <c r="AF44" t="n">
        <v>9318</v>
      </c>
      <c r="AG44" t="n">
        <v>10</v>
      </c>
      <c r="AH44" t="inlineStr">
        <is>
          <t>ZY</t>
        </is>
      </c>
      <c r="AI44" t="n">
        <v>1400</v>
      </c>
      <c r="AJ44" t="inlineStr">
        <is>
          <t>United States</t>
        </is>
      </c>
      <c r="AK44" t="inlineStr">
        <is>
          <t>AMER</t>
        </is>
      </c>
      <c r="AL44" t="inlineStr">
        <is>
          <t>IT-FBT0545-OG-US-00</t>
        </is>
      </c>
      <c r="AM44" t="n">
        <v/>
      </c>
      <c r="AN44" t="n">
        <v>210008055249</v>
      </c>
      <c r="AO44" t="inlineStr">
        <is>
          <t>T2 2WM</t>
        </is>
      </c>
      <c r="AP44" t="inlineStr">
        <is>
          <t>USD</t>
        </is>
      </c>
      <c r="AQ44" t="inlineStr">
        <is>
          <t>US Dollar</t>
        </is>
      </c>
      <c r="AR44" t="inlineStr">
        <is>
          <t>USD</t>
        </is>
      </c>
      <c r="AS44" t="n">
        <v>57824</v>
      </c>
      <c r="AT44" t="n">
        <v>57824</v>
      </c>
      <c r="AU44" t="n">
        <v>57824</v>
      </c>
    </row>
    <row r="45">
      <c r="A45" t="inlineStr">
        <is>
          <t>9500879389</t>
        </is>
      </c>
      <c r="B45" t="n">
        <v>202509</v>
      </c>
      <c r="C45" t="n">
        <v>2100080320</v>
      </c>
      <c r="D45" t="inlineStr">
        <is>
          <t>Not assigned</t>
        </is>
      </c>
      <c r="E45" t="inlineStr">
        <is>
          <t>IT-FBT0790-OG-US-00</t>
        </is>
      </c>
      <c r="F45" s="167" t="n">
        <v>45894</v>
      </c>
      <c r="G45" s="167" t="n">
        <v>45901</v>
      </c>
      <c r="H45" t="inlineStr">
        <is>
          <t>PO- 9500879389 IBM CORP</t>
        </is>
      </c>
      <c r="I45" t="inlineStr">
        <is>
          <t>PO- 9500879389 IBM CORP</t>
        </is>
      </c>
      <c r="J45" t="n">
        <v>9</v>
      </c>
      <c r="K45" t="n">
        <v>-13632.5</v>
      </c>
      <c r="L45" t="inlineStr">
        <is>
          <t>Reversal</t>
        </is>
      </c>
      <c r="M45" t="n">
        <v>2025</v>
      </c>
      <c r="N45" s="167" t="n">
        <v>45901</v>
      </c>
      <c r="O45" t="inlineStr">
        <is>
          <t>DIGITAL</t>
        </is>
      </c>
      <c r="P45" t="inlineStr">
        <is>
          <t>IT160</t>
        </is>
      </c>
      <c r="Q45" t="n">
        <v>2320521</v>
      </c>
      <c r="R45" t="inlineStr">
        <is>
          <t>DeHart, Lynn</t>
        </is>
      </c>
      <c r="S45" t="inlineStr">
        <is>
          <t>Ganesan, Srinivasan</t>
        </is>
      </c>
      <c r="T45" t="inlineStr">
        <is>
          <t>1400/9318/02/IT160/0002320521 (780) (Net</t>
        </is>
      </c>
      <c r="U45" t="inlineStr">
        <is>
          <t>DIGITAL</t>
        </is>
      </c>
      <c r="V45" t="inlineStr">
        <is>
          <t>CTIES</t>
        </is>
      </c>
      <c r="W45" t="inlineStr">
        <is>
          <t>ERP</t>
        </is>
      </c>
      <c r="X45" t="inlineStr">
        <is>
          <t>DIGITAL SOLUTION DELIVERY</t>
        </is>
      </c>
      <c r="Y45" t="inlineStr">
        <is>
          <t>DIGITAL SOLUTION DELIVERY HQ- US</t>
        </is>
      </c>
      <c r="Z45" t="n">
        <v>890</v>
      </c>
      <c r="AA45" t="n">
        <v>915</v>
      </c>
      <c r="AB45" t="inlineStr">
        <is>
          <t>Professional Serv-Admin&amp;Commercial</t>
        </is>
      </c>
      <c r="AC45" t="inlineStr">
        <is>
          <t>Contractors</t>
        </is>
      </c>
      <c r="AD45" t="n">
        <v>41010100</v>
      </c>
      <c r="AE45" t="n">
        <v>2</v>
      </c>
      <c r="AF45" t="n">
        <v>9318</v>
      </c>
      <c r="AG45" t="n">
        <v>10</v>
      </c>
      <c r="AH45" t="inlineStr">
        <is>
          <t>ZY</t>
        </is>
      </c>
      <c r="AI45" t="n">
        <v>1400</v>
      </c>
      <c r="AJ45" t="inlineStr">
        <is>
          <t>United States</t>
        </is>
      </c>
      <c r="AK45" t="inlineStr">
        <is>
          <t>AMER</t>
        </is>
      </c>
      <c r="AL45" t="inlineStr">
        <is>
          <t>IT-FBT0790-OG-US-00</t>
        </is>
      </c>
      <c r="AM45" t="n">
        <v/>
      </c>
      <c r="AN45" t="n">
        <v>2100080320120</v>
      </c>
      <c r="AO45" t="inlineStr">
        <is>
          <t>T2 2WM</t>
        </is>
      </c>
      <c r="AP45" t="inlineStr">
        <is>
          <t>USD</t>
        </is>
      </c>
      <c r="AQ45" t="inlineStr">
        <is>
          <t>US Dollar</t>
        </is>
      </c>
      <c r="AR45" t="inlineStr">
        <is>
          <t>USD</t>
        </is>
      </c>
      <c r="AS45" t="n">
        <v>-13632.5</v>
      </c>
      <c r="AT45" t="n">
        <v>-13632.5</v>
      </c>
      <c r="AU45" t="n">
        <v>-13632.5</v>
      </c>
    </row>
    <row r="46">
      <c r="A46" t="inlineStr">
        <is>
          <t>9500879389</t>
        </is>
      </c>
      <c r="B46" t="n">
        <v>202509</v>
      </c>
      <c r="C46" t="n">
        <v>2100080552</v>
      </c>
      <c r="D46" t="inlineStr">
        <is>
          <t>Not assigned</t>
        </is>
      </c>
      <c r="E46" t="inlineStr">
        <is>
          <t>IT-FBT0790-OG-US-00</t>
        </is>
      </c>
      <c r="F46" s="167" t="n">
        <v>45929</v>
      </c>
      <c r="G46" s="167" t="n">
        <v>45915</v>
      </c>
      <c r="H46" t="inlineStr">
        <is>
          <t>PO - 9500879389 - IBM CORP</t>
        </is>
      </c>
      <c r="I46" t="inlineStr">
        <is>
          <t>PO - 9500879389 - IBM CORP</t>
        </is>
      </c>
      <c r="J46" t="n">
        <v>9</v>
      </c>
      <c r="K46" t="n">
        <v>13632.5</v>
      </c>
      <c r="L46" t="inlineStr">
        <is>
          <t>Accrual</t>
        </is>
      </c>
      <c r="M46" t="n">
        <v>2025</v>
      </c>
      <c r="N46" s="167" t="n">
        <v>45901</v>
      </c>
      <c r="O46" t="inlineStr">
        <is>
          <t>DIGITAL</t>
        </is>
      </c>
      <c r="P46" t="inlineStr">
        <is>
          <t>IT160</t>
        </is>
      </c>
      <c r="Q46" t="n">
        <v>2320521</v>
      </c>
      <c r="R46" t="inlineStr">
        <is>
          <t>DeHart, Lynn</t>
        </is>
      </c>
      <c r="S46" t="inlineStr">
        <is>
          <t>Ganesan, Srinivasan</t>
        </is>
      </c>
      <c r="T46" t="inlineStr">
        <is>
          <t>1400/9318/02/IT160/0002320521 (780) (Net</t>
        </is>
      </c>
      <c r="U46" t="inlineStr">
        <is>
          <t>DIGITAL</t>
        </is>
      </c>
      <c r="V46" t="inlineStr">
        <is>
          <t>CTIES</t>
        </is>
      </c>
      <c r="W46" t="inlineStr">
        <is>
          <t>ERP</t>
        </is>
      </c>
      <c r="X46" t="inlineStr">
        <is>
          <t>DIGITAL SOLUTION DELIVERY</t>
        </is>
      </c>
      <c r="Y46" t="inlineStr">
        <is>
          <t>DIGITAL SOLUTION DELIVERY HQ- US</t>
        </is>
      </c>
      <c r="Z46" t="n">
        <v>890</v>
      </c>
      <c r="AA46" t="n">
        <v>915</v>
      </c>
      <c r="AB46" t="inlineStr">
        <is>
          <t>Professional Serv-Admin&amp;Commercial</t>
        </is>
      </c>
      <c r="AC46" t="inlineStr">
        <is>
          <t>Contractors</t>
        </is>
      </c>
      <c r="AD46" t="n">
        <v>41010100</v>
      </c>
      <c r="AE46" t="n">
        <v>2</v>
      </c>
      <c r="AF46" t="n">
        <v>9318</v>
      </c>
      <c r="AG46" t="n">
        <v>10</v>
      </c>
      <c r="AH46" t="inlineStr">
        <is>
          <t>ZY</t>
        </is>
      </c>
      <c r="AI46" t="n">
        <v>1400</v>
      </c>
      <c r="AJ46" t="inlineStr">
        <is>
          <t>United States</t>
        </is>
      </c>
      <c r="AK46" t="inlineStr">
        <is>
          <t>AMER</t>
        </is>
      </c>
      <c r="AL46" t="inlineStr">
        <is>
          <t>IT-FBT0790-OG-US-00</t>
        </is>
      </c>
      <c r="AM46" t="n">
        <v/>
      </c>
      <c r="AN46" t="n">
        <v>210008055250</v>
      </c>
      <c r="AO46" t="inlineStr">
        <is>
          <t>T2 2WM</t>
        </is>
      </c>
      <c r="AP46" t="inlineStr">
        <is>
          <t>USD</t>
        </is>
      </c>
      <c r="AQ46" t="inlineStr">
        <is>
          <t>US Dollar</t>
        </is>
      </c>
      <c r="AR46" t="inlineStr">
        <is>
          <t>USD</t>
        </is>
      </c>
      <c r="AS46" t="n">
        <v>13632.5</v>
      </c>
      <c r="AT46" t="n">
        <v>13632.5</v>
      </c>
      <c r="AU46" t="n">
        <v>13632.5</v>
      </c>
    </row>
    <row r="47">
      <c r="A47" t="inlineStr">
        <is>
          <t>9500879389</t>
        </is>
      </c>
      <c r="B47" t="n">
        <v>202508</v>
      </c>
      <c r="C47" t="n">
        <v>5107557829</v>
      </c>
      <c r="D47" t="inlineStr">
        <is>
          <t>IBM WW ORDERING AND US INVOICING</t>
        </is>
      </c>
      <c r="E47" t="inlineStr">
        <is>
          <t>IT-FBT0790-OG-US-00</t>
        </is>
      </c>
      <c r="F47" s="167" t="n">
        <v>45881</v>
      </c>
      <c r="G47" s="167" t="n">
        <v>45881</v>
      </c>
      <c r="H47" t="inlineStr">
        <is>
          <t>IBM 2025 S1 - IO SUPPORT</t>
        </is>
      </c>
      <c r="I47" t="inlineStr">
        <is>
          <t>IBM 2025 S1 - IO SUPPORT</t>
        </is>
      </c>
      <c r="J47" t="n">
        <v>8</v>
      </c>
      <c r="K47" t="n">
        <v>427.5</v>
      </c>
      <c r="L47" t="inlineStr">
        <is>
          <t>Actual</t>
        </is>
      </c>
      <c r="M47" t="n">
        <v>2025</v>
      </c>
      <c r="N47" s="167" t="n">
        <v>45870</v>
      </c>
      <c r="O47" t="inlineStr">
        <is>
          <t>DIGITAL</t>
        </is>
      </c>
      <c r="P47" t="inlineStr">
        <is>
          <t>IT160</t>
        </is>
      </c>
      <c r="Q47" t="n">
        <v>2320521</v>
      </c>
      <c r="R47" t="inlineStr">
        <is>
          <t>DeHart, Lynn</t>
        </is>
      </c>
      <c r="S47" t="inlineStr">
        <is>
          <t>Ganesan, Srinivasan</t>
        </is>
      </c>
      <c r="T47" t="inlineStr">
        <is>
          <t>1400/9318/02/IT160/0002320521 (780) (Net</t>
        </is>
      </c>
      <c r="U47" t="inlineStr">
        <is>
          <t>DIGITAL</t>
        </is>
      </c>
      <c r="V47" t="inlineStr">
        <is>
          <t>CTIES</t>
        </is>
      </c>
      <c r="W47" t="inlineStr">
        <is>
          <t>ERP</t>
        </is>
      </c>
      <c r="X47" t="inlineStr">
        <is>
          <t>DIGITAL SOLUTION DELIVERY</t>
        </is>
      </c>
      <c r="Y47" t="inlineStr">
        <is>
          <t>DIGITAL SOLUTION DELIVERY HQ- US</t>
        </is>
      </c>
      <c r="Z47" t="n">
        <v>890</v>
      </c>
      <c r="AA47" t="n">
        <v>915</v>
      </c>
      <c r="AB47" t="inlineStr">
        <is>
          <t>Professional Serv-Admin&amp;Commercial</t>
        </is>
      </c>
      <c r="AC47" t="inlineStr">
        <is>
          <t>Contractors</t>
        </is>
      </c>
      <c r="AD47" t="n">
        <v>41010100</v>
      </c>
      <c r="AE47" t="n">
        <v>2</v>
      </c>
      <c r="AF47" t="n">
        <v>9318</v>
      </c>
      <c r="AG47" t="n">
        <v>10</v>
      </c>
      <c r="AH47" t="inlineStr">
        <is>
          <t>RE</t>
        </is>
      </c>
      <c r="AI47" t="n">
        <v>1400</v>
      </c>
      <c r="AJ47" t="inlineStr">
        <is>
          <t>United States</t>
        </is>
      </c>
      <c r="AK47" t="inlineStr">
        <is>
          <t>AMER</t>
        </is>
      </c>
      <c r="AL47" t="inlineStr">
        <is>
          <t>IT-FBT0790-OG-US-00</t>
        </is>
      </c>
      <c r="AM47" t="n">
        <v/>
      </c>
      <c r="AN47" t="n">
        <v>51075578292</v>
      </c>
      <c r="AO47" t="inlineStr">
        <is>
          <t>C25938907</t>
        </is>
      </c>
      <c r="AP47" t="inlineStr">
        <is>
          <t>USD</t>
        </is>
      </c>
      <c r="AQ47" t="inlineStr">
        <is>
          <t>US Dollar</t>
        </is>
      </c>
      <c r="AR47" t="inlineStr">
        <is>
          <t>USD</t>
        </is>
      </c>
      <c r="AS47" t="n">
        <v>427.5</v>
      </c>
      <c r="AT47" t="n">
        <v>427.5</v>
      </c>
      <c r="AU47" t="n">
        <v>427.5</v>
      </c>
    </row>
    <row r="48">
      <c r="A48" t="inlineStr">
        <is>
          <t>9500882917</t>
        </is>
      </c>
      <c r="B48" t="n">
        <v>202508</v>
      </c>
      <c r="C48" t="n">
        <v>2100080021</v>
      </c>
      <c r="D48" t="inlineStr">
        <is>
          <t>Not assigned</t>
        </is>
      </c>
      <c r="E48" t="inlineStr">
        <is>
          <t>IT-FBT0545-OG-US-00</t>
        </is>
      </c>
      <c r="F48" s="167" t="n">
        <v>45866</v>
      </c>
      <c r="G48" s="167" t="n">
        <v>45873</v>
      </c>
      <c r="H48" t="inlineStr">
        <is>
          <t>PO- 9500882917 IBM CORP</t>
        </is>
      </c>
      <c r="I48" t="inlineStr">
        <is>
          <t>PO- 9500882917 IBM CORP</t>
        </is>
      </c>
      <c r="J48" t="n">
        <v>8</v>
      </c>
      <c r="K48" t="n">
        <v>-60224</v>
      </c>
      <c r="L48" t="inlineStr">
        <is>
          <t>Reversal</t>
        </is>
      </c>
      <c r="M48" t="n">
        <v>2025</v>
      </c>
      <c r="N48" s="167" t="n">
        <v>45870</v>
      </c>
      <c r="O48" t="inlineStr">
        <is>
          <t>DIGITAL</t>
        </is>
      </c>
      <c r="P48" t="inlineStr">
        <is>
          <t>IT160</t>
        </is>
      </c>
      <c r="Q48" t="n">
        <v>2320521</v>
      </c>
      <c r="R48" t="inlineStr">
        <is>
          <t>DeHart, Lynn</t>
        </is>
      </c>
      <c r="S48" t="inlineStr">
        <is>
          <t>Ganesan, Srinivasan</t>
        </is>
      </c>
      <c r="T48" t="inlineStr">
        <is>
          <t>1400/9318/02/IT160/0002320521 (780) (Net</t>
        </is>
      </c>
      <c r="U48" t="inlineStr">
        <is>
          <t>DIGITAL</t>
        </is>
      </c>
      <c r="V48" t="inlineStr">
        <is>
          <t>CTIES</t>
        </is>
      </c>
      <c r="W48" t="inlineStr">
        <is>
          <t>ERP</t>
        </is>
      </c>
      <c r="X48" t="inlineStr">
        <is>
          <t>DIGITAL SOLUTION DELIVERY</t>
        </is>
      </c>
      <c r="Y48" t="inlineStr">
        <is>
          <t>DIGITAL SOLUTION DELIVERY HQ- US</t>
        </is>
      </c>
      <c r="Z48" t="n">
        <v>890</v>
      </c>
      <c r="AA48" t="n">
        <v>915</v>
      </c>
      <c r="AB48" t="inlineStr">
        <is>
          <t>Professional Serv-Admin&amp;Commercial</t>
        </is>
      </c>
      <c r="AC48" t="inlineStr">
        <is>
          <t>Contractors</t>
        </is>
      </c>
      <c r="AD48" t="n">
        <v>41010100</v>
      </c>
      <c r="AE48" t="n">
        <v>2</v>
      </c>
      <c r="AF48" t="n">
        <v>9318</v>
      </c>
      <c r="AG48" t="n">
        <v>10</v>
      </c>
      <c r="AH48" t="inlineStr">
        <is>
          <t>ZY</t>
        </is>
      </c>
      <c r="AI48" t="n">
        <v>1400</v>
      </c>
      <c r="AJ48" t="inlineStr">
        <is>
          <t>United States</t>
        </is>
      </c>
      <c r="AK48" t="inlineStr">
        <is>
          <t>AMER</t>
        </is>
      </c>
      <c r="AL48" t="inlineStr">
        <is>
          <t>IT-FBT0545-OG-US-00</t>
        </is>
      </c>
      <c r="AM48" t="n">
        <v/>
      </c>
      <c r="AN48" t="n">
        <v>2100080021131</v>
      </c>
      <c r="AO48" t="inlineStr">
        <is>
          <t>2WM OPEX</t>
        </is>
      </c>
      <c r="AP48" t="inlineStr">
        <is>
          <t>USD</t>
        </is>
      </c>
      <c r="AQ48" t="inlineStr">
        <is>
          <t>US Dollar</t>
        </is>
      </c>
      <c r="AR48" t="inlineStr">
        <is>
          <t>USD</t>
        </is>
      </c>
      <c r="AS48" t="n">
        <v>-60224</v>
      </c>
      <c r="AT48" t="n">
        <v>-60224</v>
      </c>
      <c r="AU48" t="n">
        <v>-60224</v>
      </c>
    </row>
    <row r="49">
      <c r="A49" t="inlineStr">
        <is>
          <t>9500879389</t>
        </is>
      </c>
      <c r="B49" t="n">
        <v>202508</v>
      </c>
      <c r="C49" t="n">
        <v>2100080021</v>
      </c>
      <c r="D49" t="inlineStr">
        <is>
          <t>Not assigned</t>
        </is>
      </c>
      <c r="E49" t="inlineStr">
        <is>
          <t>IT-FBT0790-OG-US-00</t>
        </is>
      </c>
      <c r="F49" s="167" t="n">
        <v>45866</v>
      </c>
      <c r="G49" s="167" t="n">
        <v>45873</v>
      </c>
      <c r="H49" t="inlineStr">
        <is>
          <t>PO- 9500879389 IBM CORP</t>
        </is>
      </c>
      <c r="I49" t="inlineStr">
        <is>
          <t>PO- 9500879389 IBM CORP</t>
        </is>
      </c>
      <c r="J49" t="n">
        <v>8</v>
      </c>
      <c r="K49" t="n">
        <v>-14060</v>
      </c>
      <c r="L49" t="inlineStr">
        <is>
          <t>Reversal</t>
        </is>
      </c>
      <c r="M49" t="n">
        <v>2025</v>
      </c>
      <c r="N49" s="167" t="n">
        <v>45870</v>
      </c>
      <c r="O49" t="inlineStr">
        <is>
          <t>DIGITAL</t>
        </is>
      </c>
      <c r="P49" t="inlineStr">
        <is>
          <t>IT160</t>
        </is>
      </c>
      <c r="Q49" t="n">
        <v>2320521</v>
      </c>
      <c r="R49" t="inlineStr">
        <is>
          <t>DeHart, Lynn</t>
        </is>
      </c>
      <c r="S49" t="inlineStr">
        <is>
          <t>Ganesan, Srinivasan</t>
        </is>
      </c>
      <c r="T49" t="inlineStr">
        <is>
          <t>1400/9318/02/IT160/0002320521 (780) (Net</t>
        </is>
      </c>
      <c r="U49" t="inlineStr">
        <is>
          <t>DIGITAL</t>
        </is>
      </c>
      <c r="V49" t="inlineStr">
        <is>
          <t>CTIES</t>
        </is>
      </c>
      <c r="W49" t="inlineStr">
        <is>
          <t>ERP</t>
        </is>
      </c>
      <c r="X49" t="inlineStr">
        <is>
          <t>DIGITAL SOLUTION DELIVERY</t>
        </is>
      </c>
      <c r="Y49" t="inlineStr">
        <is>
          <t>DIGITAL SOLUTION DELIVERY HQ- US</t>
        </is>
      </c>
      <c r="Z49" t="n">
        <v>890</v>
      </c>
      <c r="AA49" t="n">
        <v>915</v>
      </c>
      <c r="AB49" t="inlineStr">
        <is>
          <t>Professional Serv-Admin&amp;Commercial</t>
        </is>
      </c>
      <c r="AC49" t="inlineStr">
        <is>
          <t>Contractors</t>
        </is>
      </c>
      <c r="AD49" t="n">
        <v>41010100</v>
      </c>
      <c r="AE49" t="n">
        <v>2</v>
      </c>
      <c r="AF49" t="n">
        <v>9318</v>
      </c>
      <c r="AG49" t="n">
        <v>10</v>
      </c>
      <c r="AH49" t="inlineStr">
        <is>
          <t>ZY</t>
        </is>
      </c>
      <c r="AI49" t="n">
        <v>1400</v>
      </c>
      <c r="AJ49" t="inlineStr">
        <is>
          <t>United States</t>
        </is>
      </c>
      <c r="AK49" t="inlineStr">
        <is>
          <t>AMER</t>
        </is>
      </c>
      <c r="AL49" t="inlineStr">
        <is>
          <t>IT-FBT0790-OG-US-00</t>
        </is>
      </c>
      <c r="AM49" t="n">
        <v/>
      </c>
      <c r="AN49" t="n">
        <v>2100080021129</v>
      </c>
      <c r="AO49" t="inlineStr">
        <is>
          <t>2WM OPEX</t>
        </is>
      </c>
      <c r="AP49" t="inlineStr">
        <is>
          <t>USD</t>
        </is>
      </c>
      <c r="AQ49" t="inlineStr">
        <is>
          <t>US Dollar</t>
        </is>
      </c>
      <c r="AR49" t="inlineStr">
        <is>
          <t>USD</t>
        </is>
      </c>
      <c r="AS49" t="n">
        <v>-14060</v>
      </c>
      <c r="AT49" t="n">
        <v>-14060</v>
      </c>
      <c r="AU49" t="n">
        <v>-14060</v>
      </c>
    </row>
    <row r="50">
      <c r="A50" t="inlineStr">
        <is>
          <t>9500879389</t>
        </is>
      </c>
      <c r="B50" t="n">
        <v>202508</v>
      </c>
      <c r="C50" t="n">
        <v>2100080153</v>
      </c>
      <c r="D50" t="inlineStr">
        <is>
          <t>Not assigned</t>
        </is>
      </c>
      <c r="E50" t="inlineStr">
        <is>
          <t>IT-FBT0790-OG-US-00</t>
        </is>
      </c>
      <c r="F50" s="167" t="n">
        <v>45894</v>
      </c>
      <c r="G50" s="167" t="n">
        <v>45884</v>
      </c>
      <c r="H50" t="inlineStr">
        <is>
          <t>PO- 9500879389 IBM CORP</t>
        </is>
      </c>
      <c r="I50" t="inlineStr">
        <is>
          <t>PO- 9500879389 IBM CORP</t>
        </is>
      </c>
      <c r="J50" t="n">
        <v>8</v>
      </c>
      <c r="K50" t="n">
        <v>13632.5</v>
      </c>
      <c r="L50" t="inlineStr">
        <is>
          <t>Accrual</t>
        </is>
      </c>
      <c r="M50" t="n">
        <v>2025</v>
      </c>
      <c r="N50" s="167" t="n">
        <v>45870</v>
      </c>
      <c r="O50" t="inlineStr">
        <is>
          <t>DIGITAL</t>
        </is>
      </c>
      <c r="P50" t="inlineStr">
        <is>
          <t>IT160</t>
        </is>
      </c>
      <c r="Q50" t="n">
        <v>2320521</v>
      </c>
      <c r="R50" t="inlineStr">
        <is>
          <t>DeHart, Lynn</t>
        </is>
      </c>
      <c r="S50" t="inlineStr">
        <is>
          <t>Ganesan, Srinivasan</t>
        </is>
      </c>
      <c r="T50" t="inlineStr">
        <is>
          <t>1400/9318/02/IT160/0002320521 (780) (Net</t>
        </is>
      </c>
      <c r="U50" t="inlineStr">
        <is>
          <t>DIGITAL</t>
        </is>
      </c>
      <c r="V50" t="inlineStr">
        <is>
          <t>CTIES</t>
        </is>
      </c>
      <c r="W50" t="inlineStr">
        <is>
          <t>ERP</t>
        </is>
      </c>
      <c r="X50" t="inlineStr">
        <is>
          <t>DIGITAL SOLUTION DELIVERY</t>
        </is>
      </c>
      <c r="Y50" t="inlineStr">
        <is>
          <t>DIGITAL SOLUTION DELIVERY HQ- US</t>
        </is>
      </c>
      <c r="Z50" t="n">
        <v>890</v>
      </c>
      <c r="AA50" t="n">
        <v>915</v>
      </c>
      <c r="AB50" t="inlineStr">
        <is>
          <t>Professional Serv-Admin&amp;Commercial</t>
        </is>
      </c>
      <c r="AC50" t="inlineStr">
        <is>
          <t>Contractors</t>
        </is>
      </c>
      <c r="AD50" t="n">
        <v>41010100</v>
      </c>
      <c r="AE50" t="n">
        <v>2</v>
      </c>
      <c r="AF50" t="n">
        <v>9318</v>
      </c>
      <c r="AG50" t="n">
        <v>10</v>
      </c>
      <c r="AH50" t="inlineStr">
        <is>
          <t>ZY</t>
        </is>
      </c>
      <c r="AI50" t="n">
        <v>1400</v>
      </c>
      <c r="AJ50" t="inlineStr">
        <is>
          <t>United States</t>
        </is>
      </c>
      <c r="AK50" t="inlineStr">
        <is>
          <t>AMER</t>
        </is>
      </c>
      <c r="AL50" t="inlineStr">
        <is>
          <t>IT-FBT0790-OG-US-00</t>
        </is>
      </c>
      <c r="AM50" t="n">
        <v/>
      </c>
      <c r="AN50" t="n">
        <v>2100080153120</v>
      </c>
      <c r="AO50" t="inlineStr">
        <is>
          <t>T2 2WM</t>
        </is>
      </c>
      <c r="AP50" t="inlineStr">
        <is>
          <t>USD</t>
        </is>
      </c>
      <c r="AQ50" t="inlineStr">
        <is>
          <t>US Dollar</t>
        </is>
      </c>
      <c r="AR50" t="inlineStr">
        <is>
          <t>USD</t>
        </is>
      </c>
      <c r="AS50" t="n">
        <v>13632.5</v>
      </c>
      <c r="AT50" t="n">
        <v>13632.5</v>
      </c>
      <c r="AU50" t="n">
        <v>13632.5</v>
      </c>
    </row>
    <row r="51">
      <c r="A51" t="inlineStr">
        <is>
          <t>9500882917</t>
        </is>
      </c>
      <c r="B51" t="n">
        <v>202507</v>
      </c>
      <c r="C51" t="n">
        <v>5107523041</v>
      </c>
      <c r="D51" t="inlineStr">
        <is>
          <t>IBM WW ORDERING AND US INVOICING</t>
        </is>
      </c>
      <c r="E51" t="inlineStr">
        <is>
          <t>IT-FBT0545-OG-US-00</t>
        </is>
      </c>
      <c r="F51" s="167" t="n">
        <v>45855</v>
      </c>
      <c r="G51" s="167" t="n">
        <v>45855</v>
      </c>
      <c r="H51" t="inlineStr">
        <is>
          <t>IBM - 2025 S1 COVID APPLICATIONS SUPPORT</t>
        </is>
      </c>
      <c r="I51" t="inlineStr">
        <is>
          <t>IBM - 2025 S1 COVID APPLICATIONS SUPPORT</t>
        </is>
      </c>
      <c r="J51" t="n">
        <v>7</v>
      </c>
      <c r="K51" t="n">
        <v>38368</v>
      </c>
      <c r="L51" t="inlineStr">
        <is>
          <t>Actual</t>
        </is>
      </c>
      <c r="M51" t="n">
        <v>2025</v>
      </c>
      <c r="N51" s="167" t="n">
        <v>45839</v>
      </c>
      <c r="O51" t="inlineStr">
        <is>
          <t>DIGITAL</t>
        </is>
      </c>
      <c r="P51" t="inlineStr">
        <is>
          <t>IT160</t>
        </is>
      </c>
      <c r="Q51" t="n">
        <v>2320521</v>
      </c>
      <c r="R51" t="inlineStr">
        <is>
          <t>DeHart, Lynn</t>
        </is>
      </c>
      <c r="S51" t="inlineStr">
        <is>
          <t>Ganesan, Srinivasan</t>
        </is>
      </c>
      <c r="T51" t="inlineStr">
        <is>
          <t>1400/9318/02/IT160/0002320521 (780) (Net</t>
        </is>
      </c>
      <c r="U51" t="inlineStr">
        <is>
          <t>DIGITAL</t>
        </is>
      </c>
      <c r="V51" t="inlineStr">
        <is>
          <t>CTIES</t>
        </is>
      </c>
      <c r="W51" t="inlineStr">
        <is>
          <t>ERP</t>
        </is>
      </c>
      <c r="X51" t="inlineStr">
        <is>
          <t>DIGITAL SOLUTION DELIVERY</t>
        </is>
      </c>
      <c r="Y51" t="inlineStr">
        <is>
          <t>DIGITAL SOLUTION DELIVERY HQ- US</t>
        </is>
      </c>
      <c r="Z51" t="n">
        <v>890</v>
      </c>
      <c r="AA51" t="n">
        <v>915</v>
      </c>
      <c r="AB51" t="inlineStr">
        <is>
          <t>Professional Serv-Admin&amp;Commercial</t>
        </is>
      </c>
      <c r="AC51" t="inlineStr">
        <is>
          <t>Contractors</t>
        </is>
      </c>
      <c r="AD51" t="n">
        <v>41010100</v>
      </c>
      <c r="AE51" t="n">
        <v>2</v>
      </c>
      <c r="AF51" t="n">
        <v>9318</v>
      </c>
      <c r="AG51" t="n">
        <v>10</v>
      </c>
      <c r="AH51" t="inlineStr">
        <is>
          <t>RE</t>
        </is>
      </c>
      <c r="AI51" t="n">
        <v>1400</v>
      </c>
      <c r="AJ51" t="inlineStr">
        <is>
          <t>United States</t>
        </is>
      </c>
      <c r="AK51" t="inlineStr">
        <is>
          <t>AMER</t>
        </is>
      </c>
      <c r="AL51" t="inlineStr">
        <is>
          <t>IT-FBT0545-OG-US-00</t>
        </is>
      </c>
      <c r="AM51" t="n">
        <v/>
      </c>
      <c r="AN51" t="n">
        <v>51075230412</v>
      </c>
      <c r="AO51" t="inlineStr">
        <is>
          <t>C25291706</t>
        </is>
      </c>
      <c r="AP51" t="inlineStr">
        <is>
          <t>USD</t>
        </is>
      </c>
      <c r="AQ51" t="inlineStr">
        <is>
          <t>US Dollar</t>
        </is>
      </c>
      <c r="AR51" t="inlineStr">
        <is>
          <t>USD</t>
        </is>
      </c>
      <c r="AS51" t="n">
        <v>38368</v>
      </c>
      <c r="AT51" t="n">
        <v>38368</v>
      </c>
      <c r="AU51" t="n">
        <v>38368</v>
      </c>
    </row>
    <row r="52">
      <c r="A52" t="inlineStr">
        <is>
          <t>9500879389</t>
        </is>
      </c>
      <c r="B52" t="n">
        <v>202507</v>
      </c>
      <c r="C52" t="n">
        <v>5107523043</v>
      </c>
      <c r="D52" t="inlineStr">
        <is>
          <t>IBM WW ORDERING AND US INVOICING</t>
        </is>
      </c>
      <c r="E52" t="inlineStr">
        <is>
          <t>IT-FBT0790-OG-US-00</t>
        </is>
      </c>
      <c r="F52" s="167" t="n">
        <v>45855</v>
      </c>
      <c r="G52" s="167" t="n">
        <v>45855</v>
      </c>
      <c r="H52" t="inlineStr">
        <is>
          <t>IBM 2025 S1 - IO SUPPORT</t>
        </is>
      </c>
      <c r="I52" t="inlineStr">
        <is>
          <t>IBM 2025 S1 - IO SUPPORT</t>
        </is>
      </c>
      <c r="J52" t="n">
        <v>7</v>
      </c>
      <c r="K52" t="n">
        <v>16862.5</v>
      </c>
      <c r="L52" t="inlineStr">
        <is>
          <t>Actual</t>
        </is>
      </c>
      <c r="M52" t="n">
        <v>2025</v>
      </c>
      <c r="N52" s="167" t="n">
        <v>45839</v>
      </c>
      <c r="O52" t="inlineStr">
        <is>
          <t>DIGITAL</t>
        </is>
      </c>
      <c r="P52" t="inlineStr">
        <is>
          <t>IT160</t>
        </is>
      </c>
      <c r="Q52" t="n">
        <v>2320521</v>
      </c>
      <c r="R52" t="inlineStr">
        <is>
          <t>DeHart, Lynn</t>
        </is>
      </c>
      <c r="S52" t="inlineStr">
        <is>
          <t>Ganesan, Srinivasan</t>
        </is>
      </c>
      <c r="T52" t="inlineStr">
        <is>
          <t>1400/9318/02/IT160/0002320521 (780) (Net</t>
        </is>
      </c>
      <c r="U52" t="inlineStr">
        <is>
          <t>DIGITAL</t>
        </is>
      </c>
      <c r="V52" t="inlineStr">
        <is>
          <t>CTIES</t>
        </is>
      </c>
      <c r="W52" t="inlineStr">
        <is>
          <t>ERP</t>
        </is>
      </c>
      <c r="X52" t="inlineStr">
        <is>
          <t>DIGITAL SOLUTION DELIVERY</t>
        </is>
      </c>
      <c r="Y52" t="inlineStr">
        <is>
          <t>DIGITAL SOLUTION DELIVERY HQ- US</t>
        </is>
      </c>
      <c r="Z52" t="n">
        <v>890</v>
      </c>
      <c r="AA52" t="n">
        <v>915</v>
      </c>
      <c r="AB52" t="inlineStr">
        <is>
          <t>Professional Serv-Admin&amp;Commercial</t>
        </is>
      </c>
      <c r="AC52" t="inlineStr">
        <is>
          <t>Contractors</t>
        </is>
      </c>
      <c r="AD52" t="n">
        <v>41010100</v>
      </c>
      <c r="AE52" t="n">
        <v>2</v>
      </c>
      <c r="AF52" t="n">
        <v>9318</v>
      </c>
      <c r="AG52" t="n">
        <v>10</v>
      </c>
      <c r="AH52" t="inlineStr">
        <is>
          <t>RE</t>
        </is>
      </c>
      <c r="AI52" t="n">
        <v>1400</v>
      </c>
      <c r="AJ52" t="inlineStr">
        <is>
          <t>United States</t>
        </is>
      </c>
      <c r="AK52" t="inlineStr">
        <is>
          <t>AMER</t>
        </is>
      </c>
      <c r="AL52" t="inlineStr">
        <is>
          <t>IT-FBT0790-OG-US-00</t>
        </is>
      </c>
      <c r="AM52" t="n">
        <v/>
      </c>
      <c r="AN52" t="n">
        <v>51075230432</v>
      </c>
      <c r="AO52" t="inlineStr">
        <is>
          <t>C25938906</t>
        </is>
      </c>
      <c r="AP52" t="inlineStr">
        <is>
          <t>USD</t>
        </is>
      </c>
      <c r="AQ52" t="inlineStr">
        <is>
          <t>US Dollar</t>
        </is>
      </c>
      <c r="AR52" t="inlineStr">
        <is>
          <t>USD</t>
        </is>
      </c>
      <c r="AS52" t="n">
        <v>16862.5</v>
      </c>
      <c r="AT52" t="n">
        <v>16862.5</v>
      </c>
      <c r="AU52" t="n">
        <v>16862.5</v>
      </c>
    </row>
    <row r="53">
      <c r="A53" t="inlineStr">
        <is>
          <t>9500882917</t>
        </is>
      </c>
      <c r="B53" t="n">
        <v>202507</v>
      </c>
      <c r="C53" t="n">
        <v>2100079612</v>
      </c>
      <c r="D53" t="inlineStr">
        <is>
          <t>Not assigned</t>
        </is>
      </c>
      <c r="E53" t="inlineStr">
        <is>
          <t>IT-FBT0545-OG-US-00</t>
        </is>
      </c>
      <c r="F53" s="167" t="n">
        <v>45838</v>
      </c>
      <c r="G53" s="167" t="n">
        <v>45845</v>
      </c>
      <c r="H53" t="inlineStr">
        <is>
          <t>PO- 9500882917 IBM CORP</t>
        </is>
      </c>
      <c r="I53" t="inlineStr">
        <is>
          <t>PO- 9500882917 IBM CORP</t>
        </is>
      </c>
      <c r="J53" t="n">
        <v>7</v>
      </c>
      <c r="K53" t="n">
        <v>-98592</v>
      </c>
      <c r="L53" t="inlineStr">
        <is>
          <t>Reversal</t>
        </is>
      </c>
      <c r="M53" t="n">
        <v>2025</v>
      </c>
      <c r="N53" s="167" t="n">
        <v>45839</v>
      </c>
      <c r="O53" t="inlineStr">
        <is>
          <t>DIGITAL</t>
        </is>
      </c>
      <c r="P53" t="inlineStr">
        <is>
          <t>IT160</t>
        </is>
      </c>
      <c r="Q53" t="n">
        <v>2320521</v>
      </c>
      <c r="R53" t="inlineStr">
        <is>
          <t>DeHart, Lynn</t>
        </is>
      </c>
      <c r="S53" t="inlineStr">
        <is>
          <t>Ganesan, Srinivasan</t>
        </is>
      </c>
      <c r="T53" t="inlineStr">
        <is>
          <t>1400/9318/02/IT160/0002320521 (780) (Net</t>
        </is>
      </c>
      <c r="U53" t="inlineStr">
        <is>
          <t>DIGITAL</t>
        </is>
      </c>
      <c r="V53" t="inlineStr">
        <is>
          <t>CTIES</t>
        </is>
      </c>
      <c r="W53" t="inlineStr">
        <is>
          <t>ERP</t>
        </is>
      </c>
      <c r="X53" t="inlineStr">
        <is>
          <t>DIGITAL SOLUTION DELIVERY</t>
        </is>
      </c>
      <c r="Y53" t="inlineStr">
        <is>
          <t>DIGITAL SOLUTION DELIVERY HQ- US</t>
        </is>
      </c>
      <c r="Z53" t="n">
        <v>890</v>
      </c>
      <c r="AA53" t="n">
        <v>915</v>
      </c>
      <c r="AB53" t="inlineStr">
        <is>
          <t>Professional Serv-Admin&amp;Commercial</t>
        </is>
      </c>
      <c r="AC53" t="inlineStr">
        <is>
          <t>Contractors</t>
        </is>
      </c>
      <c r="AD53" t="n">
        <v>41010100</v>
      </c>
      <c r="AE53" t="n">
        <v>2</v>
      </c>
      <c r="AF53" t="n">
        <v>9318</v>
      </c>
      <c r="AG53" t="n">
        <v>10</v>
      </c>
      <c r="AH53" t="inlineStr">
        <is>
          <t>ZY</t>
        </is>
      </c>
      <c r="AI53" t="n">
        <v>1400</v>
      </c>
      <c r="AJ53" t="inlineStr">
        <is>
          <t>United States</t>
        </is>
      </c>
      <c r="AK53" t="inlineStr">
        <is>
          <t>AMER</t>
        </is>
      </c>
      <c r="AL53" t="inlineStr">
        <is>
          <t>IT-FBT0545-OG-US-00</t>
        </is>
      </c>
      <c r="AM53" t="n">
        <v/>
      </c>
      <c r="AN53" t="n">
        <v>2100079612124</v>
      </c>
      <c r="AO53" t="inlineStr">
        <is>
          <t>AP6-25 2WM</t>
        </is>
      </c>
      <c r="AP53" t="inlineStr">
        <is>
          <t>USD</t>
        </is>
      </c>
      <c r="AQ53" t="inlineStr">
        <is>
          <t>US Dollar</t>
        </is>
      </c>
      <c r="AR53" t="inlineStr">
        <is>
          <t>USD</t>
        </is>
      </c>
      <c r="AS53" t="n">
        <v>-98592</v>
      </c>
      <c r="AT53" t="n">
        <v>-98592</v>
      </c>
      <c r="AU53" t="n">
        <v>-98592</v>
      </c>
    </row>
    <row r="54">
      <c r="A54" t="inlineStr">
        <is>
          <t>9500882917</t>
        </is>
      </c>
      <c r="B54" t="n">
        <v>202507</v>
      </c>
      <c r="C54" t="n">
        <v>2100079882</v>
      </c>
      <c r="D54" t="inlineStr">
        <is>
          <t>Not assigned</t>
        </is>
      </c>
      <c r="E54" t="inlineStr">
        <is>
          <t>IT-FBT0545-OG-US-00</t>
        </is>
      </c>
      <c r="F54" s="167" t="n">
        <v>45866</v>
      </c>
      <c r="G54" s="167" t="n">
        <v>45853</v>
      </c>
      <c r="H54" t="inlineStr">
        <is>
          <t>PO- 9500882917 IBM CORP</t>
        </is>
      </c>
      <c r="I54" t="inlineStr">
        <is>
          <t>PO- 9500882917 IBM CORP</t>
        </is>
      </c>
      <c r="J54" t="n">
        <v>7</v>
      </c>
      <c r="K54" t="n">
        <v>60224</v>
      </c>
      <c r="L54" t="inlineStr">
        <is>
          <t>Accrual</t>
        </is>
      </c>
      <c r="M54" t="n">
        <v>2025</v>
      </c>
      <c r="N54" s="167" t="n">
        <v>45839</v>
      </c>
      <c r="O54" t="inlineStr">
        <is>
          <t>DIGITAL</t>
        </is>
      </c>
      <c r="P54" t="inlineStr">
        <is>
          <t>IT160</t>
        </is>
      </c>
      <c r="Q54" t="n">
        <v>2320521</v>
      </c>
      <c r="R54" t="inlineStr">
        <is>
          <t>DeHart, Lynn</t>
        </is>
      </c>
      <c r="S54" t="inlineStr">
        <is>
          <t>Ganesan, Srinivasan</t>
        </is>
      </c>
      <c r="T54" t="inlineStr">
        <is>
          <t>1400/9318/02/IT160/0002320521 (780) (Net</t>
        </is>
      </c>
      <c r="U54" t="inlineStr">
        <is>
          <t>DIGITAL</t>
        </is>
      </c>
      <c r="V54" t="inlineStr">
        <is>
          <t>CTIES</t>
        </is>
      </c>
      <c r="W54" t="inlineStr">
        <is>
          <t>ERP</t>
        </is>
      </c>
      <c r="X54" t="inlineStr">
        <is>
          <t>DIGITAL SOLUTION DELIVERY</t>
        </is>
      </c>
      <c r="Y54" t="inlineStr">
        <is>
          <t>DIGITAL SOLUTION DELIVERY HQ- US</t>
        </is>
      </c>
      <c r="Z54" t="n">
        <v>890</v>
      </c>
      <c r="AA54" t="n">
        <v>915</v>
      </c>
      <c r="AB54" t="inlineStr">
        <is>
          <t>Professional Serv-Admin&amp;Commercial</t>
        </is>
      </c>
      <c r="AC54" t="inlineStr">
        <is>
          <t>Contractors</t>
        </is>
      </c>
      <c r="AD54" t="n">
        <v>41010100</v>
      </c>
      <c r="AE54" t="n">
        <v>2</v>
      </c>
      <c r="AF54" t="n">
        <v>9318</v>
      </c>
      <c r="AG54" t="n">
        <v>10</v>
      </c>
      <c r="AH54" t="inlineStr">
        <is>
          <t>ZY</t>
        </is>
      </c>
      <c r="AI54" t="n">
        <v>1400</v>
      </c>
      <c r="AJ54" t="inlineStr">
        <is>
          <t>United States</t>
        </is>
      </c>
      <c r="AK54" t="inlineStr">
        <is>
          <t>AMER</t>
        </is>
      </c>
      <c r="AL54" t="inlineStr">
        <is>
          <t>IT-FBT0545-OG-US-00</t>
        </is>
      </c>
      <c r="AM54" t="n">
        <v/>
      </c>
      <c r="AN54" t="n">
        <v>2100079882131</v>
      </c>
      <c r="AO54" t="inlineStr">
        <is>
          <t>2WM OPEX</t>
        </is>
      </c>
      <c r="AP54" t="inlineStr">
        <is>
          <t>USD</t>
        </is>
      </c>
      <c r="AQ54" t="inlineStr">
        <is>
          <t>US Dollar</t>
        </is>
      </c>
      <c r="AR54" t="inlineStr">
        <is>
          <t>USD</t>
        </is>
      </c>
      <c r="AS54" t="n">
        <v>60224</v>
      </c>
      <c r="AT54" t="n">
        <v>60224</v>
      </c>
      <c r="AU54" t="n">
        <v>60224</v>
      </c>
    </row>
    <row r="55">
      <c r="A55" t="inlineStr">
        <is>
          <t>9500879389</t>
        </is>
      </c>
      <c r="B55" t="n">
        <v>202507</v>
      </c>
      <c r="C55" t="n">
        <v>2100079612</v>
      </c>
      <c r="D55" t="inlineStr">
        <is>
          <t>Not assigned</t>
        </is>
      </c>
      <c r="E55" t="inlineStr">
        <is>
          <t>IT-FBT0790-OG-US-00</t>
        </is>
      </c>
      <c r="F55" s="167" t="n">
        <v>45838</v>
      </c>
      <c r="G55" s="167" t="n">
        <v>45845</v>
      </c>
      <c r="H55" t="inlineStr">
        <is>
          <t>PO- 9500879389 IBM CORP</t>
        </is>
      </c>
      <c r="I55" t="inlineStr">
        <is>
          <t>PO- 9500879389 IBM CORP</t>
        </is>
      </c>
      <c r="J55" t="n">
        <v>7</v>
      </c>
      <c r="K55" t="n">
        <v>-30922.5</v>
      </c>
      <c r="L55" t="inlineStr">
        <is>
          <t>Reversal</t>
        </is>
      </c>
      <c r="M55" t="n">
        <v>2025</v>
      </c>
      <c r="N55" s="167" t="n">
        <v>45839</v>
      </c>
      <c r="O55" t="inlineStr">
        <is>
          <t>DIGITAL</t>
        </is>
      </c>
      <c r="P55" t="inlineStr">
        <is>
          <t>IT160</t>
        </is>
      </c>
      <c r="Q55" t="n">
        <v>2320521</v>
      </c>
      <c r="R55" t="inlineStr">
        <is>
          <t>DeHart, Lynn</t>
        </is>
      </c>
      <c r="S55" t="inlineStr">
        <is>
          <t>Ganesan, Srinivasan</t>
        </is>
      </c>
      <c r="T55" t="inlineStr">
        <is>
          <t>1400/9318/02/IT160/0002320521 (780) (Net</t>
        </is>
      </c>
      <c r="U55" t="inlineStr">
        <is>
          <t>DIGITAL</t>
        </is>
      </c>
      <c r="V55" t="inlineStr">
        <is>
          <t>CTIES</t>
        </is>
      </c>
      <c r="W55" t="inlineStr">
        <is>
          <t>ERP</t>
        </is>
      </c>
      <c r="X55" t="inlineStr">
        <is>
          <t>DIGITAL SOLUTION DELIVERY</t>
        </is>
      </c>
      <c r="Y55" t="inlineStr">
        <is>
          <t>DIGITAL SOLUTION DELIVERY HQ- US</t>
        </is>
      </c>
      <c r="Z55" t="n">
        <v>890</v>
      </c>
      <c r="AA55" t="n">
        <v>915</v>
      </c>
      <c r="AB55" t="inlineStr">
        <is>
          <t>Professional Serv-Admin&amp;Commercial</t>
        </is>
      </c>
      <c r="AC55" t="inlineStr">
        <is>
          <t>Contractors</t>
        </is>
      </c>
      <c r="AD55" t="n">
        <v>41010100</v>
      </c>
      <c r="AE55" t="n">
        <v>2</v>
      </c>
      <c r="AF55" t="n">
        <v>9318</v>
      </c>
      <c r="AG55" t="n">
        <v>10</v>
      </c>
      <c r="AH55" t="inlineStr">
        <is>
          <t>ZY</t>
        </is>
      </c>
      <c r="AI55" t="n">
        <v>1400</v>
      </c>
      <c r="AJ55" t="inlineStr">
        <is>
          <t>United States</t>
        </is>
      </c>
      <c r="AK55" t="inlineStr">
        <is>
          <t>AMER</t>
        </is>
      </c>
      <c r="AL55" t="inlineStr">
        <is>
          <t>IT-FBT0790-OG-US-00</t>
        </is>
      </c>
      <c r="AM55" t="n">
        <v/>
      </c>
      <c r="AN55" t="n">
        <v>2100079612122</v>
      </c>
      <c r="AO55" t="inlineStr">
        <is>
          <t>AP6-25 2WM</t>
        </is>
      </c>
      <c r="AP55" t="inlineStr">
        <is>
          <t>USD</t>
        </is>
      </c>
      <c r="AQ55" t="inlineStr">
        <is>
          <t>US Dollar</t>
        </is>
      </c>
      <c r="AR55" t="inlineStr">
        <is>
          <t>USD</t>
        </is>
      </c>
      <c r="AS55" t="n">
        <v>-30922.5</v>
      </c>
      <c r="AT55" t="n">
        <v>-30922.5</v>
      </c>
      <c r="AU55" t="n">
        <v>-30922.5</v>
      </c>
    </row>
    <row r="56">
      <c r="A56" t="inlineStr">
        <is>
          <t>9500879389</t>
        </is>
      </c>
      <c r="B56" t="n">
        <v>202507</v>
      </c>
      <c r="C56" t="n">
        <v>2100079882</v>
      </c>
      <c r="D56" t="inlineStr">
        <is>
          <t>Not assigned</t>
        </is>
      </c>
      <c r="E56" t="inlineStr">
        <is>
          <t>IT-FBT0790-OG-US-00</t>
        </is>
      </c>
      <c r="F56" s="167" t="n">
        <v>45866</v>
      </c>
      <c r="G56" s="167" t="n">
        <v>45853</v>
      </c>
      <c r="H56" t="inlineStr">
        <is>
          <t>PO- 9500879389 IBM CORP</t>
        </is>
      </c>
      <c r="I56" t="inlineStr">
        <is>
          <t>PO- 9500879389 IBM CORP</t>
        </is>
      </c>
      <c r="J56" t="n">
        <v>7</v>
      </c>
      <c r="K56" t="n">
        <v>14060</v>
      </c>
      <c r="L56" t="inlineStr">
        <is>
          <t>Accrual</t>
        </is>
      </c>
      <c r="M56" t="n">
        <v>2025</v>
      </c>
      <c r="N56" s="167" t="n">
        <v>45839</v>
      </c>
      <c r="O56" t="inlineStr">
        <is>
          <t>DIGITAL</t>
        </is>
      </c>
      <c r="P56" t="inlineStr">
        <is>
          <t>IT160</t>
        </is>
      </c>
      <c r="Q56" t="n">
        <v>2320521</v>
      </c>
      <c r="R56" t="inlineStr">
        <is>
          <t>DeHart, Lynn</t>
        </is>
      </c>
      <c r="S56" t="inlineStr">
        <is>
          <t>Ganesan, Srinivasan</t>
        </is>
      </c>
      <c r="T56" t="inlineStr">
        <is>
          <t>1400/9318/02/IT160/0002320521 (780) (Net</t>
        </is>
      </c>
      <c r="U56" t="inlineStr">
        <is>
          <t>DIGITAL</t>
        </is>
      </c>
      <c r="V56" t="inlineStr">
        <is>
          <t>CTIES</t>
        </is>
      </c>
      <c r="W56" t="inlineStr">
        <is>
          <t>ERP</t>
        </is>
      </c>
      <c r="X56" t="inlineStr">
        <is>
          <t>DIGITAL SOLUTION DELIVERY</t>
        </is>
      </c>
      <c r="Y56" t="inlineStr">
        <is>
          <t>DIGITAL SOLUTION DELIVERY HQ- US</t>
        </is>
      </c>
      <c r="Z56" t="n">
        <v>890</v>
      </c>
      <c r="AA56" t="n">
        <v>915</v>
      </c>
      <c r="AB56" t="inlineStr">
        <is>
          <t>Professional Serv-Admin&amp;Commercial</t>
        </is>
      </c>
      <c r="AC56" t="inlineStr">
        <is>
          <t>Contractors</t>
        </is>
      </c>
      <c r="AD56" t="n">
        <v>41010100</v>
      </c>
      <c r="AE56" t="n">
        <v>2</v>
      </c>
      <c r="AF56" t="n">
        <v>9318</v>
      </c>
      <c r="AG56" t="n">
        <v>10</v>
      </c>
      <c r="AH56" t="inlineStr">
        <is>
          <t>ZY</t>
        </is>
      </c>
      <c r="AI56" t="n">
        <v>1400</v>
      </c>
      <c r="AJ56" t="inlineStr">
        <is>
          <t>United States</t>
        </is>
      </c>
      <c r="AK56" t="inlineStr">
        <is>
          <t>AMER</t>
        </is>
      </c>
      <c r="AL56" t="inlineStr">
        <is>
          <t>IT-FBT0790-OG-US-00</t>
        </is>
      </c>
      <c r="AM56" t="n">
        <v/>
      </c>
      <c r="AN56" t="n">
        <v>2100079882129</v>
      </c>
      <c r="AO56" t="inlineStr">
        <is>
          <t>2WM OPEX</t>
        </is>
      </c>
      <c r="AP56" t="inlineStr">
        <is>
          <t>USD</t>
        </is>
      </c>
      <c r="AQ56" t="inlineStr">
        <is>
          <t>US Dollar</t>
        </is>
      </c>
      <c r="AR56" t="inlineStr">
        <is>
          <t>USD</t>
        </is>
      </c>
      <c r="AS56" t="n">
        <v>14060</v>
      </c>
      <c r="AT56" t="n">
        <v>14060</v>
      </c>
      <c r="AU56" t="n">
        <v>14060</v>
      </c>
    </row>
  </sheetData>
  <autoFilter ref="A1:AU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Ali, Michael</dc:creator>
  <dcterms:created xsi:type="dcterms:W3CDTF">2024-04-15T21:07:03Z</dcterms:created>
  <dcterms:modified xsi:type="dcterms:W3CDTF">2026-02-24T16:57:11Z</dcterms:modified>
  <cp:lastModifiedBy>Hovey, Owen (Contractor)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4791b42f-c435-42ca-9531-75a3f42aae3d_Enabled" fmtid="{D5CDD505-2E9C-101B-9397-08002B2CF9AE}" pid="2">
    <vt:lpwstr>true</vt:lpwstr>
  </property>
  <property name="MSIP_Label_4791b42f-c435-42ca-9531-75a3f42aae3d_SetDate" fmtid="{D5CDD505-2E9C-101B-9397-08002B2CF9AE}" pid="3">
    <vt:lpwstr>2024-04-15T21:09:09Z</vt:lpwstr>
  </property>
  <property name="MSIP_Label_4791b42f-c435-42ca-9531-75a3f42aae3d_Method" fmtid="{D5CDD505-2E9C-101B-9397-08002B2CF9AE}" pid="4">
    <vt:lpwstr>Privileged</vt:lpwstr>
  </property>
  <property name="MSIP_Label_4791b42f-c435-42ca-9531-75a3f42aae3d_Name" fmtid="{D5CDD505-2E9C-101B-9397-08002B2CF9AE}" pid="5">
    <vt:lpwstr>4791b42f-c435-42ca-9531-75a3f42aae3d</vt:lpwstr>
  </property>
  <property name="MSIP_Label_4791b42f-c435-42ca-9531-75a3f42aae3d_SiteId" fmtid="{D5CDD505-2E9C-101B-9397-08002B2CF9AE}" pid="6">
    <vt:lpwstr>7a916015-20ae-4ad1-9170-eefd915e9272</vt:lpwstr>
  </property>
  <property name="MSIP_Label_4791b42f-c435-42ca-9531-75a3f42aae3d_ActionId" fmtid="{D5CDD505-2E9C-101B-9397-08002B2CF9AE}" pid="7">
    <vt:lpwstr>a5adbada-ee90-4aa5-b622-c8c00884043c</vt:lpwstr>
  </property>
  <property name="MSIP_Label_4791b42f-c435-42ca-9531-75a3f42aae3d_ContentBits" fmtid="{D5CDD505-2E9C-101B-9397-08002B2CF9AE}" pid="8">
    <vt:lpwstr>0</vt:lpwstr>
  </property>
  <property name="ContentTypeId" fmtid="{D5CDD505-2E9C-101B-9397-08002B2CF9AE}" pid="9">
    <vt:lpwstr>0x0101002B3B1E9AF76D8540A21B723585178CF2</vt:lpwstr>
  </property>
</Properties>
</file>