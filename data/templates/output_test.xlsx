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4" documentId="11_A50C4EC6130B952DCA564159EBA3D51BB14A005E" xr6:coauthVersionLast="47" xr6:coauthVersionMax="47" xr10:uidLastSave="{BA2D3F69-FBFA-4933-B149-B247655C8EF2}"/>
  <bookViews>
    <workbookView xWindow="-120" yWindow="-120" windowWidth="23280" windowHeight="12480" tabRatio="590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Data'!$A$1:$BZ$2</definedName>
    <definedName name="_xlnm._FilterDatabase" localSheetId="0" hidden="1">Template!$A$14:$BY$66</definedName>
    <definedName name="_xlnm._FilterDatabase" localSheetId="2" hidden="1">'Transactions Source Data'!$A$1:$BH$44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65" i="1" l="1"/>
  <c r="BP65" i="1"/>
  <c r="BK65" i="1"/>
  <c r="BF65" i="1"/>
  <c r="BA65" i="1"/>
  <c r="AV65" i="1"/>
  <c r="AQ65" i="1"/>
  <c r="AL65" i="1"/>
  <c r="AG65" i="1"/>
  <c r="R65" i="1"/>
  <c r="BU64" i="1"/>
  <c r="BP64" i="1"/>
  <c r="BK64" i="1"/>
  <c r="BF64" i="1"/>
  <c r="BA64" i="1"/>
  <c r="AV64" i="1"/>
  <c r="AQ64" i="1"/>
  <c r="AL64" i="1"/>
  <c r="AG64" i="1"/>
  <c r="AB64" i="1"/>
  <c r="W64" i="1"/>
  <c r="R64" i="1"/>
  <c r="BU63" i="1"/>
  <c r="BP63" i="1"/>
  <c r="BK63" i="1"/>
  <c r="BF63" i="1"/>
  <c r="BA63" i="1"/>
  <c r="AV63" i="1"/>
  <c r="AQ63" i="1"/>
  <c r="AL63" i="1"/>
  <c r="AG63" i="1"/>
  <c r="AB63" i="1"/>
  <c r="W63" i="1"/>
  <c r="R63" i="1"/>
  <c r="BU62" i="1"/>
  <c r="BP62" i="1"/>
  <c r="BK62" i="1"/>
  <c r="BF62" i="1"/>
  <c r="BA62" i="1"/>
  <c r="AV62" i="1"/>
  <c r="AQ62" i="1"/>
  <c r="AL62" i="1"/>
  <c r="AG62" i="1"/>
  <c r="AB62" i="1"/>
  <c r="W62" i="1"/>
  <c r="R62" i="1"/>
  <c r="BU61" i="1"/>
  <c r="BP61" i="1"/>
  <c r="BK61" i="1"/>
  <c r="BF61" i="1"/>
  <c r="BA61" i="1"/>
  <c r="AV61" i="1"/>
  <c r="AQ61" i="1"/>
  <c r="AL61" i="1"/>
  <c r="AG61" i="1"/>
  <c r="AB61" i="1"/>
  <c r="W61" i="1"/>
  <c r="R61" i="1"/>
  <c r="BU60" i="1"/>
  <c r="BP60" i="1"/>
  <c r="BK60" i="1"/>
  <c r="BF60" i="1"/>
  <c r="BA60" i="1"/>
  <c r="AV60" i="1"/>
  <c r="AQ60" i="1"/>
  <c r="AL60" i="1"/>
  <c r="AG60" i="1"/>
  <c r="AB60" i="1"/>
  <c r="W60" i="1"/>
  <c r="R60" i="1"/>
  <c r="BU59" i="1"/>
  <c r="BP59" i="1"/>
  <c r="BK59" i="1"/>
  <c r="BF59" i="1"/>
  <c r="BA59" i="1"/>
  <c r="AV59" i="1"/>
  <c r="AQ59" i="1"/>
  <c r="AL59" i="1"/>
  <c r="AG59" i="1"/>
  <c r="AB59" i="1"/>
  <c r="W59" i="1"/>
  <c r="R59" i="1"/>
  <c r="BU58" i="1"/>
  <c r="BP58" i="1"/>
  <c r="BK58" i="1"/>
  <c r="BF58" i="1"/>
  <c r="BA58" i="1"/>
  <c r="AV58" i="1"/>
  <c r="AQ58" i="1"/>
  <c r="AL58" i="1"/>
  <c r="AG58" i="1"/>
  <c r="AB58" i="1"/>
  <c r="W58" i="1"/>
  <c r="R58" i="1"/>
  <c r="BU57" i="1"/>
  <c r="BP57" i="1"/>
  <c r="BK57" i="1"/>
  <c r="BF57" i="1"/>
  <c r="BA57" i="1"/>
  <c r="AV57" i="1"/>
  <c r="AQ57" i="1"/>
  <c r="AL57" i="1"/>
  <c r="AG57" i="1"/>
  <c r="AB57" i="1"/>
  <c r="W57" i="1"/>
  <c r="R57" i="1"/>
  <c r="BU56" i="1"/>
  <c r="BP56" i="1"/>
  <c r="BK56" i="1"/>
  <c r="BF56" i="1"/>
  <c r="BA56" i="1"/>
  <c r="AV56" i="1"/>
  <c r="AQ56" i="1"/>
  <c r="AL56" i="1"/>
  <c r="AG56" i="1"/>
  <c r="AB56" i="1"/>
  <c r="W56" i="1"/>
  <c r="R56" i="1"/>
  <c r="BU55" i="1"/>
  <c r="BP55" i="1"/>
  <c r="BK55" i="1"/>
  <c r="BF55" i="1"/>
  <c r="BA55" i="1"/>
  <c r="AV55" i="1"/>
  <c r="AQ55" i="1"/>
  <c r="AL55" i="1"/>
  <c r="AG55" i="1"/>
  <c r="AB55" i="1"/>
  <c r="W55" i="1"/>
  <c r="R55" i="1"/>
  <c r="BU54" i="1"/>
  <c r="BP54" i="1"/>
  <c r="BK54" i="1"/>
  <c r="BF54" i="1"/>
  <c r="BA54" i="1"/>
  <c r="AV54" i="1"/>
  <c r="AQ54" i="1"/>
  <c r="AL54" i="1"/>
  <c r="AG54" i="1"/>
  <c r="AB54" i="1"/>
  <c r="W54" i="1"/>
  <c r="R54" i="1"/>
  <c r="BU53" i="1"/>
  <c r="BP53" i="1"/>
  <c r="BK53" i="1"/>
  <c r="BF53" i="1"/>
  <c r="BA53" i="1"/>
  <c r="AV53" i="1"/>
  <c r="AQ53" i="1"/>
  <c r="AL53" i="1"/>
  <c r="AG53" i="1"/>
  <c r="AB53" i="1"/>
  <c r="W53" i="1"/>
  <c r="R53" i="1"/>
  <c r="BU52" i="1"/>
  <c r="BP52" i="1"/>
  <c r="BK52" i="1"/>
  <c r="BF52" i="1"/>
  <c r="BA52" i="1"/>
  <c r="AV52" i="1"/>
  <c r="AQ52" i="1"/>
  <c r="AL52" i="1"/>
  <c r="AG52" i="1"/>
  <c r="AB52" i="1"/>
  <c r="W52" i="1"/>
  <c r="R52" i="1"/>
  <c r="BU51" i="1"/>
  <c r="BP51" i="1"/>
  <c r="BK51" i="1"/>
  <c r="BF51" i="1"/>
  <c r="BA51" i="1"/>
  <c r="AV51" i="1"/>
  <c r="AQ51" i="1"/>
  <c r="AL51" i="1"/>
  <c r="AG51" i="1"/>
  <c r="AB51" i="1"/>
  <c r="W51" i="1"/>
  <c r="R51" i="1"/>
  <c r="BU50" i="1"/>
  <c r="BP50" i="1"/>
  <c r="BK50" i="1"/>
  <c r="BF50" i="1"/>
  <c r="BA50" i="1"/>
  <c r="AV50" i="1"/>
  <c r="AQ50" i="1"/>
  <c r="AL50" i="1"/>
  <c r="AG50" i="1"/>
  <c r="AB50" i="1"/>
  <c r="W50" i="1"/>
  <c r="R50" i="1"/>
  <c r="BU49" i="1"/>
  <c r="BP49" i="1"/>
  <c r="BK49" i="1"/>
  <c r="BF49" i="1"/>
  <c r="BA49" i="1"/>
  <c r="AV49" i="1"/>
  <c r="AQ49" i="1"/>
  <c r="AL49" i="1"/>
  <c r="AG49" i="1"/>
  <c r="AB49" i="1"/>
  <c r="W49" i="1"/>
  <c r="R49" i="1"/>
  <c r="BU48" i="1"/>
  <c r="BP48" i="1"/>
  <c r="BK48" i="1"/>
  <c r="BF48" i="1"/>
  <c r="BA48" i="1"/>
  <c r="AV48" i="1"/>
  <c r="AQ48" i="1"/>
  <c r="AL48" i="1"/>
  <c r="AG48" i="1"/>
  <c r="AB48" i="1"/>
  <c r="W48" i="1"/>
  <c r="R48" i="1"/>
  <c r="BU47" i="1"/>
  <c r="BP47" i="1"/>
  <c r="BK47" i="1"/>
  <c r="BF47" i="1"/>
  <c r="BA47" i="1"/>
  <c r="AV47" i="1"/>
  <c r="AQ47" i="1"/>
  <c r="AL47" i="1"/>
  <c r="AG47" i="1"/>
  <c r="AB47" i="1"/>
  <c r="W47" i="1"/>
  <c r="R47" i="1"/>
  <c r="BU46" i="1"/>
  <c r="BP46" i="1"/>
  <c r="BK46" i="1"/>
  <c r="BF46" i="1"/>
  <c r="BA46" i="1"/>
  <c r="AV46" i="1"/>
  <c r="AQ46" i="1"/>
  <c r="AL46" i="1"/>
  <c r="AG46" i="1"/>
  <c r="AB46" i="1"/>
  <c r="W46" i="1"/>
  <c r="R46" i="1"/>
  <c r="BU45" i="1"/>
  <c r="BP45" i="1"/>
  <c r="BK45" i="1"/>
  <c r="BF45" i="1"/>
  <c r="BA45" i="1"/>
  <c r="AV45" i="1"/>
  <c r="AQ45" i="1"/>
  <c r="AL45" i="1"/>
  <c r="AG45" i="1"/>
  <c r="AB45" i="1"/>
  <c r="W45" i="1"/>
  <c r="R45" i="1"/>
  <c r="BU44" i="1"/>
  <c r="BP44" i="1"/>
  <c r="BK44" i="1"/>
  <c r="BF44" i="1"/>
  <c r="BA44" i="1"/>
  <c r="AV44" i="1"/>
  <c r="AQ44" i="1"/>
  <c r="AL44" i="1"/>
  <c r="AG44" i="1"/>
  <c r="AB44" i="1"/>
  <c r="W44" i="1"/>
  <c r="R44" i="1"/>
  <c r="BU43" i="1"/>
  <c r="BP43" i="1"/>
  <c r="BK43" i="1"/>
  <c r="BF43" i="1"/>
  <c r="BA43" i="1"/>
  <c r="AV43" i="1"/>
  <c r="AQ43" i="1"/>
  <c r="AL43" i="1"/>
  <c r="AG43" i="1"/>
  <c r="AB43" i="1"/>
  <c r="W43" i="1"/>
  <c r="R43" i="1"/>
  <c r="BU42" i="1"/>
  <c r="BP42" i="1"/>
  <c r="BK42" i="1"/>
  <c r="BF42" i="1"/>
  <c r="BA42" i="1"/>
  <c r="AV42" i="1"/>
  <c r="AQ42" i="1"/>
  <c r="AL42" i="1"/>
  <c r="AG42" i="1"/>
  <c r="AB42" i="1"/>
  <c r="W42" i="1"/>
  <c r="R42" i="1"/>
  <c r="BU41" i="1"/>
  <c r="BP41" i="1"/>
  <c r="BK41" i="1"/>
  <c r="BF41" i="1"/>
  <c r="BA41" i="1"/>
  <c r="AV41" i="1"/>
  <c r="AQ41" i="1"/>
  <c r="AL41" i="1"/>
  <c r="AG41" i="1"/>
  <c r="AB41" i="1"/>
  <c r="W41" i="1"/>
  <c r="R41" i="1"/>
  <c r="BU40" i="1"/>
  <c r="BP40" i="1"/>
  <c r="BK40" i="1"/>
  <c r="BF40" i="1"/>
  <c r="BA40" i="1"/>
  <c r="AV40" i="1"/>
  <c r="AQ40" i="1"/>
  <c r="AL40" i="1"/>
  <c r="AG40" i="1"/>
  <c r="AB40" i="1"/>
  <c r="W40" i="1"/>
  <c r="R40" i="1"/>
  <c r="BU39" i="1"/>
  <c r="BP39" i="1"/>
  <c r="BK39" i="1"/>
  <c r="BF39" i="1"/>
  <c r="BA39" i="1"/>
  <c r="AV39" i="1"/>
  <c r="AQ39" i="1"/>
  <c r="AL39" i="1"/>
  <c r="AG39" i="1"/>
  <c r="AB39" i="1"/>
  <c r="W39" i="1"/>
  <c r="R39" i="1"/>
  <c r="BU38" i="1"/>
  <c r="BP38" i="1"/>
  <c r="BK38" i="1"/>
  <c r="BF38" i="1"/>
  <c r="BA38" i="1"/>
  <c r="AV38" i="1"/>
  <c r="AQ38" i="1"/>
  <c r="AL38" i="1"/>
  <c r="AG38" i="1"/>
  <c r="AB38" i="1"/>
  <c r="W38" i="1"/>
  <c r="R38" i="1"/>
  <c r="BU37" i="1"/>
  <c r="BP37" i="1"/>
  <c r="BK37" i="1"/>
  <c r="BF37" i="1"/>
  <c r="BA37" i="1"/>
  <c r="AV37" i="1"/>
  <c r="AQ37" i="1"/>
  <c r="AL37" i="1"/>
  <c r="AG37" i="1"/>
  <c r="AB37" i="1"/>
  <c r="W37" i="1"/>
  <c r="R37" i="1"/>
  <c r="BU36" i="1"/>
  <c r="BP36" i="1"/>
  <c r="BK36" i="1"/>
  <c r="BF36" i="1"/>
  <c r="BA36" i="1"/>
  <c r="AV36" i="1"/>
  <c r="AQ36" i="1"/>
  <c r="AL36" i="1"/>
  <c r="AG36" i="1"/>
  <c r="AB36" i="1"/>
  <c r="W36" i="1"/>
  <c r="R36" i="1"/>
  <c r="BU35" i="1"/>
  <c r="BP35" i="1"/>
  <c r="BK35" i="1"/>
  <c r="BF35" i="1"/>
  <c r="BA35" i="1"/>
  <c r="AV35" i="1"/>
  <c r="AQ35" i="1"/>
  <c r="AL35" i="1"/>
  <c r="AG35" i="1"/>
  <c r="AB35" i="1"/>
  <c r="W35" i="1"/>
  <c r="R35" i="1"/>
  <c r="BU34" i="1"/>
  <c r="BP34" i="1"/>
  <c r="BK34" i="1"/>
  <c r="BF34" i="1"/>
  <c r="BA34" i="1"/>
  <c r="AV34" i="1"/>
  <c r="AQ34" i="1"/>
  <c r="AL34" i="1"/>
  <c r="AG34" i="1"/>
  <c r="AB34" i="1"/>
  <c r="W34" i="1"/>
  <c r="R34" i="1"/>
  <c r="BU33" i="1"/>
  <c r="BP33" i="1"/>
  <c r="BK33" i="1"/>
  <c r="BF33" i="1"/>
  <c r="BA33" i="1"/>
  <c r="AV33" i="1"/>
  <c r="AQ33" i="1"/>
  <c r="AL33" i="1"/>
  <c r="AG33" i="1"/>
  <c r="AB33" i="1"/>
  <c r="W33" i="1"/>
  <c r="R33" i="1"/>
  <c r="BU32" i="1"/>
  <c r="BP32" i="1"/>
  <c r="BK32" i="1"/>
  <c r="BF32" i="1"/>
  <c r="BA32" i="1"/>
  <c r="AV32" i="1"/>
  <c r="AQ32" i="1"/>
  <c r="AL32" i="1"/>
  <c r="AG32" i="1"/>
  <c r="AB32" i="1"/>
  <c r="W32" i="1"/>
  <c r="R32" i="1"/>
  <c r="BU31" i="1"/>
  <c r="BP31" i="1"/>
  <c r="BK31" i="1"/>
  <c r="BF31" i="1"/>
  <c r="BA31" i="1"/>
  <c r="AV31" i="1"/>
  <c r="AQ31" i="1"/>
  <c r="AL31" i="1"/>
  <c r="AG31" i="1"/>
  <c r="AB31" i="1"/>
  <c r="W31" i="1"/>
  <c r="R31" i="1"/>
  <c r="BU30" i="1"/>
  <c r="BP30" i="1"/>
  <c r="BK30" i="1"/>
  <c r="BF30" i="1"/>
  <c r="BA30" i="1"/>
  <c r="AV30" i="1"/>
  <c r="AQ30" i="1"/>
  <c r="AL30" i="1"/>
  <c r="AG30" i="1"/>
  <c r="AB30" i="1"/>
  <c r="W30" i="1"/>
  <c r="R30" i="1"/>
  <c r="BU29" i="1"/>
  <c r="BP29" i="1"/>
  <c r="BK29" i="1"/>
  <c r="BF29" i="1"/>
  <c r="BA29" i="1"/>
  <c r="AV29" i="1"/>
  <c r="AQ29" i="1"/>
  <c r="AL29" i="1"/>
  <c r="AG29" i="1"/>
  <c r="AB29" i="1"/>
  <c r="W29" i="1"/>
  <c r="R29" i="1"/>
  <c r="BU28" i="1"/>
  <c r="BP28" i="1"/>
  <c r="BK28" i="1"/>
  <c r="BF28" i="1"/>
  <c r="BA28" i="1"/>
  <c r="AV28" i="1"/>
  <c r="AQ28" i="1"/>
  <c r="AL28" i="1"/>
  <c r="AG28" i="1"/>
  <c r="AB28" i="1"/>
  <c r="W28" i="1"/>
  <c r="R28" i="1"/>
  <c r="BU27" i="1"/>
  <c r="BP27" i="1"/>
  <c r="BK27" i="1"/>
  <c r="BF27" i="1"/>
  <c r="BA27" i="1"/>
  <c r="AV27" i="1"/>
  <c r="AQ27" i="1"/>
  <c r="AL27" i="1"/>
  <c r="AG27" i="1"/>
  <c r="AB27" i="1"/>
  <c r="W27" i="1"/>
  <c r="R27" i="1"/>
  <c r="BU26" i="1"/>
  <c r="BP26" i="1"/>
  <c r="BK26" i="1"/>
  <c r="BF26" i="1"/>
  <c r="BA26" i="1"/>
  <c r="AV26" i="1"/>
  <c r="AQ26" i="1"/>
  <c r="AL26" i="1"/>
  <c r="AG26" i="1"/>
  <c r="AB26" i="1"/>
  <c r="W26" i="1"/>
  <c r="R26" i="1"/>
  <c r="BU25" i="1"/>
  <c r="BP25" i="1"/>
  <c r="BK25" i="1"/>
  <c r="BF25" i="1"/>
  <c r="BA25" i="1"/>
  <c r="AV25" i="1"/>
  <c r="AQ25" i="1"/>
  <c r="AL25" i="1"/>
  <c r="AG25" i="1"/>
  <c r="AB25" i="1"/>
  <c r="W25" i="1"/>
  <c r="R25" i="1"/>
  <c r="BU24" i="1"/>
  <c r="BP24" i="1"/>
  <c r="BK24" i="1"/>
  <c r="BF24" i="1"/>
  <c r="BA24" i="1"/>
  <c r="AV24" i="1"/>
  <c r="AQ24" i="1"/>
  <c r="AL24" i="1"/>
  <c r="AG24" i="1"/>
  <c r="AB24" i="1"/>
  <c r="W24" i="1"/>
  <c r="R24" i="1"/>
  <c r="BU23" i="1"/>
  <c r="BP23" i="1"/>
  <c r="BK23" i="1"/>
  <c r="BF23" i="1"/>
  <c r="BA23" i="1"/>
  <c r="AV23" i="1"/>
  <c r="AQ23" i="1"/>
  <c r="AL23" i="1"/>
  <c r="AG23" i="1"/>
  <c r="AB23" i="1"/>
  <c r="W23" i="1"/>
  <c r="R23" i="1"/>
  <c r="BU22" i="1"/>
  <c r="BP22" i="1"/>
  <c r="BK22" i="1"/>
  <c r="BF22" i="1"/>
  <c r="BA22" i="1"/>
  <c r="AV22" i="1"/>
  <c r="AQ22" i="1"/>
  <c r="AL22" i="1"/>
  <c r="AG22" i="1"/>
  <c r="AB22" i="1"/>
  <c r="W22" i="1"/>
  <c r="R22" i="1"/>
  <c r="BU21" i="1"/>
  <c r="BP21" i="1"/>
  <c r="BK21" i="1"/>
  <c r="BF21" i="1"/>
  <c r="BA21" i="1"/>
  <c r="AV21" i="1"/>
  <c r="AQ21" i="1"/>
  <c r="AL21" i="1"/>
  <c r="AG21" i="1"/>
  <c r="AB21" i="1"/>
  <c r="W21" i="1"/>
  <c r="R21" i="1"/>
  <c r="BU20" i="1"/>
  <c r="BP20" i="1"/>
  <c r="BK20" i="1"/>
  <c r="BF20" i="1"/>
  <c r="BA20" i="1"/>
  <c r="AV20" i="1"/>
  <c r="AQ20" i="1"/>
  <c r="AL20" i="1"/>
  <c r="AG20" i="1"/>
  <c r="AB20" i="1"/>
  <c r="W20" i="1"/>
  <c r="R20" i="1"/>
  <c r="BU19" i="1"/>
  <c r="BP19" i="1"/>
  <c r="BK19" i="1"/>
  <c r="BF19" i="1"/>
  <c r="BA19" i="1"/>
  <c r="AV19" i="1"/>
  <c r="AQ19" i="1"/>
  <c r="AL19" i="1"/>
  <c r="AG19" i="1"/>
  <c r="AB19" i="1"/>
  <c r="W19" i="1"/>
  <c r="R19" i="1"/>
  <c r="BU18" i="1"/>
  <c r="BP18" i="1"/>
  <c r="BK18" i="1"/>
  <c r="BF18" i="1"/>
  <c r="BA18" i="1"/>
  <c r="AV18" i="1"/>
  <c r="AQ18" i="1"/>
  <c r="AL18" i="1"/>
  <c r="AG18" i="1"/>
  <c r="AB18" i="1"/>
  <c r="W18" i="1"/>
  <c r="R18" i="1"/>
  <c r="BU17" i="1"/>
  <c r="BP17" i="1"/>
  <c r="BK17" i="1"/>
  <c r="BF17" i="1"/>
  <c r="BA17" i="1"/>
  <c r="AV17" i="1"/>
  <c r="AQ17" i="1"/>
  <c r="AL17" i="1"/>
  <c r="AG17" i="1"/>
  <c r="AB17" i="1"/>
  <c r="W17" i="1"/>
  <c r="R17" i="1"/>
  <c r="BU16" i="1"/>
  <c r="BP16" i="1"/>
  <c r="BK16" i="1"/>
  <c r="BF16" i="1"/>
  <c r="BA16" i="1"/>
  <c r="AV16" i="1"/>
  <c r="AQ16" i="1"/>
  <c r="AL16" i="1"/>
  <c r="AG16" i="1"/>
  <c r="AB16" i="1"/>
  <c r="W16" i="1"/>
  <c r="R16" i="1"/>
  <c r="BU15" i="1"/>
  <c r="BQ11" i="1" s="1" a="1"/>
  <c r="BQ11" i="1" s="1"/>
  <c r="BP15" i="1"/>
  <c r="BK15" i="1"/>
  <c r="BG11" i="1" s="1" a="1"/>
  <c r="BG11" i="1" s="1"/>
  <c r="BF15" i="1"/>
  <c r="BA15" i="1"/>
  <c r="AW11" i="1" s="1" a="1"/>
  <c r="AW11" i="1" s="1"/>
  <c r="AV15" i="1"/>
  <c r="AR11" i="1" s="1" a="1"/>
  <c r="AR11" i="1" s="1"/>
  <c r="AQ15" i="1"/>
  <c r="AM11" i="1" s="1" a="1"/>
  <c r="AM11" i="1" s="1"/>
  <c r="AL15" i="1"/>
  <c r="AG15" i="1"/>
  <c r="AC11" i="1" s="1" a="1"/>
  <c r="AC11" i="1" s="1"/>
  <c r="AB15" i="1"/>
  <c r="W15" i="1"/>
  <c r="S11" i="1" s="1" a="1"/>
  <c r="S11" i="1" s="1"/>
  <c r="R15" i="1"/>
  <c r="BV13" i="1"/>
  <c r="BW11" i="1" s="1"/>
  <c r="K13" i="1"/>
  <c r="BQ12" i="1" a="1"/>
  <c r="BQ12" i="1" s="1"/>
  <c r="BL12" i="1" a="1"/>
  <c r="BL12" i="1"/>
  <c r="BG12" i="1" a="1"/>
  <c r="BG12" i="1" s="1"/>
  <c r="BB12" i="1" a="1"/>
  <c r="BB12" i="1" s="1"/>
  <c r="AW12" i="1" a="1"/>
  <c r="AW12" i="1" s="1"/>
  <c r="AR12" i="1" a="1"/>
  <c r="AR12" i="1"/>
  <c r="AM12" i="1" a="1"/>
  <c r="AM12" i="1" s="1"/>
  <c r="AH12" i="1" a="1"/>
  <c r="AH12" i="1" s="1"/>
  <c r="AC12" i="1" a="1"/>
  <c r="AC12" i="1" s="1"/>
  <c r="X12" i="1" a="1"/>
  <c r="X12" i="1" s="1"/>
  <c r="S12" i="1" a="1"/>
  <c r="S12" i="1" s="1"/>
  <c r="N12" i="1" a="1"/>
  <c r="N12" i="1" s="1"/>
  <c r="BL11" i="1" a="1"/>
  <c r="BL11" i="1" s="1"/>
  <c r="BB11" i="1" a="1"/>
  <c r="BB11" i="1" s="1"/>
  <c r="AH11" i="1" a="1"/>
  <c r="AH11" i="1" s="1"/>
  <c r="X11" i="1" a="1"/>
  <c r="X11" i="1" s="1"/>
  <c r="N11" i="1" a="1"/>
  <c r="N11" i="1" s="1"/>
  <c r="E6" i="1"/>
  <c r="G3" i="1"/>
</calcChain>
</file>

<file path=xl/sharedStrings.xml><?xml version="1.0" encoding="utf-8"?>
<sst xmlns="http://schemas.openxmlformats.org/spreadsheetml/2006/main" count="1616" uniqueCount="451">
  <si>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</si>
  <si>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</si>
  <si>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</si>
  <si>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</si>
  <si>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</si>
  <si>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</si>
  <si>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</si>
  <si>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</si>
  <si>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</si>
  <si>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</si>
  <si>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</si>
  <si>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</si>
  <si>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</si>
  <si>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</si>
  <si>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</si>
  <si>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</si>
  <si>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</si>
  <si>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</si>
  <si>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</si>
  <si>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</si>
  <si>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</si>
  <si>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</si>
  <si>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</si>
  <si>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</si>
  <si>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</si>
  <si>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</si>
  <si>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</si>
  <si>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</si>
  <si>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</si>
  <si>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</si>
  <si>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</si>
  <si>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</si>
  <si>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</si>
  <si>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</si>
  <si>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</si>
  <si>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</si>
  <si>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</si>
  <si>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</si>
  <si>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</si>
  <si>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</si>
  <si>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</si>
  <si>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</si>
  <si>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</si>
  <si>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</si>
  <si>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</si>
  <si>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</si>
  <si>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</si>
  <si>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</si>
  <si>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</si>
  <si>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</si>
  <si>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</si>
  <si>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</si>
  <si>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</si>
  <si>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</si>
  <si>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</si>
  <si>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</si>
  <si>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</si>
  <si>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</si>
  <si>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</si>
  <si>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</si>
  <si>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</si>
  <si>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</si>
  <si>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</si>
  <si>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</si>
  <si>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</si>
  <si>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</si>
  <si>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</si>
  <si>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</si>
  <si>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</si>
  <si>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</si>
  <si>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</si>
  <si>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</si>
  <si>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</si>
  <si>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</si>
  <si>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</si>
  <si>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</si>
  <si>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</si>
  <si>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</si>
  <si>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</si>
  <si>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</si>
  <si>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</si>
  <si>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</si>
  <si>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t>CPA Budget &lt;YEAR&gt;</t>
  </si>
  <si>
    <t>Comments</t>
  </si>
  <si>
    <t>Ram</t>
  </si>
  <si>
    <t>9501133449</t>
  </si>
  <si>
    <t>Infosys</t>
  </si>
  <si>
    <t>IT-FBT0393-OG-JP-00</t>
  </si>
  <si>
    <t>JAPAN</t>
  </si>
  <si>
    <t>SAP FICO L2 Support 2026H1</t>
  </si>
  <si>
    <t>OPEN</t>
  </si>
  <si>
    <t>9501133442</t>
  </si>
  <si>
    <t>Tenon</t>
  </si>
  <si>
    <t>IT-FBT0638-OG-JP-00</t>
  </si>
  <si>
    <t>Finance System Support FY2026</t>
  </si>
  <si>
    <t>9100561560</t>
  </si>
  <si>
    <t>SHI INTERNATIONAL CORP</t>
  </si>
  <si>
    <t>IT-SFT1434-OG-US-00</t>
  </si>
  <si>
    <t>US</t>
  </si>
  <si>
    <t>SWC Elasticsearch (4/25/2026 – 4/24/2027) (LeslieM)</t>
  </si>
  <si>
    <t>9501079958</t>
  </si>
  <si>
    <t>ORACLE AMERICA INC</t>
  </si>
  <si>
    <t>Ram 50-50</t>
  </si>
  <si>
    <t>9501215650</t>
  </si>
  <si>
    <t>SAP</t>
  </si>
  <si>
    <t>IT-FBT0528-OG-US-0</t>
  </si>
  <si>
    <t xml:space="preserve">Ariba Offshore Technical Consultant </t>
  </si>
  <si>
    <t>From Karla to Ram on 2/13</t>
  </si>
  <si>
    <t xml:space="preserve">IT-FBT0245-OG-US-00 </t>
  </si>
  <si>
    <t>Enterprise Integration Hub (EIH) repository and support</t>
  </si>
  <si>
    <t>To Do in October 2026</t>
  </si>
  <si>
    <t>Tenon: Japan SAP BI &amp; SD Support</t>
  </si>
  <si>
    <t>IT-SFT0170-86-OG-US</t>
  </si>
  <si>
    <t>IT-SFT0170-86-OG-US - Broadcom (Job Scheduler)</t>
  </si>
  <si>
    <t>IT-SFT1441-OG-US-00</t>
  </si>
  <si>
    <t>IT-SFT1441-OG-US-00 - AIOps - IBM Process Automation Manager</t>
  </si>
  <si>
    <t>IT-FBT0588-OG-US-00</t>
  </si>
  <si>
    <t>IT-FBT0588-OG-US-00 - Infrastructure Charges - SSL VPN - Partner Connect (SAP AG iVPN site-to-site)</t>
  </si>
  <si>
    <t>IT-FBT0403-OG-US-00</t>
  </si>
  <si>
    <t>AI Center of Excellence (COE) Infrastructure Support &amp; GDO Support for Ariba Bot</t>
  </si>
  <si>
    <t>IT-FBT0770-OT-US-00</t>
  </si>
  <si>
    <t>Legacy PS HR &amp; GRW Related charges</t>
  </si>
  <si>
    <t>IT-FBT0665-OG-US-00</t>
  </si>
  <si>
    <t>Infrastructure Charges - SAP Backoffice - Cloud AWS</t>
  </si>
  <si>
    <t>IT-FBT0675-OG-US-00</t>
  </si>
  <si>
    <t>Infrastructure Charges</t>
  </si>
  <si>
    <t>IT-FBT0693-OG-US-00</t>
  </si>
  <si>
    <t>IT-FBT0769-OT-US-00</t>
  </si>
  <si>
    <t>PFIZER APPS related charges (Cloud AWS, Data Protection)</t>
  </si>
  <si>
    <t>IT-FGS0298-SW-US-00</t>
  </si>
  <si>
    <t>JFrog Artifactory Repository Monthly Charge</t>
  </si>
  <si>
    <t>IT-FGS0299-OG-US-00</t>
  </si>
  <si>
    <t>Others (Vending, Meeting event, Devices Unreturned, Applecare, Mac-mgmt, IT Onboard, etc.)</t>
  </si>
  <si>
    <t>IT-FGS0301-OG-US-00</t>
  </si>
  <si>
    <t>Desktop on Demand (VDS)</t>
  </si>
  <si>
    <t>IT-SFT1155-86-OG-US</t>
  </si>
  <si>
    <t>Infrastructure Charges - BTAMS Automations</t>
  </si>
  <si>
    <t>IT-SFT1194-86-OG-US</t>
  </si>
  <si>
    <t>DevSecOps</t>
  </si>
  <si>
    <t>EP&amp;SCharges001</t>
  </si>
  <si>
    <t>Infrastructure Billing Charges</t>
  </si>
  <si>
    <t>IT-FBT0600-OG-US-00</t>
  </si>
  <si>
    <t>Compliance FSA Chargeback</t>
  </si>
  <si>
    <t>Pfizer IBM AIOPS solution</t>
  </si>
  <si>
    <t>2026-XFR-0008-B</t>
  </si>
  <si>
    <t>SAP Fieldglass Vendor Management System Implementation:  - Application/Platform support and maintenance</t>
  </si>
  <si>
    <t>IT-FBT0074-OG-US-00</t>
  </si>
  <si>
    <t>Oracle E-Business Suite Archive Solutions</t>
  </si>
  <si>
    <t>IT-FBT0528-OG-US-00</t>
  </si>
  <si>
    <t>2022 Buy on Demand (BOD) Application Management Services (AMS) Support Costs - Ariba/SAP Product Vendor</t>
  </si>
  <si>
    <t>Old PO9501113130</t>
  </si>
  <si>
    <t>IT-SFT1023-86-OG-US</t>
  </si>
  <si>
    <t>Markov (Mainteannce Renewal) (Pullforward Debit)</t>
  </si>
  <si>
    <t>Old PO9501113089</t>
  </si>
  <si>
    <t>IT-SFT1023-86-OG-US/PF</t>
  </si>
  <si>
    <t>Markov (Mainteannce Renewal) (Pullforward Credit)</t>
  </si>
  <si>
    <t>IT-SFT0175-02-OG-US</t>
  </si>
  <si>
    <t>BizTalk Kovai</t>
  </si>
  <si>
    <t>IT-SFT0234-02-OG-US</t>
  </si>
  <si>
    <t>Monotype Imaging</t>
  </si>
  <si>
    <t>Ram-OLD PO9500903186</t>
  </si>
  <si>
    <t>9501137831</t>
  </si>
  <si>
    <t>TEAM COMPUTERS PRIVATE LIMITED</t>
  </si>
  <si>
    <t>IT-FBT0066-OG-IN-00</t>
  </si>
  <si>
    <t>INDIA</t>
  </si>
  <si>
    <t>TCPL_SAP SOM SME CONSULTANT FROM 1ST DECEMBER 2025 TO 30TH N</t>
  </si>
  <si>
    <t>9501137269</t>
  </si>
  <si>
    <t>PRIME SOFTWARE SOLUTION</t>
  </si>
  <si>
    <t>IT-FBT0637-OG-IN-00</t>
  </si>
  <si>
    <t>PSS_SOFTWARE MAINTENANCE SUPPORT_1ST DECEMBER 2025 TO 30TH N</t>
  </si>
  <si>
    <t>IT FBT0587 OG US 00</t>
  </si>
  <si>
    <t>MPLS Circuit supporting Oracle EPM Cloud FastConnect</t>
  </si>
  <si>
    <t>IT FBT0588 OG US 00</t>
  </si>
  <si>
    <t>Eliminated in LE0 (no budget) - VPN Site to Site supporting SAP AG Germany iVPN</t>
  </si>
  <si>
    <t>9501166164</t>
  </si>
  <si>
    <t>IBM</t>
  </si>
  <si>
    <t>IT-FBT0281-OG-US-00</t>
  </si>
  <si>
    <t>IBM: SAP APPLICATION MANAGED SERVICE (AMS) - CORE / IT-FBT02</t>
  </si>
  <si>
    <t>9501190667</t>
  </si>
  <si>
    <t>SAP Application Managed Service (AMS) - CORE- PCR-01(Collaboration360 Support)</t>
  </si>
  <si>
    <t>Ram-OLD PO9500914310</t>
  </si>
  <si>
    <t>9501199822</t>
  </si>
  <si>
    <t>IT-FBT0282-OG-US-00</t>
  </si>
  <si>
    <t>SAP Application Managed Service "AMS" - SAP Ariba BOD &amp; Ariba On Prem</t>
  </si>
  <si>
    <t>Ram-OLD PO9500914283</t>
  </si>
  <si>
    <t>9501199827</t>
  </si>
  <si>
    <t>SAP Application Managed Service "AMS" - Additional Applications (10 Apps)</t>
  </si>
  <si>
    <t>9501195328</t>
  </si>
  <si>
    <t>IT-MGS0204-OG-US-00</t>
  </si>
  <si>
    <t xml:space="preserve">Seagen Oracle (Annual "AMS" Order) </t>
  </si>
  <si>
    <t>IT-MGS0202-OG-US-00</t>
  </si>
  <si>
    <t>Oracle EBS Software Licenses</t>
  </si>
  <si>
    <t>IT-MGS0203-OG-US-00</t>
  </si>
  <si>
    <t>Oracle OCI Software Usage</t>
  </si>
  <si>
    <t>9501212179</t>
  </si>
  <si>
    <t>12/312026</t>
  </si>
  <si>
    <t>IT-MGS0205-OG-US-00</t>
  </si>
  <si>
    <t>SAP GLNS AMS 2026</t>
  </si>
  <si>
    <t>9501196824</t>
  </si>
  <si>
    <t xml:space="preserve">IT-FBT0282-OG-US-00 </t>
  </si>
  <si>
    <t>IBM ISOW – Application Managed Service "AMS" (Concur PT&amp;E)</t>
  </si>
  <si>
    <t>Ram-OLD PO9500913294</t>
  </si>
  <si>
    <t>9501196865</t>
  </si>
  <si>
    <t>IT-FBT0753-OT-US-00</t>
  </si>
  <si>
    <t>SAP Application Managed Service "AMS" - Delta Applications - FBO Scope</t>
  </si>
  <si>
    <t>9501158806</t>
  </si>
  <si>
    <t>IT-FBT0700-OG-US-00</t>
  </si>
  <si>
    <t>IBM: CELONIS APPLICATION MANAGED SERVICES (AMS) / IT-FBT0700</t>
  </si>
  <si>
    <t>Ram - PF</t>
  </si>
  <si>
    <t>9501159633</t>
  </si>
  <si>
    <t>Oracle</t>
  </si>
  <si>
    <t>IT-SFT0159-86-OG-US</t>
  </si>
  <si>
    <t>ORACLE: ORACLE CUSTOM MANAGED CLOUD SERVICES JDE OCI / IT-SF</t>
  </si>
  <si>
    <t>Madhu Gopinath</t>
  </si>
  <si>
    <t>9501199250</t>
  </si>
  <si>
    <t>IT-FBT0636-OG-IN-00</t>
  </si>
  <si>
    <t xml:space="preserve">India SAP Helpdesk Support (SAP L1 &amp; L1.5) for 2026-27 </t>
  </si>
  <si>
    <t>None</t>
  </si>
  <si>
    <t>Previous Period Invoices</t>
  </si>
  <si>
    <t>EXPENSE END</t>
  </si>
  <si>
    <t>PO #</t>
  </si>
  <si>
    <t>Pfizer requested PO</t>
  </si>
  <si>
    <t>PMA</t>
  </si>
  <si>
    <t>PO Owner</t>
  </si>
  <si>
    <t>Work Code</t>
  </si>
  <si>
    <t>Project Name</t>
  </si>
  <si>
    <t>Project Start Date</t>
  </si>
  <si>
    <t>Project End Date</t>
  </si>
  <si>
    <t>Resource Talent Id</t>
  </si>
  <si>
    <t>Resource Name</t>
  </si>
  <si>
    <t>Bill Rate</t>
  </si>
  <si>
    <t>Location</t>
  </si>
  <si>
    <t>Resource Status</t>
  </si>
  <si>
    <t>Forecast Month Hours</t>
  </si>
  <si>
    <t>Forecast Fee $</t>
  </si>
  <si>
    <t>Forecast Expenses $</t>
  </si>
  <si>
    <t>Forecast Total $</t>
  </si>
  <si>
    <t>Actual Month Hours</t>
  </si>
  <si>
    <t>Acual Fee $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</si>
  <si>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</si>
  <si>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</si>
  <si>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</si>
  <si>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</si>
  <si>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</si>
  <si>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</si>
  <si>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</si>
  <si>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2026 - FFHours</t>
  </si>
  <si>
    <t>Feb 2026 - FHours</t>
  </si>
  <si>
    <t>March 2026 - FHours</t>
  </si>
  <si>
    <t>April 2026 - FHours</t>
  </si>
  <si>
    <t>May 2026 - FHours</t>
  </si>
  <si>
    <t>June 2026 - FHours</t>
  </si>
  <si>
    <t>July 2026 - FHours</t>
  </si>
  <si>
    <t>Aug 2026 - FHours</t>
  </si>
  <si>
    <t>Sep 2026 - FHours</t>
  </si>
  <si>
    <t>Oct 2026 - FHours</t>
  </si>
  <si>
    <t>Nov 2026 - FHours</t>
  </si>
  <si>
    <t>Dec 2026 - FHours</t>
  </si>
  <si>
    <t>2026 Forecast total Fee</t>
  </si>
  <si>
    <t>Jan 2026 - FFee</t>
  </si>
  <si>
    <t>Feb 2026 - FFee</t>
  </si>
  <si>
    <t>March 2026 - FFee</t>
  </si>
  <si>
    <t>April 2026 - FFee</t>
  </si>
  <si>
    <t>May 2026 - FFee</t>
  </si>
  <si>
    <t>June 2026 - FFee</t>
  </si>
  <si>
    <t>July 2026 - FFee</t>
  </si>
  <si>
    <t>Aug 2026 - FFee</t>
  </si>
  <si>
    <t>Sep 2026 - FFee</t>
  </si>
  <si>
    <t>Oct 2026 - FFee</t>
  </si>
  <si>
    <t>Nov 2026 - FFee</t>
  </si>
  <si>
    <t>Dec 2026 - FFee</t>
  </si>
  <si>
    <t>2026 Total Forecast Expenses</t>
  </si>
  <si>
    <t>Jan 2026 - FExpenses</t>
  </si>
  <si>
    <t>Feb 2026 - FExpenses</t>
  </si>
  <si>
    <t>March 2026 - FExpenses</t>
  </si>
  <si>
    <t>April 2026 - FExpenses</t>
  </si>
  <si>
    <t>May 2026 - FExpenses</t>
  </si>
  <si>
    <t>June 2026 - FExpenses</t>
  </si>
  <si>
    <t>July 2026 - FExpenses</t>
  </si>
  <si>
    <t>Aug 2026 - FExpenses</t>
  </si>
  <si>
    <t>Sep 2026 - FExpenses</t>
  </si>
  <si>
    <t>Oct 2026 - FExpenses</t>
  </si>
  <si>
    <t>Nov 2026 - FExpenses</t>
  </si>
  <si>
    <t>Dec 2026 - FExpenses</t>
  </si>
  <si>
    <t>Forecast Total 2026</t>
  </si>
  <si>
    <t>Jan 2026 - FTotal</t>
  </si>
  <si>
    <t>Feb 2026 - FTotal</t>
  </si>
  <si>
    <t>March 2026 - FTotal</t>
  </si>
  <si>
    <t>April 2026 - FTotal</t>
  </si>
  <si>
    <t>May 2026 - FTotal</t>
  </si>
  <si>
    <t>June 2026 - FTotal</t>
  </si>
  <si>
    <t>July 2026 - FTotal</t>
  </si>
  <si>
    <t>Aug 2026 - FTotal</t>
  </si>
  <si>
    <t>Sep 2026 - FTotal</t>
  </si>
  <si>
    <t>Oct 2026 - FTotal</t>
  </si>
  <si>
    <t>Nov 2026 - FTotal</t>
  </si>
  <si>
    <t>Dec 2026 - FTotal</t>
  </si>
  <si>
    <t>PO Total</t>
  </si>
  <si>
    <t>PO Number</t>
  </si>
  <si>
    <t>Accounting Period</t>
  </si>
  <si>
    <t>AP Voucher Number</t>
  </si>
  <si>
    <t>WBS Element</t>
  </si>
  <si>
    <t>GL Invoice Date</t>
  </si>
  <si>
    <t>GL Posting Date</t>
  </si>
  <si>
    <t>Description</t>
  </si>
  <si>
    <t>Month</t>
  </si>
  <si>
    <t>AP02</t>
  </si>
  <si>
    <t>Type</t>
  </si>
  <si>
    <t>Fiscal Year</t>
  </si>
  <si>
    <t>Planful Date</t>
  </si>
  <si>
    <t>Function Code</t>
  </si>
  <si>
    <t>Sub Function Code</t>
  </si>
  <si>
    <t>Cost Center*</t>
  </si>
  <si>
    <t>LT Member*</t>
  </si>
  <si>
    <t>LT Member -1*</t>
  </si>
  <si>
    <t>CC Description</t>
  </si>
  <si>
    <t>CC Level 1</t>
  </si>
  <si>
    <t>CC Level 2</t>
  </si>
  <si>
    <t>Org</t>
  </si>
  <si>
    <t>CC Level 4</t>
  </si>
  <si>
    <t>CC Level 5</t>
  </si>
  <si>
    <t>Major Code</t>
  </si>
  <si>
    <t>Minor Code</t>
  </si>
  <si>
    <t>Exp Acct Minor Code - Text</t>
  </si>
  <si>
    <t>Account*</t>
  </si>
  <si>
    <t>Expense Account Code</t>
  </si>
  <si>
    <t>Division Code</t>
  </si>
  <si>
    <t>Market Code</t>
  </si>
  <si>
    <t>Value Type</t>
  </si>
  <si>
    <t>Document Type</t>
  </si>
  <si>
    <t>Legal Entity</t>
  </si>
  <si>
    <t>Region</t>
  </si>
  <si>
    <t>Project Code*</t>
  </si>
  <si>
    <t>Project Definition</t>
  </si>
  <si>
    <t>GL Description</t>
  </si>
  <si>
    <t>Grouping</t>
  </si>
  <si>
    <t>GL Transaction Number</t>
  </si>
  <si>
    <t>GL Invoice Number</t>
  </si>
  <si>
    <t>Ledger Currency</t>
  </si>
  <si>
    <t>Local Currency</t>
  </si>
  <si>
    <t>Transaction Currency</t>
  </si>
  <si>
    <t>GL MAR Corp Amount</t>
  </si>
  <si>
    <t>GL Local Amount</t>
  </si>
  <si>
    <t>GL BER Corp Amount</t>
  </si>
  <si>
    <t>GL Transaction Amount</t>
  </si>
  <si>
    <t>AP01</t>
  </si>
  <si>
    <t>AP03</t>
  </si>
  <si>
    <t>AP04</t>
  </si>
  <si>
    <t>AP05</t>
  </si>
  <si>
    <t>AP06</t>
  </si>
  <si>
    <t>AP07</t>
  </si>
  <si>
    <t>AP08</t>
  </si>
  <si>
    <t>AP09</t>
  </si>
  <si>
    <t>AP10</t>
  </si>
  <si>
    <t>AP11</t>
  </si>
  <si>
    <t>AP12</t>
  </si>
  <si>
    <t>Not assigned</t>
  </si>
  <si>
    <t>9501133449_1_SAP FICO L2 SUPPORT 2026H1</t>
  </si>
  <si>
    <t>DIGITAL</t>
  </si>
  <si>
    <t>IT110</t>
  </si>
  <si>
    <t>Maguire, Karla</t>
  </si>
  <si>
    <t>Tamavada, Ram</t>
  </si>
  <si>
    <t>3840/8617/86/IT110/2430238</t>
  </si>
  <si>
    <t>DIGITAL AND TECHNOLOGY</t>
  </si>
  <si>
    <t>CTIES</t>
  </si>
  <si>
    <t>ERP</t>
  </si>
  <si>
    <t>DIGITAL OPERATIONS AND COMMAND CENTER</t>
  </si>
  <si>
    <t>ERP SUPPORT SERVICES - JP</t>
  </si>
  <si>
    <t>Managed Services</t>
  </si>
  <si>
    <t>ZY</t>
  </si>
  <si>
    <t>Japan</t>
  </si>
  <si>
    <t>Japan BT Support</t>
  </si>
  <si>
    <t>GL_PO ACCRUAL</t>
  </si>
  <si>
    <t>USD</t>
  </si>
  <si>
    <t>Yen</t>
  </si>
  <si>
    <t>JPY</t>
  </si>
  <si>
    <t>9501133442_1_FINANCE SYSTEM SUPPORT 2025.12.01-202</t>
  </si>
  <si>
    <t>Japan L1/L2 FINANCE</t>
  </si>
  <si>
    <t>AP1 2WM PO ACCRUAL_ 9501137831_1_SAP SOM SME CONSU</t>
  </si>
  <si>
    <t>7280/8011/86/IT110/0002662855 (890) (Net</t>
  </si>
  <si>
    <t>ERP SUPPORT SERVICES - IN</t>
  </si>
  <si>
    <t>Professional Serv-Admin&amp;Commercial</t>
  </si>
  <si>
    <t>Contractors</t>
  </si>
  <si>
    <t>India</t>
  </si>
  <si>
    <t>APAC</t>
  </si>
  <si>
    <t>India L2 Support IT-</t>
  </si>
  <si>
    <t>Rupee</t>
  </si>
  <si>
    <t>INR</t>
  </si>
  <si>
    <t>AP1 2WM PO ACCRUAL_ 9501137269_1_SOFTWARE MAINTENA</t>
  </si>
  <si>
    <t>India Prime Solution</t>
  </si>
  <si>
    <t>ORACLE MANAGED CLOUD SERVICES - (01/01/2</t>
  </si>
  <si>
    <t>Actual</t>
  </si>
  <si>
    <t>IT140</t>
  </si>
  <si>
    <t>1400/8011/86/IT140/0002321403 (890) (Net</t>
  </si>
  <si>
    <t>ERP SUPPORT SERVICES - US</t>
  </si>
  <si>
    <t>Computing/Software</t>
  </si>
  <si>
    <t>Software</t>
  </si>
  <si>
    <t>RE</t>
  </si>
  <si>
    <t>United States</t>
  </si>
  <si>
    <t>AMER</t>
  </si>
  <si>
    <t>E1; 2026 Pullforward</t>
  </si>
  <si>
    <t>US Dollar</t>
  </si>
  <si>
    <t>AC12-E1 ORACLE HOSTING AND MAINTENANCE-OCI</t>
  </si>
  <si>
    <t>AP12 2025WDAC 2</t>
  </si>
  <si>
    <t>PO - 9501166164 - IBM CORP</t>
  </si>
  <si>
    <t>ERP IBM BTAMS</t>
  </si>
  <si>
    <t>BTAMS</t>
  </si>
  <si>
    <t>2WM</t>
  </si>
  <si>
    <t>PO- 9501166164 - IBM CORP</t>
  </si>
  <si>
    <t>2WM ADJ</t>
  </si>
  <si>
    <t>PO - 9501158806 - IBM CORP</t>
  </si>
  <si>
    <t>Celonis Software BTA</t>
  </si>
  <si>
    <t>INFOSYS LTD</t>
  </si>
  <si>
    <t>SAP FICO L2 SUPPORT 2026H1</t>
  </si>
  <si>
    <t>テノン･システムコンサルティング株式会社</t>
  </si>
  <si>
    <t>FINANCE SYSTEM SUPPORT 2025.12.01-2026.1</t>
  </si>
  <si>
    <t>Reversal</t>
  </si>
  <si>
    <t>Accrual</t>
  </si>
  <si>
    <t>SOFTWARE MAINTENANCE SUPPORT FROM 1ST DE</t>
  </si>
  <si>
    <t>SG-643</t>
  </si>
  <si>
    <t>AP2 2WM PO ACCRUAL_ 9501137831_1_SAP SOM SME CONSU</t>
  </si>
  <si>
    <t>AP2 2WM PO ACCRUAL_ 9501137269_1_SOFTWARE MAINTENA</t>
  </si>
  <si>
    <t>#</t>
  </si>
  <si>
    <t>SOFTWARE UPDATE LICENSE &amp; SUPPORT - TERM</t>
  </si>
  <si>
    <t>1400/8011/86/IT140/0002320843 (890) (Net</t>
  </si>
  <si>
    <t>HR &amp; LEGAL SUPPORT - US</t>
  </si>
  <si>
    <t>2026-XFR-0036-A</t>
  </si>
  <si>
    <t>2026 Budget Transfer</t>
  </si>
  <si>
    <t>102180416C1</t>
  </si>
  <si>
    <t>102294155CM</t>
  </si>
  <si>
    <t>ORACLE CORP</t>
  </si>
  <si>
    <t>IBM WW ORDERING AND US INVOICING</t>
  </si>
  <si>
    <t>SAP APPLICATION MANAGED SERVICE "AMS" YE</t>
  </si>
  <si>
    <t>C26BGSY</t>
  </si>
  <si>
    <t>IBM: CELONIS APPLICATION MANAGED SERVICE</t>
  </si>
  <si>
    <t>C26BDF0</t>
  </si>
  <si>
    <t>PO - 9501190667 - IBM CORP</t>
  </si>
  <si>
    <t>PO - 9501199822 - IBM CORP</t>
  </si>
  <si>
    <t>FBO and HR Accenture</t>
  </si>
  <si>
    <t>PO - 9501196824 - IBM CORP</t>
  </si>
  <si>
    <t>PO - 9501199827 - IBM CORP</t>
  </si>
  <si>
    <t>AC02-9501196824- IBM ISOW – APPLICATION MANAGED SE</t>
  </si>
  <si>
    <t>AP02 2026 WDAC 2</t>
  </si>
  <si>
    <t>PO- 9501199822 - IBM CORP</t>
  </si>
  <si>
    <t>AC02-9501158806-IBM: CELONIS APPLICATION MANAGED S</t>
  </si>
  <si>
    <t>PO - 9501196865 - IBM CORP</t>
  </si>
  <si>
    <t>Client Partner Appli</t>
  </si>
  <si>
    <t>AC02-9501196865-SAP APPLICATION MANAGED SERVICE "A</t>
  </si>
  <si>
    <t>PO - 9501195328 - IBM CORP</t>
  </si>
  <si>
    <t>Seagen Oracle long t</t>
  </si>
  <si>
    <t>AC02-9501195328-SEAGEN ORACLE (ANNUAL "AMS" ORDER)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</si>
</sst>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00000"/>
    <numFmt numFmtId="166" formatCode="&quot;$&quot;#,##0.00"/>
    <numFmt numFmtId="167" formatCode="[$-409]dd\-mmm\-yy;@"/>
    <numFmt numFmtId="168" formatCode="mmmm\-yyyy"/>
    <numFmt numFmtId="169" formatCode="yyyy\-mm\-dd\ h:mm:ss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18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1" fillId="0" borderId="0" xfId="0" applyNumberFormat="1" applyFont="1" applyAlignment="1">
      <alignment horizontal="center"/>
    </xf>
    <xf numFmtId="4" fontId="11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5" fillId="2" borderId="15" xfId="0" applyFont="1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164" fontId="0" fillId="2" borderId="18" xfId="0" applyNumberFormat="1" applyFill="1" applyBorder="1" applyAlignment="1">
      <alignment horizontal="right"/>
    </xf>
    <xf numFmtId="164" fontId="3" fillId="2" borderId="18" xfId="0" applyNumberFormat="1" applyFont="1" applyFill="1" applyBorder="1" applyAlignment="1">
      <alignment horizontal="center"/>
    </xf>
    <xf numFmtId="0" fontId="0" fillId="2" borderId="18" xfId="0" applyFill="1" applyBorder="1"/>
    <xf numFmtId="0" fontId="0" fillId="2" borderId="19" xfId="0" applyFill="1" applyBorder="1"/>
    <xf numFmtId="0" fontId="12" fillId="0" borderId="23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2" fillId="0" borderId="22" xfId="0" applyFont="1" applyBorder="1" applyAlignment="1">
      <alignment horizontal="left"/>
    </xf>
    <xf numFmtId="165" fontId="12" fillId="0" borderId="22" xfId="0" applyNumberFormat="1" applyFont="1" applyBorder="1" applyAlignment="1">
      <alignment horizontal="left" vertical="center"/>
    </xf>
    <xf numFmtId="165" fontId="12" fillId="0" borderId="24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4" xfId="0" applyFill="1" applyBorder="1" applyAlignment="1">
      <alignment horizontal="right"/>
    </xf>
    <xf numFmtId="0" fontId="4" fillId="2" borderId="0" xfId="1" applyFill="1" applyAlignment="1">
      <alignment horizontal="right"/>
    </xf>
    <xf numFmtId="0" fontId="0" fillId="2" borderId="27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6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6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6" fontId="0" fillId="0" borderId="0" xfId="0" applyNumberFormat="1" applyAlignment="1">
      <alignment horizontal="left"/>
    </xf>
    <xf numFmtId="166" fontId="3" fillId="0" borderId="0" xfId="0" applyNumberFormat="1" applyFont="1" applyAlignment="1">
      <alignment horizontal="left"/>
    </xf>
    <xf numFmtId="166" fontId="11" fillId="0" borderId="0" xfId="0" applyNumberFormat="1" applyFont="1" applyAlignment="1">
      <alignment horizontal="left"/>
    </xf>
    <xf numFmtId="166" fontId="6" fillId="0" borderId="0" xfId="0" applyNumberFormat="1" applyFont="1" applyAlignment="1">
      <alignment horizontal="left"/>
    </xf>
    <xf numFmtId="0" fontId="3" fillId="6" borderId="28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30" xfId="3" applyFont="1" applyFill="1" applyBorder="1" applyAlignment="1">
      <alignment wrapText="1"/>
    </xf>
    <xf numFmtId="0" fontId="0" fillId="3" borderId="33" xfId="0" applyFill="1" applyBorder="1"/>
    <xf numFmtId="164" fontId="9" fillId="2" borderId="14" xfId="3" applyNumberFormat="1" applyFont="1" applyFill="1" applyBorder="1" applyAlignment="1">
      <alignment horizontal="center" wrapText="1"/>
    </xf>
    <xf numFmtId="164" fontId="9" fillId="2" borderId="34" xfId="3" applyNumberFormat="1" applyFont="1" applyFill="1" applyBorder="1" applyAlignment="1">
      <alignment horizontal="center" wrapText="1"/>
    </xf>
    <xf numFmtId="164" fontId="9" fillId="2" borderId="29" xfId="3" applyNumberFormat="1" applyFont="1" applyFill="1" applyBorder="1" applyAlignment="1">
      <alignment horizontal="center" wrapText="1"/>
    </xf>
    <xf numFmtId="3" fontId="0" fillId="3" borderId="35" xfId="0" applyNumberFormat="1" applyFill="1" applyBorder="1"/>
    <xf numFmtId="166" fontId="3" fillId="6" borderId="40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1" xfId="3" applyFont="1" applyFill="1" applyBorder="1" applyAlignment="1">
      <alignment horizontal="left" wrapText="1"/>
    </xf>
    <xf numFmtId="1" fontId="10" fillId="2" borderId="29" xfId="3" applyNumberFormat="1" applyFont="1" applyFill="1" applyBorder="1" applyAlignment="1">
      <alignment horizontal="right" wrapText="1"/>
    </xf>
    <xf numFmtId="1" fontId="10" fillId="2" borderId="29" xfId="3" applyNumberFormat="1" applyFont="1" applyFill="1" applyBorder="1" applyAlignment="1">
      <alignment horizontal="center" wrapText="1"/>
    </xf>
    <xf numFmtId="167" fontId="10" fillId="2" borderId="29" xfId="3" applyNumberFormat="1" applyFont="1" applyFill="1" applyBorder="1" applyAlignment="1">
      <alignment horizontal="center" wrapText="1"/>
    </xf>
    <xf numFmtId="0" fontId="10" fillId="2" borderId="29" xfId="3" applyFont="1" applyFill="1" applyBorder="1" applyAlignment="1">
      <alignment horizontal="center" wrapText="1"/>
    </xf>
    <xf numFmtId="166" fontId="9" fillId="2" borderId="29" xfId="3" applyNumberFormat="1" applyFont="1" applyFill="1" applyBorder="1" applyAlignment="1">
      <alignment horizontal="left" wrapText="1"/>
    </xf>
    <xf numFmtId="0" fontId="3" fillId="2" borderId="14" xfId="0" applyFont="1" applyFill="1" applyBorder="1" applyAlignment="1">
      <alignment wrapText="1"/>
    </xf>
    <xf numFmtId="164" fontId="9" fillId="2" borderId="42" xfId="3" applyNumberFormat="1" applyFont="1" applyFill="1" applyBorder="1" applyAlignment="1">
      <alignment horizontal="center"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0" fontId="0" fillId="3" borderId="45" xfId="0" applyFill="1" applyBorder="1"/>
    <xf numFmtId="0" fontId="0" fillId="3" borderId="46" xfId="0" applyFill="1" applyBorder="1" applyAlignment="1">
      <alignment horizontal="right"/>
    </xf>
    <xf numFmtId="14" fontId="0" fillId="3" borderId="46" xfId="0" applyNumberFormat="1" applyFill="1" applyBorder="1"/>
    <xf numFmtId="0" fontId="0" fillId="3" borderId="46" xfId="0" applyFill="1" applyBorder="1"/>
    <xf numFmtId="166" fontId="0" fillId="3" borderId="46" xfId="0" applyNumberFormat="1" applyFill="1" applyBorder="1" applyAlignment="1">
      <alignment horizontal="left"/>
    </xf>
    <xf numFmtId="0" fontId="0" fillId="3" borderId="47" xfId="0" applyFill="1" applyBorder="1"/>
    <xf numFmtId="3" fontId="0" fillId="3" borderId="48" xfId="0" applyNumberFormat="1" applyFill="1" applyBorder="1"/>
    <xf numFmtId="3" fontId="0" fillId="3" borderId="46" xfId="0" applyNumberFormat="1" applyFill="1" applyBorder="1"/>
    <xf numFmtId="3" fontId="0" fillId="3" borderId="49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18" xfId="0" applyNumberFormat="1" applyFill="1" applyBorder="1"/>
    <xf numFmtId="0" fontId="13" fillId="0" borderId="0" xfId="0" applyFont="1"/>
    <xf numFmtId="0" fontId="13" fillId="0" borderId="22" xfId="0" applyFont="1" applyBorder="1"/>
    <xf numFmtId="0" fontId="13" fillId="0" borderId="26" xfId="0" applyFont="1" applyBorder="1"/>
    <xf numFmtId="0" fontId="13" fillId="0" borderId="38" xfId="0" applyFont="1" applyBorder="1"/>
    <xf numFmtId="0" fontId="13" fillId="0" borderId="9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6" xfId="0" applyFont="1" applyBorder="1"/>
    <xf numFmtId="0" fontId="13" fillId="0" borderId="10" xfId="0" applyFont="1" applyBorder="1"/>
    <xf numFmtId="0" fontId="13" fillId="0" borderId="11" xfId="0" applyFont="1" applyBorder="1"/>
    <xf numFmtId="0" fontId="13" fillId="0" borderId="3" xfId="0" applyFont="1" applyBorder="1"/>
    <xf numFmtId="0" fontId="13" fillId="8" borderId="9" xfId="0" applyFont="1" applyFill="1" applyBorder="1"/>
    <xf numFmtId="0" fontId="13" fillId="0" borderId="32" xfId="0" applyFont="1" applyBorder="1"/>
    <xf numFmtId="0" fontId="13" fillId="0" borderId="31" xfId="0" applyFont="1" applyBorder="1"/>
    <xf numFmtId="0" fontId="13" fillId="0" borderId="12" xfId="0" applyFont="1" applyBorder="1"/>
    <xf numFmtId="0" fontId="13" fillId="0" borderId="12" xfId="0" applyFont="1" applyBorder="1" applyAlignment="1">
      <alignment horizontal="left"/>
    </xf>
    <xf numFmtId="0" fontId="13" fillId="0" borderId="52" xfId="0" applyFont="1" applyBorder="1"/>
    <xf numFmtId="0" fontId="13" fillId="0" borderId="53" xfId="0" applyFont="1" applyBorder="1"/>
    <xf numFmtId="14" fontId="13" fillId="0" borderId="26" xfId="0" applyNumberFormat="1" applyFont="1" applyBorder="1"/>
    <xf numFmtId="8" fontId="13" fillId="0" borderId="26" xfId="0" applyNumberFormat="1" applyFont="1" applyBorder="1" applyAlignment="1">
      <alignment horizontal="left"/>
    </xf>
    <xf numFmtId="14" fontId="13" fillId="0" borderId="12" xfId="0" applyNumberFormat="1" applyFont="1" applyBorder="1"/>
    <xf numFmtId="8" fontId="13" fillId="0" borderId="12" xfId="0" applyNumberFormat="1" applyFont="1" applyBorder="1" applyAlignment="1">
      <alignment horizontal="left"/>
    </xf>
    <xf numFmtId="0" fontId="13" fillId="0" borderId="54" xfId="0" applyFont="1" applyBorder="1" applyAlignment="1">
      <alignment wrapText="1"/>
    </xf>
    <xf numFmtId="0" fontId="13" fillId="0" borderId="21" xfId="0" applyFont="1" applyBorder="1"/>
    <xf numFmtId="0" fontId="13" fillId="0" borderId="26" xfId="0" applyFont="1" applyBorder="1" applyAlignment="1">
      <alignment wrapText="1"/>
    </xf>
    <xf numFmtId="0" fontId="13" fillId="0" borderId="23" xfId="0" applyFont="1" applyBorder="1"/>
    <xf numFmtId="0" fontId="13" fillId="0" borderId="39" xfId="0" applyFont="1" applyBorder="1" applyAlignment="1">
      <alignment wrapText="1"/>
    </xf>
    <xf numFmtId="169" fontId="0" fillId="0" borderId="0" xfId="0" applyNumberFormat="1"/>
    <xf numFmtId="3" fontId="3" fillId="2" borderId="56" xfId="0" applyNumberFormat="1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168" fontId="3" fillId="2" borderId="57" xfId="0" applyNumberFormat="1" applyFont="1" applyFill="1" applyBorder="1" applyAlignment="1">
      <alignment horizontal="center"/>
    </xf>
    <xf numFmtId="0" fontId="0" fillId="0" borderId="1" xfId="0" applyBorder="1"/>
    <xf numFmtId="0" fontId="0" fillId="0" borderId="37" xfId="0" applyBorder="1"/>
    <xf numFmtId="0" fontId="3" fillId="0" borderId="2" xfId="0" applyFont="1" applyBorder="1" applyAlignment="1">
      <alignment horizontal="right"/>
    </xf>
    <xf numFmtId="0" fontId="0" fillId="0" borderId="2" xfId="0" applyBorder="1"/>
    <xf numFmtId="168" fontId="3" fillId="2" borderId="36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3" fillId="5" borderId="20" xfId="0" applyFont="1" applyFill="1" applyBorder="1" applyAlignment="1">
      <alignment horizontal="center" vertical="center" wrapText="1"/>
    </xf>
    <xf numFmtId="0" fontId="0" fillId="0" borderId="55" xfId="0" applyBorder="1"/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66"/>
  <sheetViews>
    <sheetView showGridLines="0" tabSelected="1" topLeftCell="A12" zoomScale="80" zoomScaleNormal="80" workbookViewId="0">
      <selection activeCell="U50" sqref="U50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24.42578125" bestFit="1" customWidth="1"/>
    <col min="7" max="7" width="13.85546875" bestFit="1" customWidth="1"/>
    <col min="8" max="10" width="10.85546875" customWidth="1"/>
    <col min="11" max="11" width="15.5703125" style="41" bestFit="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ht="15.75" customHeight="1" thickBot="1" x14ac:dyDescent="0.3"/>
    <row r="2" spans="1:139" x14ac:dyDescent="0.25">
      <c r="A2" s="13"/>
      <c r="B2" s="29"/>
      <c r="C2" s="14"/>
      <c r="D2" s="14"/>
      <c r="E2" s="14"/>
      <c r="F2" s="14"/>
      <c r="G2" s="31"/>
      <c r="H2" s="37"/>
      <c r="I2" s="37"/>
      <c r="J2" s="37"/>
    </row>
    <row r="3" spans="1:139" x14ac:dyDescent="0.25">
      <c r="A3" s="15" t="s">
        <v>0</v>
      </c>
      <c r="B3" s="32"/>
      <c r="C3" s="33"/>
      <c r="D3" s="34" t="s">
        <v>1</v>
      </c>
      <c r="E3" s="34">
        <v>2026</v>
      </c>
      <c r="F3" s="34"/>
      <c r="G3" s="35">
        <f>C3</f>
        <v>0</v>
      </c>
      <c r="H3" s="46"/>
      <c r="I3" s="46"/>
      <c r="J3" s="46"/>
      <c r="S3" s="1"/>
      <c r="T3" s="1"/>
      <c r="U3" s="1"/>
    </row>
    <row r="4" spans="1:139" x14ac:dyDescent="0.25">
      <c r="A4" s="15" t="s">
        <v>2</v>
      </c>
      <c r="B4" s="36" t="s">
        <v>3</v>
      </c>
      <c r="C4" s="33">
        <v>0</v>
      </c>
      <c r="D4" s="34">
        <v>2321511</v>
      </c>
      <c r="E4" s="34">
        <v>2026</v>
      </c>
      <c r="F4" s="34"/>
      <c r="G4" s="35">
        <v>0</v>
      </c>
      <c r="H4" s="46"/>
      <c r="I4" s="46"/>
      <c r="J4" s="46"/>
    </row>
    <row r="5" spans="1:139" x14ac:dyDescent="0.25">
      <c r="A5" s="16" t="s">
        <v>4</v>
      </c>
      <c r="B5" s="30"/>
      <c r="C5" s="37"/>
      <c r="D5" s="37"/>
      <c r="E5" s="37"/>
      <c r="F5" s="37"/>
      <c r="G5" s="38"/>
      <c r="H5" s="47"/>
      <c r="I5" s="47"/>
      <c r="J5" s="47"/>
    </row>
    <row r="6" spans="1:139" x14ac:dyDescent="0.25">
      <c r="A6" s="16" t="s">
        <v>5</v>
      </c>
      <c r="B6" s="39" t="s">
        <v>6</v>
      </c>
      <c r="C6" s="37"/>
      <c r="D6" s="37"/>
      <c r="E6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40"/>
      <c r="G6" s="17"/>
      <c r="H6" s="37"/>
      <c r="I6" s="37"/>
      <c r="J6" s="37"/>
      <c r="K6" s="42"/>
      <c r="L6" s="6"/>
    </row>
    <row r="7" spans="1:139" ht="15.75" customHeight="1" thickBot="1" x14ac:dyDescent="0.3">
      <c r="A7" s="18"/>
      <c r="B7" s="19"/>
      <c r="C7" s="20"/>
      <c r="D7" s="20"/>
      <c r="E7" s="21"/>
      <c r="F7" s="21"/>
      <c r="G7" s="22"/>
      <c r="H7" s="37"/>
      <c r="I7" s="37"/>
      <c r="J7" s="37"/>
      <c r="S7" s="2"/>
      <c r="T7" s="2"/>
      <c r="U7" s="2"/>
    </row>
    <row r="8" spans="1:139" ht="15.75" customHeight="1" thickBot="1" x14ac:dyDescent="0.3"/>
    <row r="9" spans="1:139" x14ac:dyDescent="0.25">
      <c r="A9" s="116" t="s">
        <v>7</v>
      </c>
      <c r="B9" s="117"/>
      <c r="D9" s="55" t="s">
        <v>8</v>
      </c>
      <c r="E9" s="10"/>
      <c r="F9" s="10"/>
      <c r="G9" s="10"/>
      <c r="H9" s="10"/>
      <c r="I9" s="10"/>
      <c r="J9" s="10"/>
      <c r="K9" s="43"/>
    </row>
    <row r="10" spans="1:139" ht="15.75" customHeight="1" thickBot="1" x14ac:dyDescent="0.3">
      <c r="A10" s="25" t="s">
        <v>9</v>
      </c>
      <c r="B10" s="23" t="s">
        <v>10</v>
      </c>
      <c r="D10" s="11"/>
      <c r="E10" s="12"/>
      <c r="F10" s="12"/>
      <c r="G10" s="12"/>
      <c r="H10" s="12"/>
      <c r="I10" s="12"/>
      <c r="J10" s="12"/>
      <c r="K10" s="44"/>
      <c r="BW10" s="9" t="s">
        <v>11</v>
      </c>
    </row>
    <row r="11" spans="1:139" ht="15.75" customHeight="1" x14ac:dyDescent="0.25">
      <c r="A11" s="26" t="s">
        <v>12</v>
      </c>
      <c r="B11" s="23" t="s">
        <v>10</v>
      </c>
      <c r="D11" s="11"/>
      <c r="E11" s="12"/>
      <c r="F11" s="12"/>
      <c r="G11" s="12"/>
      <c r="H11" s="12"/>
      <c r="I11" s="12"/>
      <c r="J11" s="12"/>
      <c r="K11" s="44"/>
      <c r="L11" s="115" t="s">
        <v>13</v>
      </c>
      <c r="M11" s="113"/>
      <c r="N11" s="106">
        <f t="array" ref="N11">SUM(Q15:Q65)+SUM(_xlfn._xlws.FILTER(P15:P65,Q15:Q65=""))+SUM(_xlfn._xlws.FILTER(O15:O65,(P15:P65="")*(Q15:Q65="")))+SUMIFS(R15:R65,Q15:Q65,"&lt;&gt;"&amp;"",$P$15:$P$65,"&lt;&gt;"&amp;"")+SUM(N15:N65)</f>
        <v>0</v>
      </c>
      <c r="O11" s="107"/>
      <c r="P11" s="107"/>
      <c r="Q11" s="107"/>
      <c r="R11" s="108"/>
      <c r="S11" s="106">
        <f t="array" ref="S11">SUM(V15:V65)+SUM(_xlfn._xlws.FILTER(U15:U65,V15:V65=""))+SUM(_xlfn._xlws.FILTER(T15:T65,(U15:U65="")*(V15:V65="")))+SUMIFS(W15:W65,V15:V65,"&lt;&gt;"&amp;"",$P$15:$P$65,"&lt;&gt;"&amp;"")+SUM(S15:S65)</f>
        <v>416800.80999999988</v>
      </c>
      <c r="T11" s="107"/>
      <c r="U11" s="107"/>
      <c r="V11" s="107"/>
      <c r="W11" s="108"/>
      <c r="X11" s="106">
        <f t="array" ref="X11">SUM(AA15:AA65)+SUM(_xlfn._xlws.FILTER(Z15:Z65,AA15:AA65=""))+SUM(_xlfn._xlws.FILTER(Y15:Y65,(Z15:Z65="")*(AA15:AA65="")))+SUMIFS(AB15:AB65,AA15:AA65,"&lt;&gt;"&amp;"",$P$15:$P$65,"&lt;&gt;"&amp;"")+SUM(X15:X65)</f>
        <v>0</v>
      </c>
      <c r="Y11" s="107"/>
      <c r="Z11" s="107"/>
      <c r="AA11" s="107"/>
      <c r="AB11" s="108"/>
      <c r="AC11" s="106">
        <f t="array" ref="AC11">SUM(AF15:AF65)+SUM(_xlfn._xlws.FILTER(AE15:AE65,AF15:AF65=""))+SUM(_xlfn._xlws.FILTER(AD15:AD65,(AE15:AE65="")*(AF15:AF65="")))+SUMIFS(AG15:AG65,AF15:AF65,"&lt;&gt;"&amp;"",$P$15:$P$65,"&lt;&gt;"&amp;"")+SUM(AC15:AC65)</f>
        <v>0</v>
      </c>
      <c r="AD11" s="107"/>
      <c r="AE11" s="107"/>
      <c r="AF11" s="107"/>
      <c r="AG11" s="108"/>
      <c r="AH11" s="106">
        <f t="array" ref="AH11">SUM(AK15:AK65)+SUM(_xlfn._xlws.FILTER(AJ15:AJ65,AK15:AK65=""))+SUM(_xlfn._xlws.FILTER(AI15:AI65,(AJ15:AJ65="")*(AK15:AK65="")))+SUMIFS(AL15:AL65,AK15:AK65,"&lt;&gt;"&amp;"",$P$15:$P$65,"&lt;&gt;"&amp;"")+SUM(AH15:AH65)</f>
        <v>0</v>
      </c>
      <c r="AI11" s="107"/>
      <c r="AJ11" s="107"/>
      <c r="AK11" s="107"/>
      <c r="AL11" s="108"/>
      <c r="AM11" s="106">
        <f t="array" ref="AM11">SUM(AP15:AP65)+SUM(_xlfn._xlws.FILTER(AO15:AO65,AP15:AP65=""))+SUM(_xlfn._xlws.FILTER(AN15:AN65,(AO15:AO65="")*(AP15:AP65="")))+SUMIFS(AQ15:AQ65,AP15:AP65,"&lt;&gt;"&amp;"",$P$15:$P$65,"&lt;&gt;"&amp;"")+SUM(AM15:AM65)</f>
        <v>0</v>
      </c>
      <c r="AN11" s="107"/>
      <c r="AO11" s="107"/>
      <c r="AP11" s="107"/>
      <c r="AQ11" s="108"/>
      <c r="AR11" s="106">
        <f t="array" ref="AR11">SUM(AU15:AU65)+SUM(_xlfn._xlws.FILTER(AT15:AT65,AU15:AU65=""))+SUM(_xlfn._xlws.FILTER(AS15:AS65,(AT15:AT65="")*(AU15:AU65="")))+SUMIFS(AV15:AV65,AU15:AU65,"&lt;&gt;"&amp;"",$P$15:$P$65,"&lt;&gt;"&amp;"")+SUM(AR15:AR65)</f>
        <v>0</v>
      </c>
      <c r="AS11" s="107"/>
      <c r="AT11" s="107"/>
      <c r="AU11" s="107"/>
      <c r="AV11" s="108"/>
      <c r="AW11" s="106">
        <f t="array" ref="AW11">SUM(AZ15:AZ65)+SUM(_xlfn._xlws.FILTER(AY15:AY65,AZ15:AZ65=""))+SUM(_xlfn._xlws.FILTER(AX15:AX65,(AY15:AY65="")*(AZ15:AZ65="")))+SUMIFS(BA15:BA65,AZ15:AZ65,"&lt;&gt;"&amp;"",$P$15:$P$65,"&lt;&gt;"&amp;"")+SUM(AW15:AW65)</f>
        <v>0</v>
      </c>
      <c r="AX11" s="107"/>
      <c r="AY11" s="107"/>
      <c r="AZ11" s="107"/>
      <c r="BA11" s="108"/>
      <c r="BB11" s="106">
        <f t="array" ref="BB11">SUM(BE15:BE65)+SUM(_xlfn._xlws.FILTER(BD15:BD65,BE15:BE65=""))+SUM(_xlfn._xlws.FILTER(BC15:BC65,(BD15:BD65="")*(BE15:BE65="")))+SUMIFS(BF15:BF65,BE15:BE65,"&lt;&gt;"&amp;"",$P$15:$P$65,"&lt;&gt;"&amp;"")+SUM(BB15:BB65)</f>
        <v>0</v>
      </c>
      <c r="BC11" s="107"/>
      <c r="BD11" s="107"/>
      <c r="BE11" s="107"/>
      <c r="BF11" s="108"/>
      <c r="BG11" s="106">
        <f t="array" ref="BG11">SUM(BJ15:BJ65)+SUM(_xlfn._xlws.FILTER(BI15:BI65,BJ15:BJ65=""))+SUM(_xlfn._xlws.FILTER(BH15:BH65,(BI15:BI65="")*(BJ15:BJ65="")))+SUMIFS(BK15:BK65,BJ15:BJ65,"&lt;&gt;"&amp;"",$P$15:$P$65,"&lt;&gt;"&amp;"")+SUM(BG15:BG65)</f>
        <v>0</v>
      </c>
      <c r="BH11" s="107"/>
      <c r="BI11" s="107"/>
      <c r="BJ11" s="107"/>
      <c r="BK11" s="108"/>
      <c r="BL11" s="106">
        <f t="array" ref="BL11">SUM(BO15:BO65)+SUM(_xlfn._xlws.FILTER(BN15:BN65,BO15:BO65=""))+SUM(_xlfn._xlws.FILTER(BM15:BM65,(BN15:BN65="")*(BO15:BO65="")))+SUMIFS(BP15:BP65,BO15:BO65,"&lt;&gt;"&amp;"",$P$15:$P$65,"&lt;&gt;"&amp;"")+SUM(BL15:BL65)</f>
        <v>0</v>
      </c>
      <c r="BM11" s="107"/>
      <c r="BN11" s="107"/>
      <c r="BO11" s="107"/>
      <c r="BP11" s="108"/>
      <c r="BQ11" s="106">
        <f t="array" ref="BQ11">SUM(BT15:BT65)+SUM(_xlfn._xlws.FILTER(BS15:BS65,BT15:BT65=""))+SUM(_xlfn._xlws.FILTER(BR15:BR65,(BS15:BS65="")*(BT15:BT65="")))+SUMIFS(BU15:BU65,BT15:BT65,"&lt;&gt;"&amp;"",$P$15:$P$65,"&lt;&gt;"&amp;"")+SUM(BQ15:BQ65)</f>
        <v>0</v>
      </c>
      <c r="BR11" s="107"/>
      <c r="BS11" s="107"/>
      <c r="BT11" s="107"/>
      <c r="BU11" s="108"/>
      <c r="BV11" s="4" t="s">
        <v>14</v>
      </c>
      <c r="BW11" s="5">
        <f>BW13-BV13</f>
        <v>0</v>
      </c>
    </row>
    <row r="12" spans="1:139" ht="15.75" thickBot="1" x14ac:dyDescent="0.3">
      <c r="A12" s="27" t="s">
        <v>15</v>
      </c>
      <c r="B12" s="24" t="s">
        <v>10</v>
      </c>
      <c r="D12" s="11"/>
      <c r="E12" s="12"/>
      <c r="F12" s="12"/>
      <c r="G12" s="12"/>
      <c r="H12" s="12"/>
      <c r="I12" s="12"/>
      <c r="J12" s="12"/>
      <c r="K12" s="45" t="s">
        <v>16</v>
      </c>
      <c r="L12" s="112" t="s">
        <v>17</v>
      </c>
      <c r="M12" s="113"/>
      <c r="N12" s="106">
        <f t="array" ref="N12">SUM(Q15:Q65)+SUM(_xlfn._xlws.FILTER(P15:P65,Q15:Q65=""))+SUM(_xlfn._xlws.FILTER(O15:O65,(P15:P65="")*(Q15:Q65="")))</f>
        <v>438146.83000000007</v>
      </c>
      <c r="O12" s="107"/>
      <c r="P12" s="107"/>
      <c r="Q12" s="107"/>
      <c r="R12" s="108"/>
      <c r="S12" s="106">
        <f t="array" ref="S12">SUM(V15:V65)+SUM(_xlfn._xlws.FILTER(U15:U65,V15:V65=""))+SUM(_xlfn._xlws.FILTER(T15:T65,(U15:U65="")*(V15:V65="")))</f>
        <v>0</v>
      </c>
      <c r="T12" s="107"/>
      <c r="U12" s="107"/>
      <c r="V12" s="107"/>
      <c r="W12" s="108"/>
      <c r="X12" s="106">
        <f t="array" ref="X12">SUM(AA15:AA65)+SUM(_xlfn._xlws.FILTER(Z15:Z65,AA15:AA65=""))+SUM(_xlfn._xlws.FILTER(Y15:Y65,(Z15:Z65="")*(AA15:AA65="")))</f>
        <v>0</v>
      </c>
      <c r="Y12" s="107"/>
      <c r="Z12" s="107"/>
      <c r="AA12" s="107"/>
      <c r="AB12" s="108"/>
      <c r="AC12" s="106">
        <f t="array" ref="AC12">SUM(AF15:AF65)+SUM(_xlfn._xlws.FILTER(AE15:AE65,AF15:AF65=""))+SUM(_xlfn._xlws.FILTER(AD15:AD65,(AE15:AE65="")*(AF15:AF65="")))</f>
        <v>0</v>
      </c>
      <c r="AD12" s="107"/>
      <c r="AE12" s="107"/>
      <c r="AF12" s="107"/>
      <c r="AG12" s="108"/>
      <c r="AH12" s="106">
        <f t="array" ref="AH12">SUM(AK15:AK65)+SUM(_xlfn._xlws.FILTER(AJ15:AJ65,AK15:AK65=""))+SUM(_xlfn._xlws.FILTER(AI15:AI65,(AJ15:AJ65="")*(AK15:AK65="")))</f>
        <v>0</v>
      </c>
      <c r="AI12" s="107"/>
      <c r="AJ12" s="107"/>
      <c r="AK12" s="107"/>
      <c r="AL12" s="108"/>
      <c r="AM12" s="106">
        <f t="array" ref="AM12">SUM(AP15:AP65)+SUM(_xlfn._xlws.FILTER(AO15:AO65,AP15:AP65=""))+SUM(_xlfn._xlws.FILTER(AN15:AN65,(AO15:AO65="")*(AP15:AP65="")))</f>
        <v>0</v>
      </c>
      <c r="AN12" s="107"/>
      <c r="AO12" s="107"/>
      <c r="AP12" s="107"/>
      <c r="AQ12" s="108"/>
      <c r="AR12" s="106">
        <f t="array" ref="AR12">SUM(AU15:AU65)+SUM(_xlfn._xlws.FILTER(AT15:AT65,AU15:AU65=""))+SUM(_xlfn._xlws.FILTER(AS15:AS65,(AT15:AT65="")*(AU15:AU65="")))</f>
        <v>0</v>
      </c>
      <c r="AS12" s="107"/>
      <c r="AT12" s="107"/>
      <c r="AU12" s="107"/>
      <c r="AV12" s="108"/>
      <c r="AW12" s="106">
        <f t="array" ref="AW12">SUM(AZ15:AZ65)+SUM(_xlfn._xlws.FILTER(AY15:AY65,AZ15:AZ65=""))+SUM(_xlfn._xlws.FILTER(AX15:AX65,(AY15:AY65="")*(AZ15:AZ65="")))</f>
        <v>0</v>
      </c>
      <c r="AX12" s="107"/>
      <c r="AY12" s="107"/>
      <c r="AZ12" s="107"/>
      <c r="BA12" s="108"/>
      <c r="BB12" s="106">
        <f t="array" ref="BB12">SUM(BE15:BE65)+SUM(_xlfn._xlws.FILTER(BD15:BD65,BE15:BE65=""))+SUM(_xlfn._xlws.FILTER(BC15:BC65,(BD15:BD65="")*(BE15:BE65="")))</f>
        <v>0</v>
      </c>
      <c r="BC12" s="107"/>
      <c r="BD12" s="107"/>
      <c r="BE12" s="107"/>
      <c r="BF12" s="108"/>
      <c r="BG12" s="106">
        <f t="array" ref="BG12">SUM(BJ15:BJ65)+SUM(_xlfn._xlws.FILTER(BI15:BI65,BJ15:BJ65=""))+SUM(_xlfn._xlws.FILTER(BH15:BH65,(BI15:BI65="")*(BJ15:BJ65="")))</f>
        <v>0</v>
      </c>
      <c r="BH12" s="107"/>
      <c r="BI12" s="107"/>
      <c r="BJ12" s="107"/>
      <c r="BK12" s="108"/>
      <c r="BL12" s="106">
        <f t="array" ref="BL12">SUM(BO15:BO65)+SUM(_xlfn._xlws.FILTER(BN15:BN65,BO15:BO65=""))+SUM(_xlfn._xlws.FILTER(BM15:BM65,(BN15:BN65="")*(BO15:BO65="")))</f>
        <v>0</v>
      </c>
      <c r="BM12" s="107"/>
      <c r="BN12" s="107"/>
      <c r="BO12" s="107"/>
      <c r="BP12" s="108"/>
      <c r="BQ12" s="106">
        <f t="array" ref="BQ12">SUM(BT15:BT65)+SUM(_xlfn._xlws.FILTER(BS15:BS65,BT15:BT65=""))+SUM(_xlfn._xlws.FILTER(BR15:BR65,(BS15:BS65="")*(BT15:BT65="")))</f>
        <v>0</v>
      </c>
      <c r="BR12" s="107"/>
      <c r="BS12" s="107"/>
      <c r="BT12" s="107"/>
      <c r="BU12" s="108"/>
      <c r="BV12" s="4"/>
      <c r="BW12" s="5"/>
    </row>
    <row r="13" spans="1:139" ht="16.5" customHeight="1" thickBot="1" x14ac:dyDescent="0.3">
      <c r="A13" s="6" t="s">
        <v>18</v>
      </c>
      <c r="H13" s="6"/>
      <c r="I13" s="6"/>
      <c r="J13" s="6"/>
      <c r="K13" s="54">
        <f>SUBTOTAL(9,K15:K16)</f>
        <v>190781</v>
      </c>
      <c r="L13" s="112" t="s">
        <v>19</v>
      </c>
      <c r="M13" s="113"/>
      <c r="N13" s="114">
        <v>46053</v>
      </c>
      <c r="O13" s="110"/>
      <c r="P13" s="110"/>
      <c r="Q13" s="110"/>
      <c r="R13" s="110"/>
      <c r="S13" s="109">
        <v>46054</v>
      </c>
      <c r="T13" s="110"/>
      <c r="U13" s="110"/>
      <c r="V13" s="110"/>
      <c r="W13" s="111"/>
      <c r="X13" s="109">
        <v>46112</v>
      </c>
      <c r="Y13" s="110"/>
      <c r="Z13" s="110"/>
      <c r="AA13" s="110"/>
      <c r="AB13" s="111"/>
      <c r="AC13" s="109">
        <v>46142</v>
      </c>
      <c r="AD13" s="110"/>
      <c r="AE13" s="110"/>
      <c r="AF13" s="110"/>
      <c r="AG13" s="111"/>
      <c r="AH13" s="109">
        <v>46173</v>
      </c>
      <c r="AI13" s="110"/>
      <c r="AJ13" s="110"/>
      <c r="AK13" s="110"/>
      <c r="AL13" s="111"/>
      <c r="AM13" s="109">
        <v>46203</v>
      </c>
      <c r="AN13" s="110"/>
      <c r="AO13" s="110"/>
      <c r="AP13" s="110"/>
      <c r="AQ13" s="111"/>
      <c r="AR13" s="109">
        <v>46234</v>
      </c>
      <c r="AS13" s="110"/>
      <c r="AT13" s="110"/>
      <c r="AU13" s="110"/>
      <c r="AV13" s="111"/>
      <c r="AW13" s="109">
        <v>46265</v>
      </c>
      <c r="AX13" s="110"/>
      <c r="AY13" s="110"/>
      <c r="AZ13" s="110"/>
      <c r="BA13" s="111"/>
      <c r="BB13" s="109">
        <v>46295</v>
      </c>
      <c r="BC13" s="110"/>
      <c r="BD13" s="110"/>
      <c r="BE13" s="110"/>
      <c r="BF13" s="111"/>
      <c r="BG13" s="109">
        <v>46326</v>
      </c>
      <c r="BH13" s="110"/>
      <c r="BI13" s="110"/>
      <c r="BJ13" s="110"/>
      <c r="BK13" s="111"/>
      <c r="BL13" s="109">
        <v>46356</v>
      </c>
      <c r="BM13" s="110"/>
      <c r="BN13" s="110"/>
      <c r="BO13" s="110"/>
      <c r="BP13" s="111"/>
      <c r="BQ13" s="109">
        <v>46387</v>
      </c>
      <c r="BR13" s="110"/>
      <c r="BS13" s="110"/>
      <c r="BT13" s="110"/>
      <c r="BU13" s="111"/>
      <c r="BV13" s="7">
        <f>SUM(BV15:BV65)</f>
        <v>0</v>
      </c>
      <c r="BW13" s="8"/>
      <c r="BY13" s="3"/>
    </row>
    <row r="14" spans="1:139" ht="60.75" customHeight="1" thickBot="1" x14ac:dyDescent="0.3">
      <c r="A14" s="56" t="s">
        <v>20</v>
      </c>
      <c r="B14" s="57" t="s">
        <v>21</v>
      </c>
      <c r="C14" s="58" t="s">
        <v>22</v>
      </c>
      <c r="D14" s="59" t="s">
        <v>23</v>
      </c>
      <c r="E14" s="60" t="s">
        <v>24</v>
      </c>
      <c r="F14" s="60" t="s">
        <v>25</v>
      </c>
      <c r="G14" s="58" t="s">
        <v>26</v>
      </c>
      <c r="H14" s="58" t="s">
        <v>27</v>
      </c>
      <c r="I14" s="58" t="s">
        <v>28</v>
      </c>
      <c r="J14" s="58" t="s">
        <v>7</v>
      </c>
      <c r="K14" s="61" t="s">
        <v>29</v>
      </c>
      <c r="L14" s="62" t="s">
        <v>30</v>
      </c>
      <c r="M14" s="48" t="s">
        <v>31</v>
      </c>
      <c r="N14" s="51" t="s">
        <v>32</v>
      </c>
      <c r="O14" s="52" t="s">
        <v>33</v>
      </c>
      <c r="P14" s="52" t="s">
        <v>34</v>
      </c>
      <c r="Q14" s="52" t="s">
        <v>35</v>
      </c>
      <c r="R14" s="50" t="s">
        <v>36</v>
      </c>
      <c r="S14" s="63" t="s">
        <v>37</v>
      </c>
      <c r="T14" s="52" t="s">
        <v>38</v>
      </c>
      <c r="U14" s="52" t="s">
        <v>39</v>
      </c>
      <c r="V14" s="64" t="s">
        <v>40</v>
      </c>
      <c r="W14" s="65" t="s">
        <v>36</v>
      </c>
      <c r="X14" s="63" t="s">
        <v>41</v>
      </c>
      <c r="Y14" s="52" t="s">
        <v>42</v>
      </c>
      <c r="Z14" s="52" t="s">
        <v>43</v>
      </c>
      <c r="AA14" s="64" t="s">
        <v>44</v>
      </c>
      <c r="AB14" s="65" t="s">
        <v>36</v>
      </c>
      <c r="AC14" s="63" t="s">
        <v>45</v>
      </c>
      <c r="AD14" s="52" t="s">
        <v>46</v>
      </c>
      <c r="AE14" s="52" t="s">
        <v>47</v>
      </c>
      <c r="AF14" s="64" t="s">
        <v>48</v>
      </c>
      <c r="AG14" s="65" t="s">
        <v>36</v>
      </c>
      <c r="AH14" s="63" t="s">
        <v>49</v>
      </c>
      <c r="AI14" s="52" t="s">
        <v>50</v>
      </c>
      <c r="AJ14" s="52" t="s">
        <v>51</v>
      </c>
      <c r="AK14" s="64" t="s">
        <v>52</v>
      </c>
      <c r="AL14" s="65" t="s">
        <v>36</v>
      </c>
      <c r="AM14" s="63" t="s">
        <v>53</v>
      </c>
      <c r="AN14" s="52" t="s">
        <v>54</v>
      </c>
      <c r="AO14" s="52" t="s">
        <v>55</v>
      </c>
      <c r="AP14" s="64" t="s">
        <v>56</v>
      </c>
      <c r="AQ14" s="65" t="s">
        <v>36</v>
      </c>
      <c r="AR14" s="63" t="s">
        <v>57</v>
      </c>
      <c r="AS14" s="52" t="s">
        <v>58</v>
      </c>
      <c r="AT14" s="52" t="s">
        <v>59</v>
      </c>
      <c r="AU14" s="64" t="s">
        <v>60</v>
      </c>
      <c r="AV14" s="65" t="s">
        <v>36</v>
      </c>
      <c r="AW14" s="63" t="s">
        <v>61</v>
      </c>
      <c r="AX14" s="52" t="s">
        <v>62</v>
      </c>
      <c r="AY14" s="52" t="s">
        <v>63</v>
      </c>
      <c r="AZ14" s="64" t="s">
        <v>64</v>
      </c>
      <c r="BA14" s="65" t="s">
        <v>36</v>
      </c>
      <c r="BB14" s="63" t="s">
        <v>65</v>
      </c>
      <c r="BC14" s="52" t="s">
        <v>66</v>
      </c>
      <c r="BD14" s="52" t="s">
        <v>67</v>
      </c>
      <c r="BE14" s="64" t="s">
        <v>68</v>
      </c>
      <c r="BF14" s="65" t="s">
        <v>36</v>
      </c>
      <c r="BG14" s="63" t="s">
        <v>69</v>
      </c>
      <c r="BH14" s="52" t="s">
        <v>70</v>
      </c>
      <c r="BI14" s="52" t="s">
        <v>71</v>
      </c>
      <c r="BJ14" s="64" t="s">
        <v>72</v>
      </c>
      <c r="BK14" s="65" t="s">
        <v>36</v>
      </c>
      <c r="BL14" s="63" t="s">
        <v>73</v>
      </c>
      <c r="BM14" s="52" t="s">
        <v>74</v>
      </c>
      <c r="BN14" s="52" t="s">
        <v>75</v>
      </c>
      <c r="BO14" s="64" t="s">
        <v>76</v>
      </c>
      <c r="BP14" s="65" t="s">
        <v>36</v>
      </c>
      <c r="BQ14" s="63" t="s">
        <v>77</v>
      </c>
      <c r="BR14" s="52" t="s">
        <v>78</v>
      </c>
      <c r="BS14" s="52" t="s">
        <v>79</v>
      </c>
      <c r="BT14" s="64" t="s">
        <v>80</v>
      </c>
      <c r="BU14" s="65" t="s">
        <v>36</v>
      </c>
      <c r="BV14" s="51" t="s">
        <v>81</v>
      </c>
      <c r="BW14" s="52" t="s">
        <v>82</v>
      </c>
      <c r="BX14" s="48" t="s">
        <v>83</v>
      </c>
    </row>
    <row r="15" spans="1:139" x14ac:dyDescent="0.25">
      <c r="A15" s="79" t="s">
        <v>84</v>
      </c>
      <c r="B15" s="94" t="s">
        <v>85</v>
      </c>
      <c r="C15" s="96">
        <v>45993</v>
      </c>
      <c r="D15" s="96">
        <v>46173</v>
      </c>
      <c r="E15" s="81" t="s">
        <v>86</v>
      </c>
      <c r="F15" s="80" t="s">
        <v>87</v>
      </c>
      <c r="G15" s="80">
        <v>41500000</v>
      </c>
      <c r="H15" s="80">
        <v>3840</v>
      </c>
      <c r="I15" s="80" t="s">
        <v>88</v>
      </c>
      <c r="J15" s="80">
        <v>2430238</v>
      </c>
      <c r="K15" s="97">
        <v>66363</v>
      </c>
      <c r="L15" s="100" t="s">
        <v>89</v>
      </c>
      <c r="M15" s="101" t="s">
        <v>90</v>
      </c>
      <c r="N15" s="82">
        <v>0</v>
      </c>
      <c r="O15" s="83">
        <v>0</v>
      </c>
      <c r="P15" s="83">
        <v>0</v>
      </c>
      <c r="Q15" s="84">
        <v>10656.33</v>
      </c>
      <c r="R15" s="84">
        <f t="shared" ref="R15:R46" si="0">P15-Q15</f>
        <v>-10656.33</v>
      </c>
      <c r="S15" s="85">
        <v>-11347.01</v>
      </c>
      <c r="T15" s="83">
        <v>0</v>
      </c>
      <c r="U15" s="83">
        <v>10146.52</v>
      </c>
      <c r="V15" s="84">
        <v>0</v>
      </c>
      <c r="W15" s="86">
        <f t="shared" ref="W15:W46" si="1">U15-V15</f>
        <v>10146.52</v>
      </c>
      <c r="X15" s="87">
        <v>0</v>
      </c>
      <c r="Y15" s="83">
        <v>0</v>
      </c>
      <c r="Z15" s="83">
        <v>0</v>
      </c>
      <c r="AA15" s="84">
        <v>0</v>
      </c>
      <c r="AB15" s="86">
        <f t="shared" ref="AB15:AB46" si="2">Z15-AA15</f>
        <v>0</v>
      </c>
      <c r="AC15" s="87">
        <v>0</v>
      </c>
      <c r="AD15" s="83">
        <v>0</v>
      </c>
      <c r="AE15" s="83">
        <v>0</v>
      </c>
      <c r="AF15" s="83">
        <v>0</v>
      </c>
      <c r="AG15" s="86">
        <f t="shared" ref="AG15:AG46" si="3">AE15-AF15</f>
        <v>0</v>
      </c>
      <c r="AH15" s="87">
        <v>0</v>
      </c>
      <c r="AI15" s="83">
        <v>0</v>
      </c>
      <c r="AJ15" s="83">
        <v>0</v>
      </c>
      <c r="AK15" s="83">
        <v>0</v>
      </c>
      <c r="AL15" s="86">
        <f t="shared" ref="AL15:AL46" si="4">AJ15-AK15</f>
        <v>0</v>
      </c>
      <c r="AM15" s="87">
        <v>0</v>
      </c>
      <c r="AN15" s="83">
        <v>0</v>
      </c>
      <c r="AO15" s="83">
        <v>0</v>
      </c>
      <c r="AP15" s="83">
        <v>0</v>
      </c>
      <c r="AQ15" s="86">
        <f t="shared" ref="AQ15:AQ46" si="5">AO15-AP15</f>
        <v>0</v>
      </c>
      <c r="AR15" s="87">
        <v>0</v>
      </c>
      <c r="AS15" s="83">
        <v>0</v>
      </c>
      <c r="AT15" s="83">
        <v>0</v>
      </c>
      <c r="AU15" s="83">
        <v>0</v>
      </c>
      <c r="AV15" s="86">
        <f t="shared" ref="AV15:AV46" si="6">AT15-AU15</f>
        <v>0</v>
      </c>
      <c r="AW15" s="87">
        <v>0</v>
      </c>
      <c r="AX15" s="83">
        <v>0</v>
      </c>
      <c r="AY15" s="83">
        <v>0</v>
      </c>
      <c r="AZ15" s="83">
        <v>0</v>
      </c>
      <c r="BA15" s="86">
        <f t="shared" ref="BA15:BA46" si="7">AY15-AZ15</f>
        <v>0</v>
      </c>
      <c r="BB15" s="87">
        <v>0</v>
      </c>
      <c r="BC15" s="83">
        <v>0</v>
      </c>
      <c r="BD15" s="83">
        <v>0</v>
      </c>
      <c r="BE15" s="83">
        <v>0</v>
      </c>
      <c r="BF15" s="86">
        <f t="shared" ref="BF15:BF46" si="8">BD15-BE15</f>
        <v>0</v>
      </c>
      <c r="BG15" s="87">
        <v>0</v>
      </c>
      <c r="BH15" s="83">
        <v>0</v>
      </c>
      <c r="BI15" s="83">
        <v>0</v>
      </c>
      <c r="BJ15" s="83">
        <v>0</v>
      </c>
      <c r="BK15" s="86">
        <f t="shared" ref="BK15:BK46" si="9">BI15-BJ15</f>
        <v>0</v>
      </c>
      <c r="BL15" s="87">
        <v>0</v>
      </c>
      <c r="BM15" s="83">
        <v>0</v>
      </c>
      <c r="BN15" s="83">
        <v>0</v>
      </c>
      <c r="BO15" s="83">
        <v>0</v>
      </c>
      <c r="BP15" s="86">
        <f t="shared" ref="BP15:BP46" si="10">BN15-BO15</f>
        <v>0</v>
      </c>
      <c r="BQ15" s="87">
        <v>0</v>
      </c>
      <c r="BR15" s="83">
        <v>0</v>
      </c>
      <c r="BS15" s="83">
        <v>0</v>
      </c>
      <c r="BT15" s="83">
        <v>0</v>
      </c>
      <c r="BU15" s="86">
        <f t="shared" ref="BU15:BU46" si="11">BS15-BT15</f>
        <v>0</v>
      </c>
      <c r="BV15" s="88">
        <v>0</v>
      </c>
      <c r="BW15" s="89"/>
      <c r="BX15" s="90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</row>
    <row r="16" spans="1:139" x14ac:dyDescent="0.25">
      <c r="A16" s="91" t="s">
        <v>84</v>
      </c>
      <c r="B16" s="83" t="s">
        <v>91</v>
      </c>
      <c r="C16" s="98">
        <v>45993</v>
      </c>
      <c r="D16" s="98">
        <v>46356</v>
      </c>
      <c r="E16" s="92" t="s">
        <v>92</v>
      </c>
      <c r="F16" s="92" t="s">
        <v>93</v>
      </c>
      <c r="G16" s="92">
        <v>41500000</v>
      </c>
      <c r="H16" s="92">
        <v>3840</v>
      </c>
      <c r="I16" s="92" t="s">
        <v>88</v>
      </c>
      <c r="J16" s="92">
        <v>2430238</v>
      </c>
      <c r="K16" s="99">
        <v>124418</v>
      </c>
      <c r="L16" s="102" t="s">
        <v>94</v>
      </c>
      <c r="M16" s="103" t="s">
        <v>90</v>
      </c>
      <c r="N16" s="82">
        <v>0</v>
      </c>
      <c r="O16" s="83">
        <v>0</v>
      </c>
      <c r="P16" s="83">
        <v>0</v>
      </c>
      <c r="Q16" s="84">
        <v>10636.8</v>
      </c>
      <c r="R16" s="84">
        <f t="shared" si="0"/>
        <v>-10636.8</v>
      </c>
      <c r="S16" s="85">
        <v>-10548.89</v>
      </c>
      <c r="T16" s="83">
        <v>0</v>
      </c>
      <c r="U16" s="83">
        <v>8702.83</v>
      </c>
      <c r="V16" s="84">
        <v>0</v>
      </c>
      <c r="W16" s="86">
        <f t="shared" si="1"/>
        <v>8702.83</v>
      </c>
      <c r="X16" s="87">
        <v>0</v>
      </c>
      <c r="Y16" s="83">
        <v>0</v>
      </c>
      <c r="Z16" s="83">
        <v>0</v>
      </c>
      <c r="AA16" s="84">
        <v>0</v>
      </c>
      <c r="AB16" s="86">
        <f t="shared" si="2"/>
        <v>0</v>
      </c>
      <c r="AC16" s="87">
        <v>0</v>
      </c>
      <c r="AD16" s="83">
        <v>0</v>
      </c>
      <c r="AE16" s="83">
        <v>0</v>
      </c>
      <c r="AF16" s="84">
        <v>0</v>
      </c>
      <c r="AG16" s="86">
        <f t="shared" si="3"/>
        <v>0</v>
      </c>
      <c r="AH16" s="87">
        <v>0</v>
      </c>
      <c r="AI16" s="83">
        <v>0</v>
      </c>
      <c r="AJ16" s="83">
        <v>0</v>
      </c>
      <c r="AK16" s="84">
        <v>0</v>
      </c>
      <c r="AL16" s="86">
        <f t="shared" si="4"/>
        <v>0</v>
      </c>
      <c r="AM16" s="87">
        <v>0</v>
      </c>
      <c r="AN16" s="83">
        <v>0</v>
      </c>
      <c r="AO16" s="83">
        <v>0</v>
      </c>
      <c r="AP16" s="84">
        <v>0</v>
      </c>
      <c r="AQ16" s="86">
        <f t="shared" si="5"/>
        <v>0</v>
      </c>
      <c r="AR16" s="87">
        <v>0</v>
      </c>
      <c r="AS16" s="83">
        <v>0</v>
      </c>
      <c r="AT16" s="83">
        <v>0</v>
      </c>
      <c r="AU16" s="84">
        <v>0</v>
      </c>
      <c r="AV16" s="86">
        <f t="shared" si="6"/>
        <v>0</v>
      </c>
      <c r="AW16" s="87">
        <v>0</v>
      </c>
      <c r="AX16" s="83">
        <v>0</v>
      </c>
      <c r="AY16" s="83">
        <v>0</v>
      </c>
      <c r="AZ16" s="84">
        <v>0</v>
      </c>
      <c r="BA16" s="86">
        <f t="shared" si="7"/>
        <v>0</v>
      </c>
      <c r="BB16" s="87">
        <v>0</v>
      </c>
      <c r="BC16" s="83">
        <v>0</v>
      </c>
      <c r="BD16" s="83">
        <v>0</v>
      </c>
      <c r="BE16" s="84">
        <v>0</v>
      </c>
      <c r="BF16" s="86">
        <f t="shared" si="8"/>
        <v>0</v>
      </c>
      <c r="BG16" s="87">
        <v>0</v>
      </c>
      <c r="BH16" s="83">
        <v>0</v>
      </c>
      <c r="BI16" s="83">
        <v>0</v>
      </c>
      <c r="BJ16" s="84">
        <v>0</v>
      </c>
      <c r="BK16" s="86">
        <f t="shared" si="9"/>
        <v>0</v>
      </c>
      <c r="BL16" s="87">
        <v>0</v>
      </c>
      <c r="BM16" s="83">
        <v>0</v>
      </c>
      <c r="BN16" s="83">
        <v>0</v>
      </c>
      <c r="BO16" s="84">
        <v>0</v>
      </c>
      <c r="BP16" s="86">
        <f t="shared" si="10"/>
        <v>0</v>
      </c>
      <c r="BQ16" s="87">
        <v>0</v>
      </c>
      <c r="BR16" s="83">
        <v>0</v>
      </c>
      <c r="BS16" s="83">
        <v>0</v>
      </c>
      <c r="BT16" s="84">
        <v>0</v>
      </c>
      <c r="BU16" s="86">
        <f t="shared" si="11"/>
        <v>0</v>
      </c>
      <c r="BV16" s="85">
        <v>0</v>
      </c>
      <c r="BW16" s="89"/>
      <c r="BX16" s="90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76" ht="30" customHeight="1" x14ac:dyDescent="0.25">
      <c r="A17" s="91" t="s">
        <v>84</v>
      </c>
      <c r="B17" s="83" t="s">
        <v>95</v>
      </c>
      <c r="C17" s="98">
        <v>46137</v>
      </c>
      <c r="D17" s="98">
        <v>46501</v>
      </c>
      <c r="E17" s="92" t="s">
        <v>96</v>
      </c>
      <c r="F17" s="92" t="s">
        <v>97</v>
      </c>
      <c r="G17" s="92">
        <v>61010000</v>
      </c>
      <c r="H17" s="92">
        <v>1400</v>
      </c>
      <c r="I17" s="92" t="s">
        <v>98</v>
      </c>
      <c r="J17" s="92">
        <v>2321403</v>
      </c>
      <c r="K17" s="99">
        <v>21098.22</v>
      </c>
      <c r="L17" s="104" t="s">
        <v>99</v>
      </c>
      <c r="M17" s="103" t="s">
        <v>90</v>
      </c>
      <c r="N17" s="82"/>
      <c r="O17" s="83"/>
      <c r="P17" s="83"/>
      <c r="Q17" s="84"/>
      <c r="R17" s="84">
        <f t="shared" si="0"/>
        <v>0</v>
      </c>
      <c r="S17" s="85"/>
      <c r="T17" s="83"/>
      <c r="U17" s="83"/>
      <c r="V17" s="84"/>
      <c r="W17" s="86">
        <f t="shared" si="1"/>
        <v>0</v>
      </c>
      <c r="X17" s="87"/>
      <c r="Y17" s="83"/>
      <c r="Z17" s="83"/>
      <c r="AA17" s="84"/>
      <c r="AB17" s="86">
        <f t="shared" si="2"/>
        <v>0</v>
      </c>
      <c r="AC17" s="87"/>
      <c r="AD17" s="83"/>
      <c r="AE17" s="83"/>
      <c r="AF17" s="84"/>
      <c r="AG17" s="86">
        <f t="shared" si="3"/>
        <v>0</v>
      </c>
      <c r="AH17" s="87"/>
      <c r="AI17" s="83"/>
      <c r="AJ17" s="83"/>
      <c r="AK17" s="84"/>
      <c r="AL17" s="86">
        <f t="shared" si="4"/>
        <v>0</v>
      </c>
      <c r="AM17" s="87"/>
      <c r="AN17" s="83"/>
      <c r="AO17" s="83"/>
      <c r="AP17" s="84"/>
      <c r="AQ17" s="86">
        <f t="shared" si="5"/>
        <v>0</v>
      </c>
      <c r="AR17" s="87"/>
      <c r="AS17" s="83"/>
      <c r="AT17" s="83"/>
      <c r="AU17" s="84"/>
      <c r="AV17" s="86">
        <f t="shared" si="6"/>
        <v>0</v>
      </c>
      <c r="AW17" s="87"/>
      <c r="AX17" s="83"/>
      <c r="AY17" s="83"/>
      <c r="AZ17" s="84"/>
      <c r="BA17" s="86">
        <f t="shared" si="7"/>
        <v>0</v>
      </c>
      <c r="BB17" s="87"/>
      <c r="BC17" s="83"/>
      <c r="BD17" s="83"/>
      <c r="BE17" s="84"/>
      <c r="BF17" s="86">
        <f t="shared" si="8"/>
        <v>0</v>
      </c>
      <c r="BG17" s="87"/>
      <c r="BH17" s="83"/>
      <c r="BI17" s="83"/>
      <c r="BJ17" s="84"/>
      <c r="BK17" s="86">
        <f t="shared" si="9"/>
        <v>0</v>
      </c>
      <c r="BL17" s="87"/>
      <c r="BM17" s="83"/>
      <c r="BN17" s="83"/>
      <c r="BO17" s="84"/>
      <c r="BP17" s="86">
        <f t="shared" si="10"/>
        <v>0</v>
      </c>
      <c r="BQ17" s="87"/>
      <c r="BR17" s="83"/>
      <c r="BS17" s="83"/>
      <c r="BT17" s="84"/>
      <c r="BU17" s="86">
        <f t="shared" si="11"/>
        <v>0</v>
      </c>
      <c r="BV17" s="85">
        <v>0</v>
      </c>
      <c r="BW17" s="89"/>
      <c r="BX17" s="90"/>
    </row>
    <row r="18" spans="1:76" x14ac:dyDescent="0.25">
      <c r="A18" s="91" t="s">
        <v>84</v>
      </c>
      <c r="B18" s="83" t="s">
        <v>100</v>
      </c>
      <c r="C18" s="98">
        <v>45931</v>
      </c>
      <c r="D18" s="98">
        <v>46265</v>
      </c>
      <c r="E18" s="92" t="s">
        <v>101</v>
      </c>
      <c r="F18" s="92"/>
      <c r="G18" s="92"/>
      <c r="H18" s="92"/>
      <c r="I18" s="92"/>
      <c r="J18" s="92"/>
      <c r="K18" s="93"/>
      <c r="L18" s="104"/>
      <c r="M18" s="103"/>
      <c r="N18" s="82">
        <v>0</v>
      </c>
      <c r="O18" s="83">
        <v>0</v>
      </c>
      <c r="P18" s="83">
        <v>0</v>
      </c>
      <c r="Q18" s="84">
        <v>-118715.37</v>
      </c>
      <c r="R18" s="84">
        <f t="shared" si="0"/>
        <v>118715.37</v>
      </c>
      <c r="S18" s="85">
        <v>0</v>
      </c>
      <c r="T18" s="83">
        <v>0</v>
      </c>
      <c r="U18" s="83">
        <v>0</v>
      </c>
      <c r="V18" s="84">
        <v>0</v>
      </c>
      <c r="W18" s="86">
        <f t="shared" si="1"/>
        <v>0</v>
      </c>
      <c r="X18" s="87">
        <v>0</v>
      </c>
      <c r="Y18" s="83">
        <v>0</v>
      </c>
      <c r="Z18" s="83">
        <v>0</v>
      </c>
      <c r="AA18" s="84">
        <v>0</v>
      </c>
      <c r="AB18" s="86">
        <f t="shared" si="2"/>
        <v>0</v>
      </c>
      <c r="AC18" s="87">
        <v>0</v>
      </c>
      <c r="AD18" s="83">
        <v>0</v>
      </c>
      <c r="AE18" s="83">
        <v>0</v>
      </c>
      <c r="AF18" s="84">
        <v>0</v>
      </c>
      <c r="AG18" s="86">
        <f t="shared" si="3"/>
        <v>0</v>
      </c>
      <c r="AH18" s="87">
        <v>0</v>
      </c>
      <c r="AI18" s="83">
        <v>0</v>
      </c>
      <c r="AJ18" s="83">
        <v>0</v>
      </c>
      <c r="AK18" s="84">
        <v>0</v>
      </c>
      <c r="AL18" s="86">
        <f t="shared" si="4"/>
        <v>0</v>
      </c>
      <c r="AM18" s="87">
        <v>0</v>
      </c>
      <c r="AN18" s="83">
        <v>0</v>
      </c>
      <c r="AO18" s="83">
        <v>0</v>
      </c>
      <c r="AP18" s="84">
        <v>0</v>
      </c>
      <c r="AQ18" s="86">
        <f t="shared" si="5"/>
        <v>0</v>
      </c>
      <c r="AR18" s="87">
        <v>0</v>
      </c>
      <c r="AS18" s="83">
        <v>0</v>
      </c>
      <c r="AT18" s="83">
        <v>0</v>
      </c>
      <c r="AU18" s="84">
        <v>0</v>
      </c>
      <c r="AV18" s="86">
        <f t="shared" si="6"/>
        <v>0</v>
      </c>
      <c r="AW18" s="87">
        <v>0</v>
      </c>
      <c r="AX18" s="83">
        <v>0</v>
      </c>
      <c r="AY18" s="83">
        <v>0</v>
      </c>
      <c r="AZ18" s="84">
        <v>0</v>
      </c>
      <c r="BA18" s="86">
        <f t="shared" si="7"/>
        <v>0</v>
      </c>
      <c r="BB18" s="87">
        <v>0</v>
      </c>
      <c r="BC18" s="83">
        <v>0</v>
      </c>
      <c r="BD18" s="83">
        <v>0</v>
      </c>
      <c r="BE18" s="84">
        <v>0</v>
      </c>
      <c r="BF18" s="86">
        <f t="shared" si="8"/>
        <v>0</v>
      </c>
      <c r="BG18" s="87">
        <v>0</v>
      </c>
      <c r="BH18" s="83">
        <v>0</v>
      </c>
      <c r="BI18" s="83">
        <v>0</v>
      </c>
      <c r="BJ18" s="84">
        <v>0</v>
      </c>
      <c r="BK18" s="86">
        <f t="shared" si="9"/>
        <v>0</v>
      </c>
      <c r="BL18" s="87">
        <v>0</v>
      </c>
      <c r="BM18" s="83">
        <v>0</v>
      </c>
      <c r="BN18" s="83">
        <v>0</v>
      </c>
      <c r="BO18" s="84">
        <v>0</v>
      </c>
      <c r="BP18" s="86">
        <f t="shared" si="10"/>
        <v>0</v>
      </c>
      <c r="BQ18" s="87">
        <v>0</v>
      </c>
      <c r="BR18" s="83">
        <v>0</v>
      </c>
      <c r="BS18" s="83">
        <v>0</v>
      </c>
      <c r="BT18" s="84">
        <v>0</v>
      </c>
      <c r="BU18" s="86">
        <f t="shared" si="11"/>
        <v>0</v>
      </c>
      <c r="BV18" s="85">
        <v>0</v>
      </c>
      <c r="BW18" s="89"/>
      <c r="BX18" s="90"/>
    </row>
    <row r="19" spans="1:76" x14ac:dyDescent="0.25">
      <c r="A19" s="91" t="s">
        <v>102</v>
      </c>
      <c r="B19" s="83" t="s">
        <v>103</v>
      </c>
      <c r="C19" s="98">
        <v>46065</v>
      </c>
      <c r="D19" s="98">
        <v>46387</v>
      </c>
      <c r="E19" s="92" t="s">
        <v>104</v>
      </c>
      <c r="F19" s="92" t="s">
        <v>105</v>
      </c>
      <c r="G19" s="92">
        <v>41500000</v>
      </c>
      <c r="H19" s="92">
        <v>1400</v>
      </c>
      <c r="I19" s="92" t="s">
        <v>98</v>
      </c>
      <c r="J19" s="92">
        <v>2340693</v>
      </c>
      <c r="K19" s="99">
        <v>54880</v>
      </c>
      <c r="L19" s="104" t="s">
        <v>106</v>
      </c>
      <c r="M19" s="103" t="s">
        <v>90</v>
      </c>
      <c r="N19" s="82"/>
      <c r="O19" s="83"/>
      <c r="P19" s="83"/>
      <c r="Q19" s="84"/>
      <c r="R19" s="84">
        <f t="shared" si="0"/>
        <v>0</v>
      </c>
      <c r="S19" s="85"/>
      <c r="T19" s="83"/>
      <c r="U19" s="83"/>
      <c r="V19" s="84"/>
      <c r="W19" s="86">
        <f t="shared" si="1"/>
        <v>0</v>
      </c>
      <c r="X19" s="87"/>
      <c r="Y19" s="83"/>
      <c r="Z19" s="83"/>
      <c r="AA19" s="84"/>
      <c r="AB19" s="86">
        <f t="shared" si="2"/>
        <v>0</v>
      </c>
      <c r="AC19" s="87"/>
      <c r="AD19" s="83"/>
      <c r="AE19" s="83"/>
      <c r="AF19" s="84"/>
      <c r="AG19" s="86">
        <f t="shared" si="3"/>
        <v>0</v>
      </c>
      <c r="AH19" s="87"/>
      <c r="AI19" s="83"/>
      <c r="AJ19" s="83"/>
      <c r="AK19" s="84"/>
      <c r="AL19" s="86">
        <f t="shared" si="4"/>
        <v>0</v>
      </c>
      <c r="AM19" s="87"/>
      <c r="AN19" s="83"/>
      <c r="AO19" s="83"/>
      <c r="AP19" s="84"/>
      <c r="AQ19" s="86">
        <f t="shared" si="5"/>
        <v>0</v>
      </c>
      <c r="AR19" s="87"/>
      <c r="AS19" s="83"/>
      <c r="AT19" s="83"/>
      <c r="AU19" s="84"/>
      <c r="AV19" s="86">
        <f t="shared" si="6"/>
        <v>0</v>
      </c>
      <c r="AW19" s="87"/>
      <c r="AX19" s="83"/>
      <c r="AY19" s="83"/>
      <c r="AZ19" s="84"/>
      <c r="BA19" s="86">
        <f t="shared" si="7"/>
        <v>0</v>
      </c>
      <c r="BB19" s="87"/>
      <c r="BC19" s="83"/>
      <c r="BD19" s="83"/>
      <c r="BE19" s="84"/>
      <c r="BF19" s="86">
        <f t="shared" si="8"/>
        <v>0</v>
      </c>
      <c r="BG19" s="87"/>
      <c r="BH19" s="83"/>
      <c r="BI19" s="83"/>
      <c r="BJ19" s="84"/>
      <c r="BK19" s="86">
        <f t="shared" si="9"/>
        <v>0</v>
      </c>
      <c r="BL19" s="87"/>
      <c r="BM19" s="83"/>
      <c r="BN19" s="83"/>
      <c r="BO19" s="84"/>
      <c r="BP19" s="86">
        <f t="shared" si="10"/>
        <v>0</v>
      </c>
      <c r="BQ19" s="87"/>
      <c r="BR19" s="83"/>
      <c r="BS19" s="83"/>
      <c r="BT19" s="84"/>
      <c r="BU19" s="86">
        <f t="shared" si="11"/>
        <v>0</v>
      </c>
      <c r="BV19" s="85">
        <v>0</v>
      </c>
      <c r="BW19" s="89"/>
      <c r="BX19" s="90"/>
    </row>
    <row r="20" spans="1:76" ht="30" customHeight="1" x14ac:dyDescent="0.25">
      <c r="A20" s="91"/>
      <c r="B20" s="83" t="s">
        <v>107</v>
      </c>
      <c r="C20" s="92"/>
      <c r="D20" s="92"/>
      <c r="E20" s="92"/>
      <c r="F20" s="92" t="s">
        <v>108</v>
      </c>
      <c r="G20" s="92"/>
      <c r="H20" s="92"/>
      <c r="I20" s="92"/>
      <c r="J20" s="92"/>
      <c r="K20" s="99">
        <v>150000</v>
      </c>
      <c r="L20" s="102" t="s">
        <v>109</v>
      </c>
      <c r="M20" s="103"/>
      <c r="N20" s="82"/>
      <c r="O20" s="83"/>
      <c r="P20" s="83"/>
      <c r="Q20" s="84"/>
      <c r="R20" s="84">
        <f t="shared" si="0"/>
        <v>0</v>
      </c>
      <c r="S20" s="85"/>
      <c r="T20" s="83"/>
      <c r="U20" s="83"/>
      <c r="V20" s="84"/>
      <c r="W20" s="86">
        <f t="shared" si="1"/>
        <v>0</v>
      </c>
      <c r="X20" s="87"/>
      <c r="Y20" s="83"/>
      <c r="Z20" s="83"/>
      <c r="AA20" s="84"/>
      <c r="AB20" s="86">
        <f t="shared" si="2"/>
        <v>0</v>
      </c>
      <c r="AC20" s="87"/>
      <c r="AD20" s="83"/>
      <c r="AE20" s="83"/>
      <c r="AF20" s="84"/>
      <c r="AG20" s="86">
        <f t="shared" si="3"/>
        <v>0</v>
      </c>
      <c r="AH20" s="87"/>
      <c r="AI20" s="83"/>
      <c r="AJ20" s="83"/>
      <c r="AK20" s="84"/>
      <c r="AL20" s="86">
        <f t="shared" si="4"/>
        <v>0</v>
      </c>
      <c r="AM20" s="87"/>
      <c r="AN20" s="83"/>
      <c r="AO20" s="83"/>
      <c r="AP20" s="84"/>
      <c r="AQ20" s="86">
        <f t="shared" si="5"/>
        <v>0</v>
      </c>
      <c r="AR20" s="87"/>
      <c r="AS20" s="83"/>
      <c r="AT20" s="83"/>
      <c r="AU20" s="84"/>
      <c r="AV20" s="86">
        <f t="shared" si="6"/>
        <v>0</v>
      </c>
      <c r="AW20" s="87"/>
      <c r="AX20" s="83"/>
      <c r="AY20" s="83"/>
      <c r="AZ20" s="84"/>
      <c r="BA20" s="86">
        <f t="shared" si="7"/>
        <v>0</v>
      </c>
      <c r="BB20" s="87"/>
      <c r="BC20" s="83"/>
      <c r="BD20" s="83"/>
      <c r="BE20" s="84"/>
      <c r="BF20" s="86">
        <f t="shared" si="8"/>
        <v>0</v>
      </c>
      <c r="BG20" s="87"/>
      <c r="BH20" s="83"/>
      <c r="BI20" s="83"/>
      <c r="BJ20" s="84"/>
      <c r="BK20" s="86">
        <f t="shared" si="9"/>
        <v>0</v>
      </c>
      <c r="BL20" s="87"/>
      <c r="BM20" s="83"/>
      <c r="BN20" s="83"/>
      <c r="BO20" s="84"/>
      <c r="BP20" s="86">
        <f t="shared" si="10"/>
        <v>0</v>
      </c>
      <c r="BQ20" s="87"/>
      <c r="BR20" s="83"/>
      <c r="BS20" s="83"/>
      <c r="BT20" s="84"/>
      <c r="BU20" s="86">
        <f t="shared" si="11"/>
        <v>0</v>
      </c>
      <c r="BV20" s="85">
        <v>0</v>
      </c>
      <c r="BW20" s="89"/>
      <c r="BX20" s="90"/>
    </row>
    <row r="21" spans="1:76" x14ac:dyDescent="0.25">
      <c r="A21" s="91" t="s">
        <v>110</v>
      </c>
      <c r="B21" s="83"/>
      <c r="C21" s="92"/>
      <c r="D21" s="92"/>
      <c r="E21" s="92" t="s">
        <v>92</v>
      </c>
      <c r="F21" s="92" t="s">
        <v>93</v>
      </c>
      <c r="G21" s="92">
        <v>41500000</v>
      </c>
      <c r="H21" s="92">
        <v>1400</v>
      </c>
      <c r="I21" s="92" t="s">
        <v>98</v>
      </c>
      <c r="J21" s="92">
        <v>2321403</v>
      </c>
      <c r="K21" s="93"/>
      <c r="L21" s="102" t="s">
        <v>111</v>
      </c>
      <c r="M21" s="103"/>
      <c r="N21" s="82"/>
      <c r="O21" s="83"/>
      <c r="P21" s="83"/>
      <c r="Q21" s="84"/>
      <c r="R21" s="84">
        <f t="shared" si="0"/>
        <v>0</v>
      </c>
      <c r="S21" s="85"/>
      <c r="T21" s="83"/>
      <c r="U21" s="83"/>
      <c r="V21" s="84"/>
      <c r="W21" s="86">
        <f t="shared" si="1"/>
        <v>0</v>
      </c>
      <c r="X21" s="87"/>
      <c r="Y21" s="83"/>
      <c r="Z21" s="83"/>
      <c r="AA21" s="84"/>
      <c r="AB21" s="86">
        <f t="shared" si="2"/>
        <v>0</v>
      </c>
      <c r="AC21" s="87"/>
      <c r="AD21" s="83"/>
      <c r="AE21" s="83"/>
      <c r="AF21" s="84"/>
      <c r="AG21" s="86">
        <f t="shared" si="3"/>
        <v>0</v>
      </c>
      <c r="AH21" s="87"/>
      <c r="AI21" s="83"/>
      <c r="AJ21" s="83"/>
      <c r="AK21" s="84"/>
      <c r="AL21" s="86">
        <f t="shared" si="4"/>
        <v>0</v>
      </c>
      <c r="AM21" s="87"/>
      <c r="AN21" s="83"/>
      <c r="AO21" s="83"/>
      <c r="AP21" s="84"/>
      <c r="AQ21" s="86">
        <f t="shared" si="5"/>
        <v>0</v>
      </c>
      <c r="AR21" s="87"/>
      <c r="AS21" s="83"/>
      <c r="AT21" s="83"/>
      <c r="AU21" s="84"/>
      <c r="AV21" s="86">
        <f t="shared" si="6"/>
        <v>0</v>
      </c>
      <c r="AW21" s="87"/>
      <c r="AX21" s="83"/>
      <c r="AY21" s="83"/>
      <c r="AZ21" s="84"/>
      <c r="BA21" s="86">
        <f t="shared" si="7"/>
        <v>0</v>
      </c>
      <c r="BB21" s="87"/>
      <c r="BC21" s="83"/>
      <c r="BD21" s="83"/>
      <c r="BE21" s="84"/>
      <c r="BF21" s="86">
        <f t="shared" si="8"/>
        <v>0</v>
      </c>
      <c r="BG21" s="87"/>
      <c r="BH21" s="83"/>
      <c r="BI21" s="83"/>
      <c r="BJ21" s="84"/>
      <c r="BK21" s="86">
        <f t="shared" si="9"/>
        <v>0</v>
      </c>
      <c r="BL21" s="87"/>
      <c r="BM21" s="83"/>
      <c r="BN21" s="83"/>
      <c r="BO21" s="84"/>
      <c r="BP21" s="86">
        <f t="shared" si="10"/>
        <v>0</v>
      </c>
      <c r="BQ21" s="87"/>
      <c r="BR21" s="83"/>
      <c r="BS21" s="83"/>
      <c r="BT21" s="84"/>
      <c r="BU21" s="86">
        <f t="shared" si="11"/>
        <v>0</v>
      </c>
      <c r="BV21" s="85">
        <v>0</v>
      </c>
      <c r="BW21" s="89"/>
      <c r="BX21" s="90"/>
    </row>
    <row r="22" spans="1:76" ht="30" customHeight="1" x14ac:dyDescent="0.25">
      <c r="A22" s="91"/>
      <c r="B22" s="83"/>
      <c r="C22" s="92"/>
      <c r="D22" s="92"/>
      <c r="E22" s="92"/>
      <c r="F22" s="92" t="s">
        <v>112</v>
      </c>
      <c r="G22" s="92"/>
      <c r="H22" s="92"/>
      <c r="I22" s="92"/>
      <c r="J22" s="92"/>
      <c r="K22" s="93"/>
      <c r="L22" s="102" t="s">
        <v>113</v>
      </c>
      <c r="M22" s="103"/>
      <c r="N22" s="82"/>
      <c r="O22" s="83"/>
      <c r="P22" s="83"/>
      <c r="Q22" s="84"/>
      <c r="R22" s="84">
        <f t="shared" si="0"/>
        <v>0</v>
      </c>
      <c r="S22" s="85"/>
      <c r="T22" s="83"/>
      <c r="U22" s="83"/>
      <c r="V22" s="84"/>
      <c r="W22" s="86">
        <f t="shared" si="1"/>
        <v>0</v>
      </c>
      <c r="X22" s="87"/>
      <c r="Y22" s="83"/>
      <c r="Z22" s="83"/>
      <c r="AA22" s="84"/>
      <c r="AB22" s="86">
        <f t="shared" si="2"/>
        <v>0</v>
      </c>
      <c r="AC22" s="87"/>
      <c r="AD22" s="83"/>
      <c r="AE22" s="83"/>
      <c r="AF22" s="84"/>
      <c r="AG22" s="86">
        <f t="shared" si="3"/>
        <v>0</v>
      </c>
      <c r="AH22" s="87"/>
      <c r="AI22" s="83"/>
      <c r="AJ22" s="83"/>
      <c r="AK22" s="84"/>
      <c r="AL22" s="86">
        <f t="shared" si="4"/>
        <v>0</v>
      </c>
      <c r="AM22" s="87"/>
      <c r="AN22" s="83"/>
      <c r="AO22" s="83"/>
      <c r="AP22" s="84"/>
      <c r="AQ22" s="86">
        <f t="shared" si="5"/>
        <v>0</v>
      </c>
      <c r="AR22" s="87"/>
      <c r="AS22" s="83"/>
      <c r="AT22" s="83"/>
      <c r="AU22" s="84"/>
      <c r="AV22" s="86">
        <f t="shared" si="6"/>
        <v>0</v>
      </c>
      <c r="AW22" s="87"/>
      <c r="AX22" s="83"/>
      <c r="AY22" s="83"/>
      <c r="AZ22" s="84"/>
      <c r="BA22" s="86">
        <f t="shared" si="7"/>
        <v>0</v>
      </c>
      <c r="BB22" s="87"/>
      <c r="BC22" s="83"/>
      <c r="BD22" s="83"/>
      <c r="BE22" s="84"/>
      <c r="BF22" s="86">
        <f t="shared" si="8"/>
        <v>0</v>
      </c>
      <c r="BG22" s="87"/>
      <c r="BH22" s="83"/>
      <c r="BI22" s="83"/>
      <c r="BJ22" s="84"/>
      <c r="BK22" s="86">
        <f t="shared" si="9"/>
        <v>0</v>
      </c>
      <c r="BL22" s="87"/>
      <c r="BM22" s="83"/>
      <c r="BN22" s="83"/>
      <c r="BO22" s="84"/>
      <c r="BP22" s="86">
        <f t="shared" si="10"/>
        <v>0</v>
      </c>
      <c r="BQ22" s="87"/>
      <c r="BR22" s="83"/>
      <c r="BS22" s="83"/>
      <c r="BT22" s="84"/>
      <c r="BU22" s="86">
        <f t="shared" si="11"/>
        <v>0</v>
      </c>
      <c r="BV22" s="85">
        <v>0</v>
      </c>
      <c r="BW22" s="89"/>
      <c r="BX22" s="90"/>
    </row>
    <row r="23" spans="1:76" ht="30" customHeight="1" x14ac:dyDescent="0.25">
      <c r="A23" s="91"/>
      <c r="B23" s="83"/>
      <c r="C23" s="92"/>
      <c r="D23" s="92"/>
      <c r="E23" s="92"/>
      <c r="F23" s="92" t="s">
        <v>114</v>
      </c>
      <c r="G23" s="92"/>
      <c r="H23" s="92"/>
      <c r="I23" s="92"/>
      <c r="J23" s="92"/>
      <c r="K23" s="93"/>
      <c r="L23" s="102" t="s">
        <v>115</v>
      </c>
      <c r="M23" s="103"/>
      <c r="N23" s="82"/>
      <c r="O23" s="83"/>
      <c r="P23" s="83"/>
      <c r="Q23" s="84"/>
      <c r="R23" s="84">
        <f t="shared" si="0"/>
        <v>0</v>
      </c>
      <c r="S23" s="85"/>
      <c r="T23" s="83"/>
      <c r="U23" s="83"/>
      <c r="V23" s="84"/>
      <c r="W23" s="86">
        <f t="shared" si="1"/>
        <v>0</v>
      </c>
      <c r="X23" s="87"/>
      <c r="Y23" s="83"/>
      <c r="Z23" s="83"/>
      <c r="AA23" s="84"/>
      <c r="AB23" s="86">
        <f t="shared" si="2"/>
        <v>0</v>
      </c>
      <c r="AC23" s="87"/>
      <c r="AD23" s="83"/>
      <c r="AE23" s="83"/>
      <c r="AF23" s="84"/>
      <c r="AG23" s="86">
        <f t="shared" si="3"/>
        <v>0</v>
      </c>
      <c r="AH23" s="87"/>
      <c r="AI23" s="83"/>
      <c r="AJ23" s="83"/>
      <c r="AK23" s="84"/>
      <c r="AL23" s="86">
        <f t="shared" si="4"/>
        <v>0</v>
      </c>
      <c r="AM23" s="87"/>
      <c r="AN23" s="83"/>
      <c r="AO23" s="83"/>
      <c r="AP23" s="84"/>
      <c r="AQ23" s="86">
        <f t="shared" si="5"/>
        <v>0</v>
      </c>
      <c r="AR23" s="87"/>
      <c r="AS23" s="83"/>
      <c r="AT23" s="83"/>
      <c r="AU23" s="84"/>
      <c r="AV23" s="86">
        <f t="shared" si="6"/>
        <v>0</v>
      </c>
      <c r="AW23" s="87"/>
      <c r="AX23" s="83"/>
      <c r="AY23" s="83"/>
      <c r="AZ23" s="84"/>
      <c r="BA23" s="86">
        <f t="shared" si="7"/>
        <v>0</v>
      </c>
      <c r="BB23" s="87"/>
      <c r="BC23" s="83"/>
      <c r="BD23" s="83"/>
      <c r="BE23" s="84"/>
      <c r="BF23" s="86">
        <f t="shared" si="8"/>
        <v>0</v>
      </c>
      <c r="BG23" s="87"/>
      <c r="BH23" s="83"/>
      <c r="BI23" s="83"/>
      <c r="BJ23" s="84"/>
      <c r="BK23" s="86">
        <f t="shared" si="9"/>
        <v>0</v>
      </c>
      <c r="BL23" s="87"/>
      <c r="BM23" s="83"/>
      <c r="BN23" s="83"/>
      <c r="BO23" s="84"/>
      <c r="BP23" s="86">
        <f t="shared" si="10"/>
        <v>0</v>
      </c>
      <c r="BQ23" s="87"/>
      <c r="BR23" s="83"/>
      <c r="BS23" s="83"/>
      <c r="BT23" s="84"/>
      <c r="BU23" s="86">
        <f t="shared" si="11"/>
        <v>0</v>
      </c>
      <c r="BV23" s="85">
        <v>0</v>
      </c>
      <c r="BW23" s="89"/>
      <c r="BX23" s="90"/>
    </row>
    <row r="24" spans="1:76" ht="45" customHeight="1" x14ac:dyDescent="0.25">
      <c r="A24" s="91"/>
      <c r="B24" s="83"/>
      <c r="C24" s="92"/>
      <c r="D24" s="92"/>
      <c r="E24" s="92"/>
      <c r="F24" s="92" t="s">
        <v>116</v>
      </c>
      <c r="G24" s="92"/>
      <c r="H24" s="92"/>
      <c r="I24" s="92"/>
      <c r="J24" s="92"/>
      <c r="K24" s="93"/>
      <c r="L24" s="102" t="s">
        <v>117</v>
      </c>
      <c r="M24" s="103"/>
      <c r="N24" s="82"/>
      <c r="O24" s="83"/>
      <c r="P24" s="83"/>
      <c r="Q24" s="84"/>
      <c r="R24" s="84">
        <f t="shared" si="0"/>
        <v>0</v>
      </c>
      <c r="S24" s="85"/>
      <c r="T24" s="83"/>
      <c r="U24" s="83"/>
      <c r="V24" s="84"/>
      <c r="W24" s="86">
        <f t="shared" si="1"/>
        <v>0</v>
      </c>
      <c r="X24" s="87"/>
      <c r="Y24" s="83"/>
      <c r="Z24" s="83"/>
      <c r="AA24" s="84"/>
      <c r="AB24" s="86">
        <f t="shared" si="2"/>
        <v>0</v>
      </c>
      <c r="AC24" s="87"/>
      <c r="AD24" s="83"/>
      <c r="AE24" s="83"/>
      <c r="AF24" s="84"/>
      <c r="AG24" s="86">
        <f t="shared" si="3"/>
        <v>0</v>
      </c>
      <c r="AH24" s="87"/>
      <c r="AI24" s="83"/>
      <c r="AJ24" s="83"/>
      <c r="AK24" s="84"/>
      <c r="AL24" s="86">
        <f t="shared" si="4"/>
        <v>0</v>
      </c>
      <c r="AM24" s="87"/>
      <c r="AN24" s="83"/>
      <c r="AO24" s="83"/>
      <c r="AP24" s="84"/>
      <c r="AQ24" s="86">
        <f t="shared" si="5"/>
        <v>0</v>
      </c>
      <c r="AR24" s="87"/>
      <c r="AS24" s="83"/>
      <c r="AT24" s="83"/>
      <c r="AU24" s="84"/>
      <c r="AV24" s="86">
        <f t="shared" si="6"/>
        <v>0</v>
      </c>
      <c r="AW24" s="87"/>
      <c r="AX24" s="83"/>
      <c r="AY24" s="83"/>
      <c r="AZ24" s="84"/>
      <c r="BA24" s="86">
        <f t="shared" si="7"/>
        <v>0</v>
      </c>
      <c r="BB24" s="87"/>
      <c r="BC24" s="83"/>
      <c r="BD24" s="83"/>
      <c r="BE24" s="84"/>
      <c r="BF24" s="86">
        <f t="shared" si="8"/>
        <v>0</v>
      </c>
      <c r="BG24" s="87"/>
      <c r="BH24" s="83"/>
      <c r="BI24" s="83"/>
      <c r="BJ24" s="84"/>
      <c r="BK24" s="86">
        <f t="shared" si="9"/>
        <v>0</v>
      </c>
      <c r="BL24" s="87"/>
      <c r="BM24" s="83"/>
      <c r="BN24" s="83"/>
      <c r="BO24" s="84"/>
      <c r="BP24" s="86">
        <f t="shared" si="10"/>
        <v>0</v>
      </c>
      <c r="BQ24" s="87"/>
      <c r="BR24" s="83"/>
      <c r="BS24" s="83"/>
      <c r="BT24" s="84"/>
      <c r="BU24" s="86">
        <f t="shared" si="11"/>
        <v>0</v>
      </c>
      <c r="BV24" s="85">
        <v>0</v>
      </c>
      <c r="BW24" s="89"/>
      <c r="BX24" s="90"/>
    </row>
    <row r="25" spans="1:76" ht="45" customHeight="1" x14ac:dyDescent="0.25">
      <c r="A25" s="91"/>
      <c r="B25" s="83"/>
      <c r="C25" s="92"/>
      <c r="D25" s="92"/>
      <c r="E25" s="92"/>
      <c r="F25" s="92" t="s">
        <v>118</v>
      </c>
      <c r="G25" s="92"/>
      <c r="H25" s="92"/>
      <c r="I25" s="92"/>
      <c r="J25" s="92"/>
      <c r="K25" s="93"/>
      <c r="L25" s="102" t="s">
        <v>119</v>
      </c>
      <c r="M25" s="103"/>
      <c r="N25" s="82"/>
      <c r="O25" s="83"/>
      <c r="P25" s="83"/>
      <c r="Q25" s="84"/>
      <c r="R25" s="84">
        <f t="shared" si="0"/>
        <v>0</v>
      </c>
      <c r="S25" s="85"/>
      <c r="T25" s="83"/>
      <c r="U25" s="83"/>
      <c r="V25" s="84"/>
      <c r="W25" s="86">
        <f t="shared" si="1"/>
        <v>0</v>
      </c>
      <c r="X25" s="87"/>
      <c r="Y25" s="83"/>
      <c r="Z25" s="83"/>
      <c r="AA25" s="84"/>
      <c r="AB25" s="86">
        <f t="shared" si="2"/>
        <v>0</v>
      </c>
      <c r="AC25" s="87"/>
      <c r="AD25" s="83"/>
      <c r="AE25" s="83"/>
      <c r="AF25" s="84"/>
      <c r="AG25" s="86">
        <f t="shared" si="3"/>
        <v>0</v>
      </c>
      <c r="AH25" s="87"/>
      <c r="AI25" s="83"/>
      <c r="AJ25" s="83"/>
      <c r="AK25" s="84"/>
      <c r="AL25" s="86">
        <f t="shared" si="4"/>
        <v>0</v>
      </c>
      <c r="AM25" s="87"/>
      <c r="AN25" s="83"/>
      <c r="AO25" s="83"/>
      <c r="AP25" s="84"/>
      <c r="AQ25" s="86">
        <f t="shared" si="5"/>
        <v>0</v>
      </c>
      <c r="AR25" s="87"/>
      <c r="AS25" s="83"/>
      <c r="AT25" s="83"/>
      <c r="AU25" s="84"/>
      <c r="AV25" s="86">
        <f t="shared" si="6"/>
        <v>0</v>
      </c>
      <c r="AW25" s="87"/>
      <c r="AX25" s="83"/>
      <c r="AY25" s="83"/>
      <c r="AZ25" s="84"/>
      <c r="BA25" s="86">
        <f t="shared" si="7"/>
        <v>0</v>
      </c>
      <c r="BB25" s="87"/>
      <c r="BC25" s="83"/>
      <c r="BD25" s="83"/>
      <c r="BE25" s="84"/>
      <c r="BF25" s="86">
        <f t="shared" si="8"/>
        <v>0</v>
      </c>
      <c r="BG25" s="87"/>
      <c r="BH25" s="83"/>
      <c r="BI25" s="83"/>
      <c r="BJ25" s="84"/>
      <c r="BK25" s="86">
        <f t="shared" si="9"/>
        <v>0</v>
      </c>
      <c r="BL25" s="87"/>
      <c r="BM25" s="83"/>
      <c r="BN25" s="83"/>
      <c r="BO25" s="84"/>
      <c r="BP25" s="86">
        <f t="shared" si="10"/>
        <v>0</v>
      </c>
      <c r="BQ25" s="87"/>
      <c r="BR25" s="83"/>
      <c r="BS25" s="83"/>
      <c r="BT25" s="84"/>
      <c r="BU25" s="86">
        <f t="shared" si="11"/>
        <v>0</v>
      </c>
      <c r="BV25" s="85">
        <v>0</v>
      </c>
      <c r="BW25" s="89"/>
      <c r="BX25" s="90"/>
    </row>
    <row r="26" spans="1:76" x14ac:dyDescent="0.25">
      <c r="A26" s="91"/>
      <c r="B26" s="83"/>
      <c r="C26" s="92"/>
      <c r="D26" s="92"/>
      <c r="E26" s="92"/>
      <c r="F26" s="92" t="s">
        <v>120</v>
      </c>
      <c r="G26" s="92"/>
      <c r="H26" s="92"/>
      <c r="I26" s="92"/>
      <c r="J26" s="92"/>
      <c r="K26" s="93"/>
      <c r="L26" s="102" t="s">
        <v>121</v>
      </c>
      <c r="M26" s="103"/>
      <c r="N26" s="82"/>
      <c r="O26" s="83"/>
      <c r="P26" s="83"/>
      <c r="Q26" s="84"/>
      <c r="R26" s="84">
        <f t="shared" si="0"/>
        <v>0</v>
      </c>
      <c r="S26" s="85"/>
      <c r="T26" s="83"/>
      <c r="U26" s="83"/>
      <c r="V26" s="84"/>
      <c r="W26" s="86">
        <f t="shared" si="1"/>
        <v>0</v>
      </c>
      <c r="X26" s="87"/>
      <c r="Y26" s="83"/>
      <c r="Z26" s="83"/>
      <c r="AA26" s="84"/>
      <c r="AB26" s="86">
        <f t="shared" si="2"/>
        <v>0</v>
      </c>
      <c r="AC26" s="87"/>
      <c r="AD26" s="83"/>
      <c r="AE26" s="83"/>
      <c r="AF26" s="84"/>
      <c r="AG26" s="86">
        <f t="shared" si="3"/>
        <v>0</v>
      </c>
      <c r="AH26" s="87"/>
      <c r="AI26" s="83"/>
      <c r="AJ26" s="83"/>
      <c r="AK26" s="84"/>
      <c r="AL26" s="86">
        <f t="shared" si="4"/>
        <v>0</v>
      </c>
      <c r="AM26" s="87"/>
      <c r="AN26" s="83"/>
      <c r="AO26" s="83"/>
      <c r="AP26" s="84"/>
      <c r="AQ26" s="86">
        <f t="shared" si="5"/>
        <v>0</v>
      </c>
      <c r="AR26" s="87"/>
      <c r="AS26" s="83"/>
      <c r="AT26" s="83"/>
      <c r="AU26" s="84"/>
      <c r="AV26" s="86">
        <f t="shared" si="6"/>
        <v>0</v>
      </c>
      <c r="AW26" s="87"/>
      <c r="AX26" s="83"/>
      <c r="AY26" s="83"/>
      <c r="AZ26" s="84"/>
      <c r="BA26" s="86">
        <f t="shared" si="7"/>
        <v>0</v>
      </c>
      <c r="BB26" s="87"/>
      <c r="BC26" s="83"/>
      <c r="BD26" s="83"/>
      <c r="BE26" s="84"/>
      <c r="BF26" s="86">
        <f t="shared" si="8"/>
        <v>0</v>
      </c>
      <c r="BG26" s="87"/>
      <c r="BH26" s="83"/>
      <c r="BI26" s="83"/>
      <c r="BJ26" s="84"/>
      <c r="BK26" s="86">
        <f t="shared" si="9"/>
        <v>0</v>
      </c>
      <c r="BL26" s="87"/>
      <c r="BM26" s="83"/>
      <c r="BN26" s="83"/>
      <c r="BO26" s="84"/>
      <c r="BP26" s="86">
        <f t="shared" si="10"/>
        <v>0</v>
      </c>
      <c r="BQ26" s="87"/>
      <c r="BR26" s="83"/>
      <c r="BS26" s="83"/>
      <c r="BT26" s="84"/>
      <c r="BU26" s="86">
        <f t="shared" si="11"/>
        <v>0</v>
      </c>
      <c r="BV26" s="85">
        <v>0</v>
      </c>
      <c r="BW26" s="89"/>
      <c r="BX26" s="90"/>
    </row>
    <row r="27" spans="1:76" ht="30" customHeight="1" x14ac:dyDescent="0.25">
      <c r="A27" s="91"/>
      <c r="B27" s="83"/>
      <c r="C27" s="92"/>
      <c r="D27" s="92"/>
      <c r="E27" s="92"/>
      <c r="F27" s="92" t="s">
        <v>122</v>
      </c>
      <c r="G27" s="92"/>
      <c r="H27" s="92"/>
      <c r="I27" s="92"/>
      <c r="J27" s="92"/>
      <c r="K27" s="93"/>
      <c r="L27" s="102" t="s">
        <v>123</v>
      </c>
      <c r="M27" s="103"/>
      <c r="N27" s="82"/>
      <c r="O27" s="83"/>
      <c r="P27" s="83"/>
      <c r="Q27" s="84"/>
      <c r="R27" s="84">
        <f t="shared" si="0"/>
        <v>0</v>
      </c>
      <c r="S27" s="85"/>
      <c r="T27" s="83"/>
      <c r="U27" s="83"/>
      <c r="V27" s="84"/>
      <c r="W27" s="86">
        <f t="shared" si="1"/>
        <v>0</v>
      </c>
      <c r="X27" s="87"/>
      <c r="Y27" s="83"/>
      <c r="Z27" s="83"/>
      <c r="AA27" s="84"/>
      <c r="AB27" s="86">
        <f t="shared" si="2"/>
        <v>0</v>
      </c>
      <c r="AC27" s="87"/>
      <c r="AD27" s="83"/>
      <c r="AE27" s="83"/>
      <c r="AF27" s="84"/>
      <c r="AG27" s="86">
        <f t="shared" si="3"/>
        <v>0</v>
      </c>
      <c r="AH27" s="87"/>
      <c r="AI27" s="83"/>
      <c r="AJ27" s="83"/>
      <c r="AK27" s="84"/>
      <c r="AL27" s="86">
        <f t="shared" si="4"/>
        <v>0</v>
      </c>
      <c r="AM27" s="87"/>
      <c r="AN27" s="83"/>
      <c r="AO27" s="83"/>
      <c r="AP27" s="84"/>
      <c r="AQ27" s="86">
        <f t="shared" si="5"/>
        <v>0</v>
      </c>
      <c r="AR27" s="87"/>
      <c r="AS27" s="83"/>
      <c r="AT27" s="83"/>
      <c r="AU27" s="84"/>
      <c r="AV27" s="86">
        <f t="shared" si="6"/>
        <v>0</v>
      </c>
      <c r="AW27" s="87"/>
      <c r="AX27" s="83"/>
      <c r="AY27" s="83"/>
      <c r="AZ27" s="84"/>
      <c r="BA27" s="86">
        <f t="shared" si="7"/>
        <v>0</v>
      </c>
      <c r="BB27" s="87"/>
      <c r="BC27" s="83"/>
      <c r="BD27" s="83"/>
      <c r="BE27" s="84"/>
      <c r="BF27" s="86">
        <f t="shared" si="8"/>
        <v>0</v>
      </c>
      <c r="BG27" s="87"/>
      <c r="BH27" s="83"/>
      <c r="BI27" s="83"/>
      <c r="BJ27" s="84"/>
      <c r="BK27" s="86">
        <f t="shared" si="9"/>
        <v>0</v>
      </c>
      <c r="BL27" s="87"/>
      <c r="BM27" s="83"/>
      <c r="BN27" s="83"/>
      <c r="BO27" s="84"/>
      <c r="BP27" s="86">
        <f t="shared" si="10"/>
        <v>0</v>
      </c>
      <c r="BQ27" s="87"/>
      <c r="BR27" s="83"/>
      <c r="BS27" s="83"/>
      <c r="BT27" s="84"/>
      <c r="BU27" s="86">
        <f t="shared" si="11"/>
        <v>0</v>
      </c>
      <c r="BV27" s="85">
        <v>0</v>
      </c>
      <c r="BW27" s="89"/>
      <c r="BX27" s="90"/>
    </row>
    <row r="28" spans="1:76" x14ac:dyDescent="0.25">
      <c r="A28" s="91"/>
      <c r="B28" s="83"/>
      <c r="C28" s="92"/>
      <c r="D28" s="92"/>
      <c r="E28" s="92"/>
      <c r="F28" s="92" t="s">
        <v>124</v>
      </c>
      <c r="G28" s="92"/>
      <c r="H28" s="92"/>
      <c r="I28" s="92"/>
      <c r="J28" s="92"/>
      <c r="K28" s="93"/>
      <c r="L28" s="102" t="s">
        <v>125</v>
      </c>
      <c r="M28" s="103"/>
      <c r="N28" s="82"/>
      <c r="O28" s="83"/>
      <c r="P28" s="83"/>
      <c r="Q28" s="84"/>
      <c r="R28" s="84">
        <f t="shared" si="0"/>
        <v>0</v>
      </c>
      <c r="S28" s="85"/>
      <c r="T28" s="83"/>
      <c r="U28" s="83"/>
      <c r="V28" s="84"/>
      <c r="W28" s="86">
        <f t="shared" si="1"/>
        <v>0</v>
      </c>
      <c r="X28" s="87"/>
      <c r="Y28" s="83"/>
      <c r="Z28" s="83"/>
      <c r="AA28" s="84"/>
      <c r="AB28" s="86">
        <f t="shared" si="2"/>
        <v>0</v>
      </c>
      <c r="AC28" s="87"/>
      <c r="AD28" s="83"/>
      <c r="AE28" s="83"/>
      <c r="AF28" s="84"/>
      <c r="AG28" s="86">
        <f t="shared" si="3"/>
        <v>0</v>
      </c>
      <c r="AH28" s="87"/>
      <c r="AI28" s="83"/>
      <c r="AJ28" s="83"/>
      <c r="AK28" s="84"/>
      <c r="AL28" s="86">
        <f t="shared" si="4"/>
        <v>0</v>
      </c>
      <c r="AM28" s="87"/>
      <c r="AN28" s="83"/>
      <c r="AO28" s="83"/>
      <c r="AP28" s="84"/>
      <c r="AQ28" s="86">
        <f t="shared" si="5"/>
        <v>0</v>
      </c>
      <c r="AR28" s="87"/>
      <c r="AS28" s="83"/>
      <c r="AT28" s="83"/>
      <c r="AU28" s="84"/>
      <c r="AV28" s="86">
        <f t="shared" si="6"/>
        <v>0</v>
      </c>
      <c r="AW28" s="87"/>
      <c r="AX28" s="83"/>
      <c r="AY28" s="83"/>
      <c r="AZ28" s="84"/>
      <c r="BA28" s="86">
        <f t="shared" si="7"/>
        <v>0</v>
      </c>
      <c r="BB28" s="87"/>
      <c r="BC28" s="83"/>
      <c r="BD28" s="83"/>
      <c r="BE28" s="84"/>
      <c r="BF28" s="86">
        <f t="shared" si="8"/>
        <v>0</v>
      </c>
      <c r="BG28" s="87"/>
      <c r="BH28" s="83"/>
      <c r="BI28" s="83"/>
      <c r="BJ28" s="84"/>
      <c r="BK28" s="86">
        <f t="shared" si="9"/>
        <v>0</v>
      </c>
      <c r="BL28" s="87"/>
      <c r="BM28" s="83"/>
      <c r="BN28" s="83"/>
      <c r="BO28" s="84"/>
      <c r="BP28" s="86">
        <f t="shared" si="10"/>
        <v>0</v>
      </c>
      <c r="BQ28" s="87"/>
      <c r="BR28" s="83"/>
      <c r="BS28" s="83"/>
      <c r="BT28" s="84"/>
      <c r="BU28" s="86">
        <f t="shared" si="11"/>
        <v>0</v>
      </c>
      <c r="BV28" s="85">
        <v>0</v>
      </c>
      <c r="BW28" s="89"/>
      <c r="BX28" s="90"/>
    </row>
    <row r="29" spans="1:76" x14ac:dyDescent="0.25">
      <c r="A29" s="91"/>
      <c r="B29" s="83"/>
      <c r="C29" s="92"/>
      <c r="D29" s="92"/>
      <c r="E29" s="92"/>
      <c r="F29" s="92" t="s">
        <v>126</v>
      </c>
      <c r="G29" s="92"/>
      <c r="H29" s="92"/>
      <c r="I29" s="92"/>
      <c r="J29" s="92"/>
      <c r="K29" s="93"/>
      <c r="L29" s="102" t="s">
        <v>125</v>
      </c>
      <c r="M29" s="103"/>
      <c r="N29" s="82"/>
      <c r="O29" s="83"/>
      <c r="P29" s="83"/>
      <c r="Q29" s="84"/>
      <c r="R29" s="84">
        <f t="shared" si="0"/>
        <v>0</v>
      </c>
      <c r="S29" s="85"/>
      <c r="T29" s="83"/>
      <c r="U29" s="83"/>
      <c r="V29" s="84"/>
      <c r="W29" s="86">
        <f t="shared" si="1"/>
        <v>0</v>
      </c>
      <c r="X29" s="87"/>
      <c r="Y29" s="83"/>
      <c r="Z29" s="83"/>
      <c r="AA29" s="84"/>
      <c r="AB29" s="86">
        <f t="shared" si="2"/>
        <v>0</v>
      </c>
      <c r="AC29" s="87"/>
      <c r="AD29" s="83"/>
      <c r="AE29" s="83"/>
      <c r="AF29" s="84"/>
      <c r="AG29" s="86">
        <f t="shared" si="3"/>
        <v>0</v>
      </c>
      <c r="AH29" s="87"/>
      <c r="AI29" s="83"/>
      <c r="AJ29" s="83"/>
      <c r="AK29" s="84"/>
      <c r="AL29" s="86">
        <f t="shared" si="4"/>
        <v>0</v>
      </c>
      <c r="AM29" s="87"/>
      <c r="AN29" s="83"/>
      <c r="AO29" s="83"/>
      <c r="AP29" s="84"/>
      <c r="AQ29" s="86">
        <f t="shared" si="5"/>
        <v>0</v>
      </c>
      <c r="AR29" s="87"/>
      <c r="AS29" s="83"/>
      <c r="AT29" s="83"/>
      <c r="AU29" s="84"/>
      <c r="AV29" s="86">
        <f t="shared" si="6"/>
        <v>0</v>
      </c>
      <c r="AW29" s="87"/>
      <c r="AX29" s="83"/>
      <c r="AY29" s="83"/>
      <c r="AZ29" s="84"/>
      <c r="BA29" s="86">
        <f t="shared" si="7"/>
        <v>0</v>
      </c>
      <c r="BB29" s="87"/>
      <c r="BC29" s="83"/>
      <c r="BD29" s="83"/>
      <c r="BE29" s="84"/>
      <c r="BF29" s="86">
        <f t="shared" si="8"/>
        <v>0</v>
      </c>
      <c r="BG29" s="87"/>
      <c r="BH29" s="83"/>
      <c r="BI29" s="83"/>
      <c r="BJ29" s="84"/>
      <c r="BK29" s="86">
        <f t="shared" si="9"/>
        <v>0</v>
      </c>
      <c r="BL29" s="87"/>
      <c r="BM29" s="83"/>
      <c r="BN29" s="83"/>
      <c r="BO29" s="84"/>
      <c r="BP29" s="86">
        <f t="shared" si="10"/>
        <v>0</v>
      </c>
      <c r="BQ29" s="87"/>
      <c r="BR29" s="83"/>
      <c r="BS29" s="83"/>
      <c r="BT29" s="84"/>
      <c r="BU29" s="86">
        <f t="shared" si="11"/>
        <v>0</v>
      </c>
      <c r="BV29" s="85">
        <v>0</v>
      </c>
      <c r="BW29" s="89"/>
      <c r="BX29" s="90"/>
    </row>
    <row r="30" spans="1:76" ht="30" customHeight="1" x14ac:dyDescent="0.25">
      <c r="A30" s="91"/>
      <c r="B30" s="83"/>
      <c r="C30" s="92"/>
      <c r="D30" s="92"/>
      <c r="E30" s="92"/>
      <c r="F30" s="92" t="s">
        <v>127</v>
      </c>
      <c r="G30" s="92"/>
      <c r="H30" s="92"/>
      <c r="I30" s="92"/>
      <c r="J30" s="92"/>
      <c r="K30" s="93"/>
      <c r="L30" s="102" t="s">
        <v>128</v>
      </c>
      <c r="M30" s="103"/>
      <c r="N30" s="82"/>
      <c r="O30" s="83"/>
      <c r="P30" s="83"/>
      <c r="Q30" s="84"/>
      <c r="R30" s="84">
        <f t="shared" si="0"/>
        <v>0</v>
      </c>
      <c r="S30" s="85"/>
      <c r="T30" s="83"/>
      <c r="U30" s="83"/>
      <c r="V30" s="84"/>
      <c r="W30" s="86">
        <f t="shared" si="1"/>
        <v>0</v>
      </c>
      <c r="X30" s="87"/>
      <c r="Y30" s="83"/>
      <c r="Z30" s="83"/>
      <c r="AA30" s="84"/>
      <c r="AB30" s="86">
        <f t="shared" si="2"/>
        <v>0</v>
      </c>
      <c r="AC30" s="87"/>
      <c r="AD30" s="83"/>
      <c r="AE30" s="83"/>
      <c r="AF30" s="84"/>
      <c r="AG30" s="86">
        <f t="shared" si="3"/>
        <v>0</v>
      </c>
      <c r="AH30" s="87"/>
      <c r="AI30" s="83"/>
      <c r="AJ30" s="83"/>
      <c r="AK30" s="84"/>
      <c r="AL30" s="86">
        <f t="shared" si="4"/>
        <v>0</v>
      </c>
      <c r="AM30" s="87"/>
      <c r="AN30" s="83"/>
      <c r="AO30" s="83"/>
      <c r="AP30" s="84"/>
      <c r="AQ30" s="86">
        <f t="shared" si="5"/>
        <v>0</v>
      </c>
      <c r="AR30" s="87"/>
      <c r="AS30" s="83"/>
      <c r="AT30" s="83"/>
      <c r="AU30" s="84"/>
      <c r="AV30" s="86">
        <f t="shared" si="6"/>
        <v>0</v>
      </c>
      <c r="AW30" s="87"/>
      <c r="AX30" s="83"/>
      <c r="AY30" s="83"/>
      <c r="AZ30" s="84"/>
      <c r="BA30" s="86">
        <f t="shared" si="7"/>
        <v>0</v>
      </c>
      <c r="BB30" s="87"/>
      <c r="BC30" s="83"/>
      <c r="BD30" s="83"/>
      <c r="BE30" s="84"/>
      <c r="BF30" s="86">
        <f t="shared" si="8"/>
        <v>0</v>
      </c>
      <c r="BG30" s="87"/>
      <c r="BH30" s="83"/>
      <c r="BI30" s="83"/>
      <c r="BJ30" s="84"/>
      <c r="BK30" s="86">
        <f t="shared" si="9"/>
        <v>0</v>
      </c>
      <c r="BL30" s="87"/>
      <c r="BM30" s="83"/>
      <c r="BN30" s="83"/>
      <c r="BO30" s="84"/>
      <c r="BP30" s="86">
        <f t="shared" si="10"/>
        <v>0</v>
      </c>
      <c r="BQ30" s="87"/>
      <c r="BR30" s="83"/>
      <c r="BS30" s="83"/>
      <c r="BT30" s="84"/>
      <c r="BU30" s="86">
        <f t="shared" si="11"/>
        <v>0</v>
      </c>
      <c r="BV30" s="85">
        <v>0</v>
      </c>
      <c r="BW30" s="89"/>
      <c r="BX30" s="90"/>
    </row>
    <row r="31" spans="1:76" ht="30" customHeight="1" x14ac:dyDescent="0.25">
      <c r="A31" s="91"/>
      <c r="B31" s="83"/>
      <c r="C31" s="92"/>
      <c r="D31" s="92"/>
      <c r="E31" s="92"/>
      <c r="F31" s="92" t="s">
        <v>129</v>
      </c>
      <c r="G31" s="92"/>
      <c r="H31" s="92"/>
      <c r="I31" s="92"/>
      <c r="J31" s="92"/>
      <c r="K31" s="93"/>
      <c r="L31" s="102" t="s">
        <v>130</v>
      </c>
      <c r="M31" s="103"/>
      <c r="N31" s="82"/>
      <c r="O31" s="83"/>
      <c r="P31" s="83"/>
      <c r="Q31" s="84"/>
      <c r="R31" s="84">
        <f t="shared" si="0"/>
        <v>0</v>
      </c>
      <c r="S31" s="85"/>
      <c r="T31" s="83"/>
      <c r="U31" s="83"/>
      <c r="V31" s="84"/>
      <c r="W31" s="86">
        <f t="shared" si="1"/>
        <v>0</v>
      </c>
      <c r="X31" s="87"/>
      <c r="Y31" s="83"/>
      <c r="Z31" s="83"/>
      <c r="AA31" s="84"/>
      <c r="AB31" s="86">
        <f t="shared" si="2"/>
        <v>0</v>
      </c>
      <c r="AC31" s="87"/>
      <c r="AD31" s="83"/>
      <c r="AE31" s="83"/>
      <c r="AF31" s="84"/>
      <c r="AG31" s="86">
        <f t="shared" si="3"/>
        <v>0</v>
      </c>
      <c r="AH31" s="87"/>
      <c r="AI31" s="83"/>
      <c r="AJ31" s="83"/>
      <c r="AK31" s="84"/>
      <c r="AL31" s="86">
        <f t="shared" si="4"/>
        <v>0</v>
      </c>
      <c r="AM31" s="87"/>
      <c r="AN31" s="83"/>
      <c r="AO31" s="83"/>
      <c r="AP31" s="84"/>
      <c r="AQ31" s="86">
        <f t="shared" si="5"/>
        <v>0</v>
      </c>
      <c r="AR31" s="87"/>
      <c r="AS31" s="83"/>
      <c r="AT31" s="83"/>
      <c r="AU31" s="84"/>
      <c r="AV31" s="86">
        <f t="shared" si="6"/>
        <v>0</v>
      </c>
      <c r="AW31" s="87"/>
      <c r="AX31" s="83"/>
      <c r="AY31" s="83"/>
      <c r="AZ31" s="84"/>
      <c r="BA31" s="86">
        <f t="shared" si="7"/>
        <v>0</v>
      </c>
      <c r="BB31" s="87"/>
      <c r="BC31" s="83"/>
      <c r="BD31" s="83"/>
      <c r="BE31" s="84"/>
      <c r="BF31" s="86">
        <f t="shared" si="8"/>
        <v>0</v>
      </c>
      <c r="BG31" s="87"/>
      <c r="BH31" s="83"/>
      <c r="BI31" s="83"/>
      <c r="BJ31" s="84"/>
      <c r="BK31" s="86">
        <f t="shared" si="9"/>
        <v>0</v>
      </c>
      <c r="BL31" s="87"/>
      <c r="BM31" s="83"/>
      <c r="BN31" s="83"/>
      <c r="BO31" s="84"/>
      <c r="BP31" s="86">
        <f t="shared" si="10"/>
        <v>0</v>
      </c>
      <c r="BQ31" s="87"/>
      <c r="BR31" s="83"/>
      <c r="BS31" s="83"/>
      <c r="BT31" s="84"/>
      <c r="BU31" s="86">
        <f t="shared" si="11"/>
        <v>0</v>
      </c>
      <c r="BV31" s="85">
        <v>0</v>
      </c>
      <c r="BW31" s="89"/>
      <c r="BX31" s="90"/>
    </row>
    <row r="32" spans="1:76" ht="45" customHeight="1" x14ac:dyDescent="0.25">
      <c r="A32" s="91"/>
      <c r="B32" s="83"/>
      <c r="C32" s="92"/>
      <c r="D32" s="92"/>
      <c r="E32" s="92"/>
      <c r="F32" s="92" t="s">
        <v>131</v>
      </c>
      <c r="G32" s="92"/>
      <c r="H32" s="92"/>
      <c r="I32" s="92"/>
      <c r="J32" s="92"/>
      <c r="K32" s="93"/>
      <c r="L32" s="102" t="s">
        <v>132</v>
      </c>
      <c r="M32" s="103"/>
      <c r="N32" s="82"/>
      <c r="O32" s="83"/>
      <c r="P32" s="83"/>
      <c r="Q32" s="84"/>
      <c r="R32" s="84">
        <f t="shared" si="0"/>
        <v>0</v>
      </c>
      <c r="S32" s="85"/>
      <c r="T32" s="83"/>
      <c r="U32" s="83"/>
      <c r="V32" s="84"/>
      <c r="W32" s="86">
        <f t="shared" si="1"/>
        <v>0</v>
      </c>
      <c r="X32" s="87"/>
      <c r="Y32" s="83"/>
      <c r="Z32" s="83"/>
      <c r="AA32" s="84"/>
      <c r="AB32" s="86">
        <f t="shared" si="2"/>
        <v>0</v>
      </c>
      <c r="AC32" s="87"/>
      <c r="AD32" s="83"/>
      <c r="AE32" s="83"/>
      <c r="AF32" s="84"/>
      <c r="AG32" s="86">
        <f t="shared" si="3"/>
        <v>0</v>
      </c>
      <c r="AH32" s="87"/>
      <c r="AI32" s="83"/>
      <c r="AJ32" s="83"/>
      <c r="AK32" s="84"/>
      <c r="AL32" s="86">
        <f t="shared" si="4"/>
        <v>0</v>
      </c>
      <c r="AM32" s="87"/>
      <c r="AN32" s="83"/>
      <c r="AO32" s="83"/>
      <c r="AP32" s="84"/>
      <c r="AQ32" s="86">
        <f t="shared" si="5"/>
        <v>0</v>
      </c>
      <c r="AR32" s="87"/>
      <c r="AS32" s="83"/>
      <c r="AT32" s="83"/>
      <c r="AU32" s="84"/>
      <c r="AV32" s="86">
        <f t="shared" si="6"/>
        <v>0</v>
      </c>
      <c r="AW32" s="87"/>
      <c r="AX32" s="83"/>
      <c r="AY32" s="83"/>
      <c r="AZ32" s="84"/>
      <c r="BA32" s="86">
        <f t="shared" si="7"/>
        <v>0</v>
      </c>
      <c r="BB32" s="87"/>
      <c r="BC32" s="83"/>
      <c r="BD32" s="83"/>
      <c r="BE32" s="84"/>
      <c r="BF32" s="86">
        <f t="shared" si="8"/>
        <v>0</v>
      </c>
      <c r="BG32" s="87"/>
      <c r="BH32" s="83"/>
      <c r="BI32" s="83"/>
      <c r="BJ32" s="84"/>
      <c r="BK32" s="86">
        <f t="shared" si="9"/>
        <v>0</v>
      </c>
      <c r="BL32" s="87"/>
      <c r="BM32" s="83"/>
      <c r="BN32" s="83"/>
      <c r="BO32" s="84"/>
      <c r="BP32" s="86">
        <f t="shared" si="10"/>
        <v>0</v>
      </c>
      <c r="BQ32" s="87"/>
      <c r="BR32" s="83"/>
      <c r="BS32" s="83"/>
      <c r="BT32" s="84"/>
      <c r="BU32" s="86">
        <f t="shared" si="11"/>
        <v>0</v>
      </c>
      <c r="BV32" s="85">
        <v>0</v>
      </c>
      <c r="BW32" s="89"/>
      <c r="BX32" s="90"/>
    </row>
    <row r="33" spans="1:76" x14ac:dyDescent="0.25">
      <c r="A33" s="91"/>
      <c r="B33" s="83"/>
      <c r="C33" s="92"/>
      <c r="D33" s="92"/>
      <c r="E33" s="92"/>
      <c r="F33" s="92" t="s">
        <v>133</v>
      </c>
      <c r="G33" s="92"/>
      <c r="H33" s="92"/>
      <c r="I33" s="92"/>
      <c r="J33" s="92"/>
      <c r="K33" s="93"/>
      <c r="L33" s="102" t="s">
        <v>134</v>
      </c>
      <c r="M33" s="103"/>
      <c r="N33" s="82"/>
      <c r="O33" s="83"/>
      <c r="P33" s="83"/>
      <c r="Q33" s="84"/>
      <c r="R33" s="84">
        <f t="shared" si="0"/>
        <v>0</v>
      </c>
      <c r="S33" s="85"/>
      <c r="T33" s="83"/>
      <c r="U33" s="83"/>
      <c r="V33" s="84"/>
      <c r="W33" s="86">
        <f t="shared" si="1"/>
        <v>0</v>
      </c>
      <c r="X33" s="87"/>
      <c r="Y33" s="83"/>
      <c r="Z33" s="83"/>
      <c r="AA33" s="84"/>
      <c r="AB33" s="86">
        <f t="shared" si="2"/>
        <v>0</v>
      </c>
      <c r="AC33" s="87"/>
      <c r="AD33" s="83"/>
      <c r="AE33" s="83"/>
      <c r="AF33" s="84"/>
      <c r="AG33" s="86">
        <f t="shared" si="3"/>
        <v>0</v>
      </c>
      <c r="AH33" s="87"/>
      <c r="AI33" s="83"/>
      <c r="AJ33" s="83"/>
      <c r="AK33" s="84"/>
      <c r="AL33" s="86">
        <f t="shared" si="4"/>
        <v>0</v>
      </c>
      <c r="AM33" s="87"/>
      <c r="AN33" s="83"/>
      <c r="AO33" s="83"/>
      <c r="AP33" s="84"/>
      <c r="AQ33" s="86">
        <f t="shared" si="5"/>
        <v>0</v>
      </c>
      <c r="AR33" s="87"/>
      <c r="AS33" s="83"/>
      <c r="AT33" s="83"/>
      <c r="AU33" s="84"/>
      <c r="AV33" s="86">
        <f t="shared" si="6"/>
        <v>0</v>
      </c>
      <c r="AW33" s="87"/>
      <c r="AX33" s="83"/>
      <c r="AY33" s="83"/>
      <c r="AZ33" s="84"/>
      <c r="BA33" s="86">
        <f t="shared" si="7"/>
        <v>0</v>
      </c>
      <c r="BB33" s="87"/>
      <c r="BC33" s="83"/>
      <c r="BD33" s="83"/>
      <c r="BE33" s="84"/>
      <c r="BF33" s="86">
        <f t="shared" si="8"/>
        <v>0</v>
      </c>
      <c r="BG33" s="87"/>
      <c r="BH33" s="83"/>
      <c r="BI33" s="83"/>
      <c r="BJ33" s="84"/>
      <c r="BK33" s="86">
        <f t="shared" si="9"/>
        <v>0</v>
      </c>
      <c r="BL33" s="87"/>
      <c r="BM33" s="83"/>
      <c r="BN33" s="83"/>
      <c r="BO33" s="84"/>
      <c r="BP33" s="86">
        <f t="shared" si="10"/>
        <v>0</v>
      </c>
      <c r="BQ33" s="87"/>
      <c r="BR33" s="83"/>
      <c r="BS33" s="83"/>
      <c r="BT33" s="84"/>
      <c r="BU33" s="86">
        <f t="shared" si="11"/>
        <v>0</v>
      </c>
      <c r="BV33" s="85">
        <v>0</v>
      </c>
      <c r="BW33" s="89"/>
      <c r="BX33" s="90"/>
    </row>
    <row r="34" spans="1:76" ht="30" customHeight="1" x14ac:dyDescent="0.25">
      <c r="A34" s="91"/>
      <c r="B34" s="83"/>
      <c r="C34" s="92"/>
      <c r="D34" s="92"/>
      <c r="E34" s="92"/>
      <c r="F34" s="92" t="s">
        <v>135</v>
      </c>
      <c r="G34" s="92"/>
      <c r="H34" s="92"/>
      <c r="I34" s="92"/>
      <c r="J34" s="92"/>
      <c r="K34" s="93"/>
      <c r="L34" s="102" t="s">
        <v>136</v>
      </c>
      <c r="M34" s="103"/>
      <c r="N34" s="82"/>
      <c r="O34" s="83"/>
      <c r="P34" s="83"/>
      <c r="Q34" s="84"/>
      <c r="R34" s="84">
        <f t="shared" si="0"/>
        <v>0</v>
      </c>
      <c r="S34" s="85"/>
      <c r="T34" s="83"/>
      <c r="U34" s="83"/>
      <c r="V34" s="84"/>
      <c r="W34" s="86">
        <f t="shared" si="1"/>
        <v>0</v>
      </c>
      <c r="X34" s="87"/>
      <c r="Y34" s="83"/>
      <c r="Z34" s="83"/>
      <c r="AA34" s="84"/>
      <c r="AB34" s="86">
        <f t="shared" si="2"/>
        <v>0</v>
      </c>
      <c r="AC34" s="87"/>
      <c r="AD34" s="83"/>
      <c r="AE34" s="83"/>
      <c r="AF34" s="84"/>
      <c r="AG34" s="86">
        <f t="shared" si="3"/>
        <v>0</v>
      </c>
      <c r="AH34" s="87"/>
      <c r="AI34" s="83"/>
      <c r="AJ34" s="83"/>
      <c r="AK34" s="84"/>
      <c r="AL34" s="86">
        <f t="shared" si="4"/>
        <v>0</v>
      </c>
      <c r="AM34" s="87"/>
      <c r="AN34" s="83"/>
      <c r="AO34" s="83"/>
      <c r="AP34" s="84"/>
      <c r="AQ34" s="86">
        <f t="shared" si="5"/>
        <v>0</v>
      </c>
      <c r="AR34" s="87"/>
      <c r="AS34" s="83"/>
      <c r="AT34" s="83"/>
      <c r="AU34" s="84"/>
      <c r="AV34" s="86">
        <f t="shared" si="6"/>
        <v>0</v>
      </c>
      <c r="AW34" s="87"/>
      <c r="AX34" s="83"/>
      <c r="AY34" s="83"/>
      <c r="AZ34" s="84"/>
      <c r="BA34" s="86">
        <f t="shared" si="7"/>
        <v>0</v>
      </c>
      <c r="BB34" s="87"/>
      <c r="BC34" s="83"/>
      <c r="BD34" s="83"/>
      <c r="BE34" s="84"/>
      <c r="BF34" s="86">
        <f t="shared" si="8"/>
        <v>0</v>
      </c>
      <c r="BG34" s="87"/>
      <c r="BH34" s="83"/>
      <c r="BI34" s="83"/>
      <c r="BJ34" s="84"/>
      <c r="BK34" s="86">
        <f t="shared" si="9"/>
        <v>0</v>
      </c>
      <c r="BL34" s="87"/>
      <c r="BM34" s="83"/>
      <c r="BN34" s="83"/>
      <c r="BO34" s="84"/>
      <c r="BP34" s="86">
        <f t="shared" si="10"/>
        <v>0</v>
      </c>
      <c r="BQ34" s="87"/>
      <c r="BR34" s="83"/>
      <c r="BS34" s="83"/>
      <c r="BT34" s="84"/>
      <c r="BU34" s="86">
        <f t="shared" si="11"/>
        <v>0</v>
      </c>
      <c r="BV34" s="85">
        <v>0</v>
      </c>
      <c r="BW34" s="89"/>
      <c r="BX34" s="90"/>
    </row>
    <row r="35" spans="1:76" x14ac:dyDescent="0.25">
      <c r="A35" s="91"/>
      <c r="B35" s="83"/>
      <c r="C35" s="92"/>
      <c r="D35" s="92"/>
      <c r="E35" s="92"/>
      <c r="F35" s="92" t="s">
        <v>137</v>
      </c>
      <c r="G35" s="92"/>
      <c r="H35" s="92"/>
      <c r="I35" s="92"/>
      <c r="J35" s="92"/>
      <c r="K35" s="93"/>
      <c r="L35" s="102" t="s">
        <v>138</v>
      </c>
      <c r="M35" s="103"/>
      <c r="N35" s="82"/>
      <c r="O35" s="83"/>
      <c r="P35" s="83"/>
      <c r="Q35" s="84"/>
      <c r="R35" s="84">
        <f t="shared" si="0"/>
        <v>0</v>
      </c>
      <c r="S35" s="85"/>
      <c r="T35" s="83"/>
      <c r="U35" s="83"/>
      <c r="V35" s="84"/>
      <c r="W35" s="86">
        <f t="shared" si="1"/>
        <v>0</v>
      </c>
      <c r="X35" s="87"/>
      <c r="Y35" s="83"/>
      <c r="Z35" s="83"/>
      <c r="AA35" s="84"/>
      <c r="AB35" s="86">
        <f t="shared" si="2"/>
        <v>0</v>
      </c>
      <c r="AC35" s="87"/>
      <c r="AD35" s="83"/>
      <c r="AE35" s="83"/>
      <c r="AF35" s="84"/>
      <c r="AG35" s="86">
        <f t="shared" si="3"/>
        <v>0</v>
      </c>
      <c r="AH35" s="87"/>
      <c r="AI35" s="83"/>
      <c r="AJ35" s="83"/>
      <c r="AK35" s="84"/>
      <c r="AL35" s="86">
        <f t="shared" si="4"/>
        <v>0</v>
      </c>
      <c r="AM35" s="87"/>
      <c r="AN35" s="83"/>
      <c r="AO35" s="83"/>
      <c r="AP35" s="84"/>
      <c r="AQ35" s="86">
        <f t="shared" si="5"/>
        <v>0</v>
      </c>
      <c r="AR35" s="87"/>
      <c r="AS35" s="83"/>
      <c r="AT35" s="83"/>
      <c r="AU35" s="84"/>
      <c r="AV35" s="86">
        <f t="shared" si="6"/>
        <v>0</v>
      </c>
      <c r="AW35" s="87"/>
      <c r="AX35" s="83"/>
      <c r="AY35" s="83"/>
      <c r="AZ35" s="84"/>
      <c r="BA35" s="86">
        <f t="shared" si="7"/>
        <v>0</v>
      </c>
      <c r="BB35" s="87"/>
      <c r="BC35" s="83"/>
      <c r="BD35" s="83"/>
      <c r="BE35" s="84"/>
      <c r="BF35" s="86">
        <f t="shared" si="8"/>
        <v>0</v>
      </c>
      <c r="BG35" s="87"/>
      <c r="BH35" s="83"/>
      <c r="BI35" s="83"/>
      <c r="BJ35" s="84"/>
      <c r="BK35" s="86">
        <f t="shared" si="9"/>
        <v>0</v>
      </c>
      <c r="BL35" s="87"/>
      <c r="BM35" s="83"/>
      <c r="BN35" s="83"/>
      <c r="BO35" s="84"/>
      <c r="BP35" s="86">
        <f t="shared" si="10"/>
        <v>0</v>
      </c>
      <c r="BQ35" s="87"/>
      <c r="BR35" s="83"/>
      <c r="BS35" s="83"/>
      <c r="BT35" s="84"/>
      <c r="BU35" s="86">
        <f t="shared" si="11"/>
        <v>0</v>
      </c>
      <c r="BV35" s="85">
        <v>0</v>
      </c>
      <c r="BW35" s="89"/>
      <c r="BX35" s="90"/>
    </row>
    <row r="36" spans="1:76" x14ac:dyDescent="0.25">
      <c r="A36" s="91"/>
      <c r="B36" s="83"/>
      <c r="C36" s="92"/>
      <c r="D36" s="92"/>
      <c r="E36" s="92"/>
      <c r="F36" s="92" t="s">
        <v>139</v>
      </c>
      <c r="G36" s="92"/>
      <c r="H36" s="92"/>
      <c r="I36" s="92"/>
      <c r="J36" s="92"/>
      <c r="K36" s="93"/>
      <c r="L36" s="102" t="s">
        <v>140</v>
      </c>
      <c r="M36" s="103"/>
      <c r="N36" s="82"/>
      <c r="O36" s="83"/>
      <c r="P36" s="83"/>
      <c r="Q36" s="84"/>
      <c r="R36" s="84">
        <f t="shared" si="0"/>
        <v>0</v>
      </c>
      <c r="S36" s="85"/>
      <c r="T36" s="83"/>
      <c r="U36" s="83"/>
      <c r="V36" s="84"/>
      <c r="W36" s="86">
        <f t="shared" si="1"/>
        <v>0</v>
      </c>
      <c r="X36" s="87"/>
      <c r="Y36" s="83"/>
      <c r="Z36" s="83"/>
      <c r="AA36" s="84"/>
      <c r="AB36" s="86">
        <f t="shared" si="2"/>
        <v>0</v>
      </c>
      <c r="AC36" s="87"/>
      <c r="AD36" s="83"/>
      <c r="AE36" s="83"/>
      <c r="AF36" s="84"/>
      <c r="AG36" s="86">
        <f t="shared" si="3"/>
        <v>0</v>
      </c>
      <c r="AH36" s="87"/>
      <c r="AI36" s="83"/>
      <c r="AJ36" s="83"/>
      <c r="AK36" s="84"/>
      <c r="AL36" s="86">
        <f t="shared" si="4"/>
        <v>0</v>
      </c>
      <c r="AM36" s="87"/>
      <c r="AN36" s="83"/>
      <c r="AO36" s="83"/>
      <c r="AP36" s="84"/>
      <c r="AQ36" s="86">
        <f t="shared" si="5"/>
        <v>0</v>
      </c>
      <c r="AR36" s="87"/>
      <c r="AS36" s="83"/>
      <c r="AT36" s="83"/>
      <c r="AU36" s="84"/>
      <c r="AV36" s="86">
        <f t="shared" si="6"/>
        <v>0</v>
      </c>
      <c r="AW36" s="87"/>
      <c r="AX36" s="83"/>
      <c r="AY36" s="83"/>
      <c r="AZ36" s="84"/>
      <c r="BA36" s="86">
        <f t="shared" si="7"/>
        <v>0</v>
      </c>
      <c r="BB36" s="87"/>
      <c r="BC36" s="83"/>
      <c r="BD36" s="83"/>
      <c r="BE36" s="84"/>
      <c r="BF36" s="86">
        <f t="shared" si="8"/>
        <v>0</v>
      </c>
      <c r="BG36" s="87"/>
      <c r="BH36" s="83"/>
      <c r="BI36" s="83"/>
      <c r="BJ36" s="84"/>
      <c r="BK36" s="86">
        <f t="shared" si="9"/>
        <v>0</v>
      </c>
      <c r="BL36" s="87"/>
      <c r="BM36" s="83"/>
      <c r="BN36" s="83"/>
      <c r="BO36" s="84"/>
      <c r="BP36" s="86">
        <f t="shared" si="10"/>
        <v>0</v>
      </c>
      <c r="BQ36" s="87"/>
      <c r="BR36" s="83"/>
      <c r="BS36" s="83"/>
      <c r="BT36" s="84"/>
      <c r="BU36" s="86">
        <f t="shared" si="11"/>
        <v>0</v>
      </c>
      <c r="BV36" s="85">
        <v>0</v>
      </c>
      <c r="BW36" s="89"/>
      <c r="BX36" s="90"/>
    </row>
    <row r="37" spans="1:76" x14ac:dyDescent="0.25">
      <c r="A37" s="91"/>
      <c r="B37" s="83"/>
      <c r="C37" s="92"/>
      <c r="D37" s="92"/>
      <c r="E37" s="92"/>
      <c r="F37" s="92" t="s">
        <v>141</v>
      </c>
      <c r="G37" s="92"/>
      <c r="H37" s="92"/>
      <c r="I37" s="92"/>
      <c r="J37" s="92"/>
      <c r="K37" s="93"/>
      <c r="L37" s="102" t="s">
        <v>142</v>
      </c>
      <c r="M37" s="103"/>
      <c r="N37" s="82"/>
      <c r="O37" s="83"/>
      <c r="P37" s="83"/>
      <c r="Q37" s="84"/>
      <c r="R37" s="84">
        <f t="shared" si="0"/>
        <v>0</v>
      </c>
      <c r="S37" s="85"/>
      <c r="T37" s="83"/>
      <c r="U37" s="83"/>
      <c r="V37" s="84"/>
      <c r="W37" s="86">
        <f t="shared" si="1"/>
        <v>0</v>
      </c>
      <c r="X37" s="87"/>
      <c r="Y37" s="83"/>
      <c r="Z37" s="83"/>
      <c r="AA37" s="84"/>
      <c r="AB37" s="86">
        <f t="shared" si="2"/>
        <v>0</v>
      </c>
      <c r="AC37" s="87"/>
      <c r="AD37" s="83"/>
      <c r="AE37" s="83"/>
      <c r="AF37" s="84"/>
      <c r="AG37" s="86">
        <f t="shared" si="3"/>
        <v>0</v>
      </c>
      <c r="AH37" s="87"/>
      <c r="AI37" s="83"/>
      <c r="AJ37" s="83"/>
      <c r="AK37" s="84"/>
      <c r="AL37" s="86">
        <f t="shared" si="4"/>
        <v>0</v>
      </c>
      <c r="AM37" s="87"/>
      <c r="AN37" s="83"/>
      <c r="AO37" s="83"/>
      <c r="AP37" s="84"/>
      <c r="AQ37" s="86">
        <f t="shared" si="5"/>
        <v>0</v>
      </c>
      <c r="AR37" s="87"/>
      <c r="AS37" s="83"/>
      <c r="AT37" s="83"/>
      <c r="AU37" s="84"/>
      <c r="AV37" s="86">
        <f t="shared" si="6"/>
        <v>0</v>
      </c>
      <c r="AW37" s="87"/>
      <c r="AX37" s="83"/>
      <c r="AY37" s="83"/>
      <c r="AZ37" s="84"/>
      <c r="BA37" s="86">
        <f t="shared" si="7"/>
        <v>0</v>
      </c>
      <c r="BB37" s="87"/>
      <c r="BC37" s="83"/>
      <c r="BD37" s="83"/>
      <c r="BE37" s="84"/>
      <c r="BF37" s="86">
        <f t="shared" si="8"/>
        <v>0</v>
      </c>
      <c r="BG37" s="87"/>
      <c r="BH37" s="83"/>
      <c r="BI37" s="83"/>
      <c r="BJ37" s="84"/>
      <c r="BK37" s="86">
        <f t="shared" si="9"/>
        <v>0</v>
      </c>
      <c r="BL37" s="87"/>
      <c r="BM37" s="83"/>
      <c r="BN37" s="83"/>
      <c r="BO37" s="84"/>
      <c r="BP37" s="86">
        <f t="shared" si="10"/>
        <v>0</v>
      </c>
      <c r="BQ37" s="87"/>
      <c r="BR37" s="83"/>
      <c r="BS37" s="83"/>
      <c r="BT37" s="84"/>
      <c r="BU37" s="86">
        <f t="shared" si="11"/>
        <v>0</v>
      </c>
      <c r="BV37" s="85">
        <v>0</v>
      </c>
      <c r="BW37" s="89"/>
      <c r="BX37" s="90"/>
    </row>
    <row r="38" spans="1:76" x14ac:dyDescent="0.25">
      <c r="A38" s="91"/>
      <c r="B38" s="83"/>
      <c r="C38" s="92"/>
      <c r="D38" s="92"/>
      <c r="E38" s="92"/>
      <c r="F38" s="92" t="s">
        <v>97</v>
      </c>
      <c r="G38" s="92"/>
      <c r="H38" s="92"/>
      <c r="I38" s="92"/>
      <c r="J38" s="92"/>
      <c r="K38" s="93"/>
      <c r="L38" s="102" t="s">
        <v>143</v>
      </c>
      <c r="M38" s="103"/>
      <c r="N38" s="82"/>
      <c r="O38" s="83"/>
      <c r="P38" s="83"/>
      <c r="Q38" s="84"/>
      <c r="R38" s="84">
        <f t="shared" si="0"/>
        <v>0</v>
      </c>
      <c r="S38" s="85"/>
      <c r="T38" s="83"/>
      <c r="U38" s="83"/>
      <c r="V38" s="84"/>
      <c r="W38" s="86">
        <f t="shared" si="1"/>
        <v>0</v>
      </c>
      <c r="X38" s="87"/>
      <c r="Y38" s="83"/>
      <c r="Z38" s="83"/>
      <c r="AA38" s="84"/>
      <c r="AB38" s="86">
        <f t="shared" si="2"/>
        <v>0</v>
      </c>
      <c r="AC38" s="87"/>
      <c r="AD38" s="83"/>
      <c r="AE38" s="83"/>
      <c r="AF38" s="84"/>
      <c r="AG38" s="86">
        <f t="shared" si="3"/>
        <v>0</v>
      </c>
      <c r="AH38" s="87"/>
      <c r="AI38" s="83"/>
      <c r="AJ38" s="83"/>
      <c r="AK38" s="84"/>
      <c r="AL38" s="86">
        <f t="shared" si="4"/>
        <v>0</v>
      </c>
      <c r="AM38" s="87"/>
      <c r="AN38" s="83"/>
      <c r="AO38" s="83"/>
      <c r="AP38" s="84"/>
      <c r="AQ38" s="86">
        <f t="shared" si="5"/>
        <v>0</v>
      </c>
      <c r="AR38" s="87"/>
      <c r="AS38" s="83"/>
      <c r="AT38" s="83"/>
      <c r="AU38" s="84"/>
      <c r="AV38" s="86">
        <f t="shared" si="6"/>
        <v>0</v>
      </c>
      <c r="AW38" s="87"/>
      <c r="AX38" s="83"/>
      <c r="AY38" s="83"/>
      <c r="AZ38" s="84"/>
      <c r="BA38" s="86">
        <f t="shared" si="7"/>
        <v>0</v>
      </c>
      <c r="BB38" s="87"/>
      <c r="BC38" s="83"/>
      <c r="BD38" s="83"/>
      <c r="BE38" s="84"/>
      <c r="BF38" s="86">
        <f t="shared" si="8"/>
        <v>0</v>
      </c>
      <c r="BG38" s="87"/>
      <c r="BH38" s="83"/>
      <c r="BI38" s="83"/>
      <c r="BJ38" s="84"/>
      <c r="BK38" s="86">
        <f t="shared" si="9"/>
        <v>0</v>
      </c>
      <c r="BL38" s="87"/>
      <c r="BM38" s="83"/>
      <c r="BN38" s="83"/>
      <c r="BO38" s="84"/>
      <c r="BP38" s="86">
        <f t="shared" si="10"/>
        <v>0</v>
      </c>
      <c r="BQ38" s="87"/>
      <c r="BR38" s="83"/>
      <c r="BS38" s="83"/>
      <c r="BT38" s="84"/>
      <c r="BU38" s="86">
        <f t="shared" si="11"/>
        <v>0</v>
      </c>
      <c r="BV38" s="85">
        <v>0</v>
      </c>
      <c r="BW38" s="89"/>
      <c r="BX38" s="90"/>
    </row>
    <row r="39" spans="1:76" ht="60" customHeight="1" x14ac:dyDescent="0.25">
      <c r="A39" s="91"/>
      <c r="B39" s="83"/>
      <c r="C39" s="92"/>
      <c r="D39" s="92"/>
      <c r="E39" s="92"/>
      <c r="F39" s="92" t="s">
        <v>144</v>
      </c>
      <c r="G39" s="92"/>
      <c r="H39" s="92"/>
      <c r="I39" s="92"/>
      <c r="J39" s="92"/>
      <c r="K39" s="93"/>
      <c r="L39" s="102" t="s">
        <v>145</v>
      </c>
      <c r="M39" s="103"/>
      <c r="N39" s="82"/>
      <c r="O39" s="83"/>
      <c r="P39" s="83"/>
      <c r="Q39" s="84"/>
      <c r="R39" s="84">
        <f t="shared" si="0"/>
        <v>0</v>
      </c>
      <c r="S39" s="85"/>
      <c r="T39" s="83"/>
      <c r="U39" s="83"/>
      <c r="V39" s="84"/>
      <c r="W39" s="86">
        <f t="shared" si="1"/>
        <v>0</v>
      </c>
      <c r="X39" s="87"/>
      <c r="Y39" s="83"/>
      <c r="Z39" s="83"/>
      <c r="AA39" s="84"/>
      <c r="AB39" s="86">
        <f t="shared" si="2"/>
        <v>0</v>
      </c>
      <c r="AC39" s="87"/>
      <c r="AD39" s="83"/>
      <c r="AE39" s="83"/>
      <c r="AF39" s="84"/>
      <c r="AG39" s="86">
        <f t="shared" si="3"/>
        <v>0</v>
      </c>
      <c r="AH39" s="87"/>
      <c r="AI39" s="83"/>
      <c r="AJ39" s="83"/>
      <c r="AK39" s="84"/>
      <c r="AL39" s="86">
        <f t="shared" si="4"/>
        <v>0</v>
      </c>
      <c r="AM39" s="87"/>
      <c r="AN39" s="83"/>
      <c r="AO39" s="83"/>
      <c r="AP39" s="84"/>
      <c r="AQ39" s="86">
        <f t="shared" si="5"/>
        <v>0</v>
      </c>
      <c r="AR39" s="87"/>
      <c r="AS39" s="83"/>
      <c r="AT39" s="83"/>
      <c r="AU39" s="84"/>
      <c r="AV39" s="86">
        <f t="shared" si="6"/>
        <v>0</v>
      </c>
      <c r="AW39" s="87"/>
      <c r="AX39" s="83"/>
      <c r="AY39" s="83"/>
      <c r="AZ39" s="84"/>
      <c r="BA39" s="86">
        <f t="shared" si="7"/>
        <v>0</v>
      </c>
      <c r="BB39" s="87"/>
      <c r="BC39" s="83"/>
      <c r="BD39" s="83"/>
      <c r="BE39" s="84"/>
      <c r="BF39" s="86">
        <f t="shared" si="8"/>
        <v>0</v>
      </c>
      <c r="BG39" s="87"/>
      <c r="BH39" s="83"/>
      <c r="BI39" s="83"/>
      <c r="BJ39" s="84"/>
      <c r="BK39" s="86">
        <f t="shared" si="9"/>
        <v>0</v>
      </c>
      <c r="BL39" s="87"/>
      <c r="BM39" s="83"/>
      <c r="BN39" s="83"/>
      <c r="BO39" s="84"/>
      <c r="BP39" s="86">
        <f t="shared" si="10"/>
        <v>0</v>
      </c>
      <c r="BQ39" s="87"/>
      <c r="BR39" s="83"/>
      <c r="BS39" s="83"/>
      <c r="BT39" s="84"/>
      <c r="BU39" s="86">
        <f t="shared" si="11"/>
        <v>0</v>
      </c>
      <c r="BV39" s="85">
        <v>0</v>
      </c>
      <c r="BW39" s="89"/>
      <c r="BX39" s="90"/>
    </row>
    <row r="40" spans="1:76" ht="30" customHeight="1" x14ac:dyDescent="0.25">
      <c r="A40" s="91"/>
      <c r="B40" s="83"/>
      <c r="C40" s="92"/>
      <c r="D40" s="92"/>
      <c r="E40" s="92"/>
      <c r="F40" s="92" t="s">
        <v>146</v>
      </c>
      <c r="G40" s="92"/>
      <c r="H40" s="92"/>
      <c r="I40" s="92"/>
      <c r="J40" s="92"/>
      <c r="K40" s="93"/>
      <c r="L40" s="102" t="s">
        <v>147</v>
      </c>
      <c r="M40" s="103"/>
      <c r="N40" s="82"/>
      <c r="O40" s="83"/>
      <c r="P40" s="83"/>
      <c r="Q40" s="84"/>
      <c r="R40" s="84">
        <f t="shared" si="0"/>
        <v>0</v>
      </c>
      <c r="S40" s="85"/>
      <c r="T40" s="83"/>
      <c r="U40" s="83"/>
      <c r="V40" s="84"/>
      <c r="W40" s="86">
        <f t="shared" si="1"/>
        <v>0</v>
      </c>
      <c r="X40" s="87"/>
      <c r="Y40" s="83"/>
      <c r="Z40" s="83"/>
      <c r="AA40" s="84"/>
      <c r="AB40" s="86">
        <f t="shared" si="2"/>
        <v>0</v>
      </c>
      <c r="AC40" s="87"/>
      <c r="AD40" s="83"/>
      <c r="AE40" s="83"/>
      <c r="AF40" s="84"/>
      <c r="AG40" s="86">
        <f t="shared" si="3"/>
        <v>0</v>
      </c>
      <c r="AH40" s="87"/>
      <c r="AI40" s="83"/>
      <c r="AJ40" s="83"/>
      <c r="AK40" s="84"/>
      <c r="AL40" s="86">
        <f t="shared" si="4"/>
        <v>0</v>
      </c>
      <c r="AM40" s="87"/>
      <c r="AN40" s="83"/>
      <c r="AO40" s="83"/>
      <c r="AP40" s="84"/>
      <c r="AQ40" s="86">
        <f t="shared" si="5"/>
        <v>0</v>
      </c>
      <c r="AR40" s="87"/>
      <c r="AS40" s="83"/>
      <c r="AT40" s="83"/>
      <c r="AU40" s="84"/>
      <c r="AV40" s="86">
        <f t="shared" si="6"/>
        <v>0</v>
      </c>
      <c r="AW40" s="87"/>
      <c r="AX40" s="83"/>
      <c r="AY40" s="83"/>
      <c r="AZ40" s="84"/>
      <c r="BA40" s="86">
        <f t="shared" si="7"/>
        <v>0</v>
      </c>
      <c r="BB40" s="87"/>
      <c r="BC40" s="83"/>
      <c r="BD40" s="83"/>
      <c r="BE40" s="84"/>
      <c r="BF40" s="86">
        <f t="shared" si="8"/>
        <v>0</v>
      </c>
      <c r="BG40" s="87"/>
      <c r="BH40" s="83"/>
      <c r="BI40" s="83"/>
      <c r="BJ40" s="84"/>
      <c r="BK40" s="86">
        <f t="shared" si="9"/>
        <v>0</v>
      </c>
      <c r="BL40" s="87"/>
      <c r="BM40" s="83"/>
      <c r="BN40" s="83"/>
      <c r="BO40" s="84"/>
      <c r="BP40" s="86">
        <f t="shared" si="10"/>
        <v>0</v>
      </c>
      <c r="BQ40" s="87"/>
      <c r="BR40" s="83"/>
      <c r="BS40" s="83"/>
      <c r="BT40" s="84"/>
      <c r="BU40" s="86">
        <f t="shared" si="11"/>
        <v>0</v>
      </c>
      <c r="BV40" s="85">
        <v>0</v>
      </c>
      <c r="BW40" s="89"/>
      <c r="BX40" s="90"/>
    </row>
    <row r="41" spans="1:76" ht="45" customHeight="1" x14ac:dyDescent="0.25">
      <c r="A41" s="91"/>
      <c r="B41" s="83"/>
      <c r="C41" s="92"/>
      <c r="D41" s="92"/>
      <c r="E41" s="92"/>
      <c r="F41" s="92" t="s">
        <v>148</v>
      </c>
      <c r="G41" s="92"/>
      <c r="H41" s="92"/>
      <c r="I41" s="92"/>
      <c r="J41" s="92"/>
      <c r="K41" s="93"/>
      <c r="L41" s="102" t="s">
        <v>149</v>
      </c>
      <c r="M41" s="103"/>
      <c r="N41" s="82"/>
      <c r="O41" s="83"/>
      <c r="P41" s="83"/>
      <c r="Q41" s="84"/>
      <c r="R41" s="84">
        <f t="shared" si="0"/>
        <v>0</v>
      </c>
      <c r="S41" s="85"/>
      <c r="T41" s="83"/>
      <c r="U41" s="83"/>
      <c r="V41" s="84"/>
      <c r="W41" s="86">
        <f t="shared" si="1"/>
        <v>0</v>
      </c>
      <c r="X41" s="87"/>
      <c r="Y41" s="83"/>
      <c r="Z41" s="83"/>
      <c r="AA41" s="84"/>
      <c r="AB41" s="86">
        <f t="shared" si="2"/>
        <v>0</v>
      </c>
      <c r="AC41" s="87"/>
      <c r="AD41" s="83"/>
      <c r="AE41" s="83"/>
      <c r="AF41" s="84"/>
      <c r="AG41" s="86">
        <f t="shared" si="3"/>
        <v>0</v>
      </c>
      <c r="AH41" s="87"/>
      <c r="AI41" s="83"/>
      <c r="AJ41" s="83"/>
      <c r="AK41" s="84"/>
      <c r="AL41" s="86">
        <f t="shared" si="4"/>
        <v>0</v>
      </c>
      <c r="AM41" s="87"/>
      <c r="AN41" s="83"/>
      <c r="AO41" s="83"/>
      <c r="AP41" s="84"/>
      <c r="AQ41" s="86">
        <f t="shared" si="5"/>
        <v>0</v>
      </c>
      <c r="AR41" s="87"/>
      <c r="AS41" s="83"/>
      <c r="AT41" s="83"/>
      <c r="AU41" s="84"/>
      <c r="AV41" s="86">
        <f t="shared" si="6"/>
        <v>0</v>
      </c>
      <c r="AW41" s="87"/>
      <c r="AX41" s="83"/>
      <c r="AY41" s="83"/>
      <c r="AZ41" s="84"/>
      <c r="BA41" s="86">
        <f t="shared" si="7"/>
        <v>0</v>
      </c>
      <c r="BB41" s="87"/>
      <c r="BC41" s="83"/>
      <c r="BD41" s="83"/>
      <c r="BE41" s="84"/>
      <c r="BF41" s="86">
        <f t="shared" si="8"/>
        <v>0</v>
      </c>
      <c r="BG41" s="87"/>
      <c r="BH41" s="83"/>
      <c r="BI41" s="83"/>
      <c r="BJ41" s="84"/>
      <c r="BK41" s="86">
        <f t="shared" si="9"/>
        <v>0</v>
      </c>
      <c r="BL41" s="87"/>
      <c r="BM41" s="83"/>
      <c r="BN41" s="83"/>
      <c r="BO41" s="84"/>
      <c r="BP41" s="86">
        <f t="shared" si="10"/>
        <v>0</v>
      </c>
      <c r="BQ41" s="87"/>
      <c r="BR41" s="83"/>
      <c r="BS41" s="83"/>
      <c r="BT41" s="84"/>
      <c r="BU41" s="86">
        <f t="shared" si="11"/>
        <v>0</v>
      </c>
      <c r="BV41" s="85">
        <v>0</v>
      </c>
      <c r="BW41" s="89"/>
      <c r="BX41" s="90"/>
    </row>
    <row r="42" spans="1:76" ht="30" customHeight="1" x14ac:dyDescent="0.25">
      <c r="A42" s="91" t="s">
        <v>150</v>
      </c>
      <c r="B42" s="83"/>
      <c r="C42" s="92"/>
      <c r="D42" s="92"/>
      <c r="E42" s="92"/>
      <c r="F42" s="92" t="s">
        <v>151</v>
      </c>
      <c r="G42" s="92"/>
      <c r="H42" s="92"/>
      <c r="I42" s="92"/>
      <c r="J42" s="92"/>
      <c r="K42" s="93"/>
      <c r="L42" s="102" t="s">
        <v>152</v>
      </c>
      <c r="M42" s="103"/>
      <c r="N42" s="82"/>
      <c r="O42" s="83"/>
      <c r="P42" s="83"/>
      <c r="Q42" s="84"/>
      <c r="R42" s="84">
        <f t="shared" si="0"/>
        <v>0</v>
      </c>
      <c r="S42" s="85"/>
      <c r="T42" s="83"/>
      <c r="U42" s="83"/>
      <c r="V42" s="84"/>
      <c r="W42" s="86">
        <f t="shared" si="1"/>
        <v>0</v>
      </c>
      <c r="X42" s="87"/>
      <c r="Y42" s="83"/>
      <c r="Z42" s="83"/>
      <c r="AA42" s="84"/>
      <c r="AB42" s="86">
        <f t="shared" si="2"/>
        <v>0</v>
      </c>
      <c r="AC42" s="87"/>
      <c r="AD42" s="83"/>
      <c r="AE42" s="83"/>
      <c r="AF42" s="84"/>
      <c r="AG42" s="86">
        <f t="shared" si="3"/>
        <v>0</v>
      </c>
      <c r="AH42" s="87"/>
      <c r="AI42" s="83"/>
      <c r="AJ42" s="83"/>
      <c r="AK42" s="84"/>
      <c r="AL42" s="86">
        <f t="shared" si="4"/>
        <v>0</v>
      </c>
      <c r="AM42" s="87"/>
      <c r="AN42" s="83"/>
      <c r="AO42" s="83"/>
      <c r="AP42" s="84"/>
      <c r="AQ42" s="86">
        <f t="shared" si="5"/>
        <v>0</v>
      </c>
      <c r="AR42" s="87"/>
      <c r="AS42" s="83"/>
      <c r="AT42" s="83"/>
      <c r="AU42" s="84"/>
      <c r="AV42" s="86">
        <f t="shared" si="6"/>
        <v>0</v>
      </c>
      <c r="AW42" s="87"/>
      <c r="AX42" s="83"/>
      <c r="AY42" s="83"/>
      <c r="AZ42" s="84"/>
      <c r="BA42" s="86">
        <f t="shared" si="7"/>
        <v>0</v>
      </c>
      <c r="BB42" s="87"/>
      <c r="BC42" s="83"/>
      <c r="BD42" s="83"/>
      <c r="BE42" s="84"/>
      <c r="BF42" s="86">
        <f t="shared" si="8"/>
        <v>0</v>
      </c>
      <c r="BG42" s="87"/>
      <c r="BH42" s="83"/>
      <c r="BI42" s="83"/>
      <c r="BJ42" s="84"/>
      <c r="BK42" s="86">
        <f t="shared" si="9"/>
        <v>0</v>
      </c>
      <c r="BL42" s="87"/>
      <c r="BM42" s="83"/>
      <c r="BN42" s="83"/>
      <c r="BO42" s="84"/>
      <c r="BP42" s="86">
        <f t="shared" si="10"/>
        <v>0</v>
      </c>
      <c r="BQ42" s="87"/>
      <c r="BR42" s="83"/>
      <c r="BS42" s="83"/>
      <c r="BT42" s="84"/>
      <c r="BU42" s="86">
        <f t="shared" si="11"/>
        <v>0</v>
      </c>
      <c r="BV42" s="85">
        <v>0</v>
      </c>
      <c r="BW42" s="89"/>
      <c r="BX42" s="90"/>
    </row>
    <row r="43" spans="1:76" ht="30" customHeight="1" x14ac:dyDescent="0.25">
      <c r="A43" s="91" t="s">
        <v>153</v>
      </c>
      <c r="B43" s="83"/>
      <c r="C43" s="92"/>
      <c r="D43" s="92"/>
      <c r="E43" s="92"/>
      <c r="F43" s="92" t="s">
        <v>154</v>
      </c>
      <c r="G43" s="92"/>
      <c r="H43" s="92"/>
      <c r="I43" s="92"/>
      <c r="J43" s="92"/>
      <c r="K43" s="93"/>
      <c r="L43" s="102" t="s">
        <v>155</v>
      </c>
      <c r="M43" s="103"/>
      <c r="N43" s="82"/>
      <c r="O43" s="83"/>
      <c r="P43" s="83"/>
      <c r="Q43" s="84"/>
      <c r="R43" s="84">
        <f t="shared" si="0"/>
        <v>0</v>
      </c>
      <c r="S43" s="85"/>
      <c r="T43" s="83"/>
      <c r="U43" s="83"/>
      <c r="V43" s="84"/>
      <c r="W43" s="86">
        <f t="shared" si="1"/>
        <v>0</v>
      </c>
      <c r="X43" s="87"/>
      <c r="Y43" s="83"/>
      <c r="Z43" s="83"/>
      <c r="AA43" s="84"/>
      <c r="AB43" s="86">
        <f t="shared" si="2"/>
        <v>0</v>
      </c>
      <c r="AC43" s="87"/>
      <c r="AD43" s="83"/>
      <c r="AE43" s="83"/>
      <c r="AF43" s="84"/>
      <c r="AG43" s="86">
        <f t="shared" si="3"/>
        <v>0</v>
      </c>
      <c r="AH43" s="87"/>
      <c r="AI43" s="83"/>
      <c r="AJ43" s="83"/>
      <c r="AK43" s="84"/>
      <c r="AL43" s="86">
        <f t="shared" si="4"/>
        <v>0</v>
      </c>
      <c r="AM43" s="87"/>
      <c r="AN43" s="83"/>
      <c r="AO43" s="83"/>
      <c r="AP43" s="84"/>
      <c r="AQ43" s="86">
        <f t="shared" si="5"/>
        <v>0</v>
      </c>
      <c r="AR43" s="87"/>
      <c r="AS43" s="83"/>
      <c r="AT43" s="83"/>
      <c r="AU43" s="84"/>
      <c r="AV43" s="86">
        <f t="shared" si="6"/>
        <v>0</v>
      </c>
      <c r="AW43" s="87"/>
      <c r="AX43" s="83"/>
      <c r="AY43" s="83"/>
      <c r="AZ43" s="84"/>
      <c r="BA43" s="86">
        <f t="shared" si="7"/>
        <v>0</v>
      </c>
      <c r="BB43" s="87"/>
      <c r="BC43" s="83"/>
      <c r="BD43" s="83"/>
      <c r="BE43" s="84"/>
      <c r="BF43" s="86">
        <f t="shared" si="8"/>
        <v>0</v>
      </c>
      <c r="BG43" s="87"/>
      <c r="BH43" s="83"/>
      <c r="BI43" s="83"/>
      <c r="BJ43" s="84"/>
      <c r="BK43" s="86">
        <f t="shared" si="9"/>
        <v>0</v>
      </c>
      <c r="BL43" s="87"/>
      <c r="BM43" s="83"/>
      <c r="BN43" s="83"/>
      <c r="BO43" s="84"/>
      <c r="BP43" s="86">
        <f t="shared" si="10"/>
        <v>0</v>
      </c>
      <c r="BQ43" s="87"/>
      <c r="BR43" s="83"/>
      <c r="BS43" s="83"/>
      <c r="BT43" s="84"/>
      <c r="BU43" s="86">
        <f t="shared" si="11"/>
        <v>0</v>
      </c>
      <c r="BV43" s="85">
        <v>0</v>
      </c>
      <c r="BW43" s="89"/>
      <c r="BX43" s="90"/>
    </row>
    <row r="44" spans="1:76" x14ac:dyDescent="0.25">
      <c r="A44" s="91"/>
      <c r="B44" s="83"/>
      <c r="C44" s="92"/>
      <c r="D44" s="92"/>
      <c r="E44" s="92"/>
      <c r="F44" s="92" t="s">
        <v>156</v>
      </c>
      <c r="G44" s="92"/>
      <c r="H44" s="92"/>
      <c r="I44" s="92"/>
      <c r="J44" s="92"/>
      <c r="K44" s="93"/>
      <c r="L44" s="102" t="s">
        <v>157</v>
      </c>
      <c r="M44" s="103"/>
      <c r="N44" s="82"/>
      <c r="O44" s="83"/>
      <c r="P44" s="83"/>
      <c r="Q44" s="84"/>
      <c r="R44" s="84">
        <f t="shared" si="0"/>
        <v>0</v>
      </c>
      <c r="S44" s="85"/>
      <c r="T44" s="83"/>
      <c r="U44" s="83"/>
      <c r="V44" s="84"/>
      <c r="W44" s="86">
        <f t="shared" si="1"/>
        <v>0</v>
      </c>
      <c r="X44" s="87"/>
      <c r="Y44" s="83"/>
      <c r="Z44" s="83"/>
      <c r="AA44" s="84"/>
      <c r="AB44" s="86">
        <f t="shared" si="2"/>
        <v>0</v>
      </c>
      <c r="AC44" s="87"/>
      <c r="AD44" s="83"/>
      <c r="AE44" s="83"/>
      <c r="AF44" s="84"/>
      <c r="AG44" s="86">
        <f t="shared" si="3"/>
        <v>0</v>
      </c>
      <c r="AH44" s="87"/>
      <c r="AI44" s="83"/>
      <c r="AJ44" s="83"/>
      <c r="AK44" s="84"/>
      <c r="AL44" s="86">
        <f t="shared" si="4"/>
        <v>0</v>
      </c>
      <c r="AM44" s="87"/>
      <c r="AN44" s="83"/>
      <c r="AO44" s="83"/>
      <c r="AP44" s="84"/>
      <c r="AQ44" s="86">
        <f t="shared" si="5"/>
        <v>0</v>
      </c>
      <c r="AR44" s="87"/>
      <c r="AS44" s="83"/>
      <c r="AT44" s="83"/>
      <c r="AU44" s="84"/>
      <c r="AV44" s="86">
        <f t="shared" si="6"/>
        <v>0</v>
      </c>
      <c r="AW44" s="87"/>
      <c r="AX44" s="83"/>
      <c r="AY44" s="83"/>
      <c r="AZ44" s="84"/>
      <c r="BA44" s="86">
        <f t="shared" si="7"/>
        <v>0</v>
      </c>
      <c r="BB44" s="87"/>
      <c r="BC44" s="83"/>
      <c r="BD44" s="83"/>
      <c r="BE44" s="84"/>
      <c r="BF44" s="86">
        <f t="shared" si="8"/>
        <v>0</v>
      </c>
      <c r="BG44" s="87"/>
      <c r="BH44" s="83"/>
      <c r="BI44" s="83"/>
      <c r="BJ44" s="84"/>
      <c r="BK44" s="86">
        <f t="shared" si="9"/>
        <v>0</v>
      </c>
      <c r="BL44" s="87"/>
      <c r="BM44" s="83"/>
      <c r="BN44" s="83"/>
      <c r="BO44" s="84"/>
      <c r="BP44" s="86">
        <f t="shared" si="10"/>
        <v>0</v>
      </c>
      <c r="BQ44" s="87"/>
      <c r="BR44" s="83"/>
      <c r="BS44" s="83"/>
      <c r="BT44" s="84"/>
      <c r="BU44" s="86">
        <f t="shared" si="11"/>
        <v>0</v>
      </c>
      <c r="BV44" s="85">
        <v>0</v>
      </c>
      <c r="BW44" s="89"/>
      <c r="BX44" s="90"/>
    </row>
    <row r="45" spans="1:76" x14ac:dyDescent="0.25">
      <c r="A45" s="91"/>
      <c r="B45" s="83"/>
      <c r="C45" s="92"/>
      <c r="D45" s="92"/>
      <c r="E45" s="92"/>
      <c r="F45" s="92" t="s">
        <v>158</v>
      </c>
      <c r="G45" s="92"/>
      <c r="H45" s="92"/>
      <c r="I45" s="92"/>
      <c r="J45" s="92"/>
      <c r="K45" s="93"/>
      <c r="L45" s="102" t="s">
        <v>159</v>
      </c>
      <c r="M45" s="103"/>
      <c r="N45" s="82"/>
      <c r="O45" s="83"/>
      <c r="P45" s="83"/>
      <c r="Q45" s="84"/>
      <c r="R45" s="84">
        <f t="shared" si="0"/>
        <v>0</v>
      </c>
      <c r="S45" s="85"/>
      <c r="T45" s="83"/>
      <c r="U45" s="83"/>
      <c r="V45" s="84"/>
      <c r="W45" s="86">
        <f t="shared" si="1"/>
        <v>0</v>
      </c>
      <c r="X45" s="87"/>
      <c r="Y45" s="83"/>
      <c r="Z45" s="83"/>
      <c r="AA45" s="84"/>
      <c r="AB45" s="86">
        <f t="shared" si="2"/>
        <v>0</v>
      </c>
      <c r="AC45" s="87"/>
      <c r="AD45" s="83"/>
      <c r="AE45" s="83"/>
      <c r="AF45" s="84"/>
      <c r="AG45" s="86">
        <f t="shared" si="3"/>
        <v>0</v>
      </c>
      <c r="AH45" s="87"/>
      <c r="AI45" s="83"/>
      <c r="AJ45" s="83"/>
      <c r="AK45" s="84"/>
      <c r="AL45" s="86">
        <f t="shared" si="4"/>
        <v>0</v>
      </c>
      <c r="AM45" s="87"/>
      <c r="AN45" s="83"/>
      <c r="AO45" s="83"/>
      <c r="AP45" s="84"/>
      <c r="AQ45" s="86">
        <f t="shared" si="5"/>
        <v>0</v>
      </c>
      <c r="AR45" s="87"/>
      <c r="AS45" s="83"/>
      <c r="AT45" s="83"/>
      <c r="AU45" s="84"/>
      <c r="AV45" s="86">
        <f t="shared" si="6"/>
        <v>0</v>
      </c>
      <c r="AW45" s="87"/>
      <c r="AX45" s="83"/>
      <c r="AY45" s="83"/>
      <c r="AZ45" s="84"/>
      <c r="BA45" s="86">
        <f t="shared" si="7"/>
        <v>0</v>
      </c>
      <c r="BB45" s="87"/>
      <c r="BC45" s="83"/>
      <c r="BD45" s="83"/>
      <c r="BE45" s="84"/>
      <c r="BF45" s="86">
        <f t="shared" si="8"/>
        <v>0</v>
      </c>
      <c r="BG45" s="87"/>
      <c r="BH45" s="83"/>
      <c r="BI45" s="83"/>
      <c r="BJ45" s="84"/>
      <c r="BK45" s="86">
        <f t="shared" si="9"/>
        <v>0</v>
      </c>
      <c r="BL45" s="87"/>
      <c r="BM45" s="83"/>
      <c r="BN45" s="83"/>
      <c r="BO45" s="84"/>
      <c r="BP45" s="86">
        <f t="shared" si="10"/>
        <v>0</v>
      </c>
      <c r="BQ45" s="87"/>
      <c r="BR45" s="83"/>
      <c r="BS45" s="83"/>
      <c r="BT45" s="84"/>
      <c r="BU45" s="86">
        <f t="shared" si="11"/>
        <v>0</v>
      </c>
      <c r="BV45" s="85">
        <v>0</v>
      </c>
      <c r="BW45" s="89"/>
      <c r="BX45" s="90"/>
    </row>
    <row r="46" spans="1:76" ht="30" customHeight="1" x14ac:dyDescent="0.25">
      <c r="A46" s="91" t="s">
        <v>160</v>
      </c>
      <c r="B46" s="83" t="s">
        <v>161</v>
      </c>
      <c r="C46" s="98">
        <v>45992</v>
      </c>
      <c r="D46" s="98">
        <v>46356</v>
      </c>
      <c r="E46" s="92" t="s">
        <v>162</v>
      </c>
      <c r="F46" s="92" t="s">
        <v>163</v>
      </c>
      <c r="G46" s="92">
        <v>41010100</v>
      </c>
      <c r="H46" s="92">
        <v>7280</v>
      </c>
      <c r="I46" s="92" t="s">
        <v>164</v>
      </c>
      <c r="J46" s="92">
        <v>2662855</v>
      </c>
      <c r="K46" s="99">
        <v>38005</v>
      </c>
      <c r="L46" s="102" t="s">
        <v>165</v>
      </c>
      <c r="M46" s="103" t="s">
        <v>90</v>
      </c>
      <c r="N46" s="82">
        <v>0</v>
      </c>
      <c r="O46" s="83">
        <v>0</v>
      </c>
      <c r="P46" s="83">
        <v>0</v>
      </c>
      <c r="Q46" s="84">
        <v>0</v>
      </c>
      <c r="R46" s="84">
        <f t="shared" si="0"/>
        <v>0</v>
      </c>
      <c r="S46" s="85">
        <v>-3197.33</v>
      </c>
      <c r="T46" s="83">
        <v>0</v>
      </c>
      <c r="U46" s="83">
        <v>5775.82</v>
      </c>
      <c r="V46" s="84">
        <v>0</v>
      </c>
      <c r="W46" s="86">
        <f t="shared" si="1"/>
        <v>5775.82</v>
      </c>
      <c r="X46" s="87">
        <v>0</v>
      </c>
      <c r="Y46" s="83">
        <v>0</v>
      </c>
      <c r="Z46" s="83">
        <v>0</v>
      </c>
      <c r="AA46" s="84">
        <v>0</v>
      </c>
      <c r="AB46" s="86">
        <f t="shared" si="2"/>
        <v>0</v>
      </c>
      <c r="AC46" s="87">
        <v>0</v>
      </c>
      <c r="AD46" s="83">
        <v>0</v>
      </c>
      <c r="AE46" s="83">
        <v>0</v>
      </c>
      <c r="AF46" s="84">
        <v>0</v>
      </c>
      <c r="AG46" s="86">
        <f t="shared" si="3"/>
        <v>0</v>
      </c>
      <c r="AH46" s="87">
        <v>0</v>
      </c>
      <c r="AI46" s="83">
        <v>0</v>
      </c>
      <c r="AJ46" s="83">
        <v>0</v>
      </c>
      <c r="AK46" s="84">
        <v>0</v>
      </c>
      <c r="AL46" s="86">
        <f t="shared" si="4"/>
        <v>0</v>
      </c>
      <c r="AM46" s="87">
        <v>0</v>
      </c>
      <c r="AN46" s="83">
        <v>0</v>
      </c>
      <c r="AO46" s="83">
        <v>0</v>
      </c>
      <c r="AP46" s="84">
        <v>0</v>
      </c>
      <c r="AQ46" s="86">
        <f t="shared" si="5"/>
        <v>0</v>
      </c>
      <c r="AR46" s="87">
        <v>0</v>
      </c>
      <c r="AS46" s="83">
        <v>0</v>
      </c>
      <c r="AT46" s="83">
        <v>0</v>
      </c>
      <c r="AU46" s="84">
        <v>0</v>
      </c>
      <c r="AV46" s="86">
        <f t="shared" si="6"/>
        <v>0</v>
      </c>
      <c r="AW46" s="87">
        <v>0</v>
      </c>
      <c r="AX46" s="83">
        <v>0</v>
      </c>
      <c r="AY46" s="83">
        <v>0</v>
      </c>
      <c r="AZ46" s="84">
        <v>0</v>
      </c>
      <c r="BA46" s="86">
        <f t="shared" si="7"/>
        <v>0</v>
      </c>
      <c r="BB46" s="87">
        <v>0</v>
      </c>
      <c r="BC46" s="83">
        <v>0</v>
      </c>
      <c r="BD46" s="83">
        <v>0</v>
      </c>
      <c r="BE46" s="84">
        <v>0</v>
      </c>
      <c r="BF46" s="86">
        <f t="shared" si="8"/>
        <v>0</v>
      </c>
      <c r="BG46" s="87">
        <v>0</v>
      </c>
      <c r="BH46" s="83">
        <v>0</v>
      </c>
      <c r="BI46" s="83">
        <v>0</v>
      </c>
      <c r="BJ46" s="84">
        <v>0</v>
      </c>
      <c r="BK46" s="86">
        <f t="shared" si="9"/>
        <v>0</v>
      </c>
      <c r="BL46" s="87">
        <v>0</v>
      </c>
      <c r="BM46" s="83">
        <v>0</v>
      </c>
      <c r="BN46" s="83">
        <v>0</v>
      </c>
      <c r="BO46" s="84">
        <v>0</v>
      </c>
      <c r="BP46" s="86">
        <f t="shared" si="10"/>
        <v>0</v>
      </c>
      <c r="BQ46" s="87">
        <v>0</v>
      </c>
      <c r="BR46" s="83">
        <v>0</v>
      </c>
      <c r="BS46" s="83">
        <v>0</v>
      </c>
      <c r="BT46" s="84">
        <v>0</v>
      </c>
      <c r="BU46" s="86">
        <f t="shared" si="11"/>
        <v>0</v>
      </c>
      <c r="BV46" s="85">
        <v>0</v>
      </c>
      <c r="BW46" s="89"/>
      <c r="BX46" s="90"/>
    </row>
    <row r="47" spans="1:76" ht="45" customHeight="1" x14ac:dyDescent="0.25">
      <c r="A47" s="91" t="s">
        <v>84</v>
      </c>
      <c r="B47" s="83" t="s">
        <v>166</v>
      </c>
      <c r="C47" s="98">
        <v>45992</v>
      </c>
      <c r="D47" s="98">
        <v>46356</v>
      </c>
      <c r="E47" s="92" t="s">
        <v>167</v>
      </c>
      <c r="F47" s="92" t="s">
        <v>168</v>
      </c>
      <c r="G47" s="92">
        <v>41010100</v>
      </c>
      <c r="H47" s="92">
        <v>7280</v>
      </c>
      <c r="I47" s="92" t="s">
        <v>164</v>
      </c>
      <c r="J47" s="92">
        <v>2662855</v>
      </c>
      <c r="K47" s="99">
        <v>9980</v>
      </c>
      <c r="L47" s="102" t="s">
        <v>169</v>
      </c>
      <c r="M47" s="103" t="s">
        <v>90</v>
      </c>
      <c r="N47" s="82">
        <v>0</v>
      </c>
      <c r="O47" s="83">
        <v>0</v>
      </c>
      <c r="P47" s="83">
        <v>0</v>
      </c>
      <c r="Q47" s="84">
        <v>821.58</v>
      </c>
      <c r="R47" s="84">
        <f t="shared" ref="R47:R78" si="12">P47-Q47</f>
        <v>-821.58</v>
      </c>
      <c r="S47" s="85">
        <v>-839.64</v>
      </c>
      <c r="T47" s="83">
        <v>0</v>
      </c>
      <c r="U47" s="83">
        <v>695.18</v>
      </c>
      <c r="V47" s="84">
        <v>0</v>
      </c>
      <c r="W47" s="86">
        <f t="shared" ref="W47:W78" si="13">U47-V47</f>
        <v>695.18</v>
      </c>
      <c r="X47" s="87">
        <v>0</v>
      </c>
      <c r="Y47" s="83">
        <v>0</v>
      </c>
      <c r="Z47" s="83">
        <v>0</v>
      </c>
      <c r="AA47" s="84">
        <v>0</v>
      </c>
      <c r="AB47" s="86">
        <f t="shared" ref="AB47:AB78" si="14">Z47-AA47</f>
        <v>0</v>
      </c>
      <c r="AC47" s="87">
        <v>0</v>
      </c>
      <c r="AD47" s="83">
        <v>0</v>
      </c>
      <c r="AE47" s="83">
        <v>0</v>
      </c>
      <c r="AF47" s="84">
        <v>0</v>
      </c>
      <c r="AG47" s="86">
        <f t="shared" ref="AG47:AG78" si="15">AE47-AF47</f>
        <v>0</v>
      </c>
      <c r="AH47" s="87">
        <v>0</v>
      </c>
      <c r="AI47" s="83">
        <v>0</v>
      </c>
      <c r="AJ47" s="83">
        <v>0</v>
      </c>
      <c r="AK47" s="84">
        <v>0</v>
      </c>
      <c r="AL47" s="86">
        <f t="shared" ref="AL47:AL78" si="16">AJ47-AK47</f>
        <v>0</v>
      </c>
      <c r="AM47" s="87">
        <v>0</v>
      </c>
      <c r="AN47" s="83">
        <v>0</v>
      </c>
      <c r="AO47" s="83">
        <v>0</v>
      </c>
      <c r="AP47" s="84">
        <v>0</v>
      </c>
      <c r="AQ47" s="86">
        <f t="shared" ref="AQ47:AQ78" si="17">AO47-AP47</f>
        <v>0</v>
      </c>
      <c r="AR47" s="87">
        <v>0</v>
      </c>
      <c r="AS47" s="83">
        <v>0</v>
      </c>
      <c r="AT47" s="83">
        <v>0</v>
      </c>
      <c r="AU47" s="84">
        <v>0</v>
      </c>
      <c r="AV47" s="86">
        <f t="shared" ref="AV47:AV78" si="18">AT47-AU47</f>
        <v>0</v>
      </c>
      <c r="AW47" s="87">
        <v>0</v>
      </c>
      <c r="AX47" s="83">
        <v>0</v>
      </c>
      <c r="AY47" s="83">
        <v>0</v>
      </c>
      <c r="AZ47" s="84">
        <v>0</v>
      </c>
      <c r="BA47" s="86">
        <f t="shared" ref="BA47:BA78" si="19">AY47-AZ47</f>
        <v>0</v>
      </c>
      <c r="BB47" s="87">
        <v>0</v>
      </c>
      <c r="BC47" s="83">
        <v>0</v>
      </c>
      <c r="BD47" s="83">
        <v>0</v>
      </c>
      <c r="BE47" s="84">
        <v>0</v>
      </c>
      <c r="BF47" s="86">
        <f t="shared" ref="BF47:BF78" si="20">BD47-BE47</f>
        <v>0</v>
      </c>
      <c r="BG47" s="87">
        <v>0</v>
      </c>
      <c r="BH47" s="83">
        <v>0</v>
      </c>
      <c r="BI47" s="83">
        <v>0</v>
      </c>
      <c r="BJ47" s="84">
        <v>0</v>
      </c>
      <c r="BK47" s="86">
        <f t="shared" ref="BK47:BK78" si="21">BI47-BJ47</f>
        <v>0</v>
      </c>
      <c r="BL47" s="87">
        <v>0</v>
      </c>
      <c r="BM47" s="83">
        <v>0</v>
      </c>
      <c r="BN47" s="83">
        <v>0</v>
      </c>
      <c r="BO47" s="84">
        <v>0</v>
      </c>
      <c r="BP47" s="86">
        <f t="shared" ref="BP47:BP78" si="22">BN47-BO47</f>
        <v>0</v>
      </c>
      <c r="BQ47" s="87">
        <v>0</v>
      </c>
      <c r="BR47" s="83">
        <v>0</v>
      </c>
      <c r="BS47" s="83">
        <v>0</v>
      </c>
      <c r="BT47" s="84">
        <v>0</v>
      </c>
      <c r="BU47" s="86">
        <f t="shared" ref="BU47:BU78" si="23">BS47-BT47</f>
        <v>0</v>
      </c>
      <c r="BV47" s="85">
        <v>0</v>
      </c>
      <c r="BW47" s="89"/>
      <c r="BX47" s="90"/>
    </row>
    <row r="48" spans="1:76" ht="30" customHeight="1" x14ac:dyDescent="0.25">
      <c r="A48" s="91"/>
      <c r="B48" s="83"/>
      <c r="C48" s="92"/>
      <c r="D48" s="92"/>
      <c r="E48" s="92"/>
      <c r="F48" s="92" t="s">
        <v>170</v>
      </c>
      <c r="G48" s="92"/>
      <c r="H48" s="92"/>
      <c r="I48" s="92"/>
      <c r="J48" s="92"/>
      <c r="K48" s="99">
        <v>12000</v>
      </c>
      <c r="L48" s="102" t="s">
        <v>171</v>
      </c>
      <c r="M48" s="103"/>
      <c r="N48" s="82"/>
      <c r="O48" s="83"/>
      <c r="P48" s="83"/>
      <c r="Q48" s="84"/>
      <c r="R48" s="84">
        <f t="shared" si="12"/>
        <v>0</v>
      </c>
      <c r="S48" s="85"/>
      <c r="T48" s="83"/>
      <c r="U48" s="83"/>
      <c r="V48" s="84"/>
      <c r="W48" s="86">
        <f t="shared" si="13"/>
        <v>0</v>
      </c>
      <c r="X48" s="87"/>
      <c r="Y48" s="83"/>
      <c r="Z48" s="83"/>
      <c r="AA48" s="84"/>
      <c r="AB48" s="86">
        <f t="shared" si="14"/>
        <v>0</v>
      </c>
      <c r="AC48" s="87"/>
      <c r="AD48" s="83"/>
      <c r="AE48" s="83"/>
      <c r="AF48" s="84"/>
      <c r="AG48" s="86">
        <f t="shared" si="15"/>
        <v>0</v>
      </c>
      <c r="AH48" s="87"/>
      <c r="AI48" s="83"/>
      <c r="AJ48" s="83"/>
      <c r="AK48" s="84"/>
      <c r="AL48" s="86">
        <f t="shared" si="16"/>
        <v>0</v>
      </c>
      <c r="AM48" s="87"/>
      <c r="AN48" s="83"/>
      <c r="AO48" s="83"/>
      <c r="AP48" s="84"/>
      <c r="AQ48" s="86">
        <f t="shared" si="17"/>
        <v>0</v>
      </c>
      <c r="AR48" s="87"/>
      <c r="AS48" s="83"/>
      <c r="AT48" s="83"/>
      <c r="AU48" s="84"/>
      <c r="AV48" s="86">
        <f t="shared" si="18"/>
        <v>0</v>
      </c>
      <c r="AW48" s="87"/>
      <c r="AX48" s="83"/>
      <c r="AY48" s="83"/>
      <c r="AZ48" s="84"/>
      <c r="BA48" s="86">
        <f t="shared" si="19"/>
        <v>0</v>
      </c>
      <c r="BB48" s="87"/>
      <c r="BC48" s="83"/>
      <c r="BD48" s="83"/>
      <c r="BE48" s="84"/>
      <c r="BF48" s="86">
        <f t="shared" si="20"/>
        <v>0</v>
      </c>
      <c r="BG48" s="87"/>
      <c r="BH48" s="83"/>
      <c r="BI48" s="83"/>
      <c r="BJ48" s="84"/>
      <c r="BK48" s="86">
        <f t="shared" si="21"/>
        <v>0</v>
      </c>
      <c r="BL48" s="87"/>
      <c r="BM48" s="83"/>
      <c r="BN48" s="83"/>
      <c r="BO48" s="84"/>
      <c r="BP48" s="86">
        <f t="shared" si="22"/>
        <v>0</v>
      </c>
      <c r="BQ48" s="87"/>
      <c r="BR48" s="83"/>
      <c r="BS48" s="83"/>
      <c r="BT48" s="84"/>
      <c r="BU48" s="86">
        <f t="shared" si="23"/>
        <v>0</v>
      </c>
      <c r="BV48" s="85">
        <v>0</v>
      </c>
      <c r="BW48" s="89"/>
      <c r="BX48" s="90"/>
    </row>
    <row r="49" spans="1:76" ht="45" customHeight="1" x14ac:dyDescent="0.25">
      <c r="A49" s="91"/>
      <c r="B49" s="83"/>
      <c r="C49" s="92"/>
      <c r="D49" s="92"/>
      <c r="E49" s="92"/>
      <c r="F49" s="92" t="s">
        <v>172</v>
      </c>
      <c r="G49" s="92"/>
      <c r="H49" s="92"/>
      <c r="I49" s="92"/>
      <c r="J49" s="92"/>
      <c r="K49" s="99">
        <v>0</v>
      </c>
      <c r="L49" s="102" t="s">
        <v>173</v>
      </c>
      <c r="M49" s="103"/>
      <c r="N49" s="82"/>
      <c r="O49" s="83"/>
      <c r="P49" s="83"/>
      <c r="Q49" s="84"/>
      <c r="R49" s="84">
        <f t="shared" si="12"/>
        <v>0</v>
      </c>
      <c r="S49" s="85"/>
      <c r="T49" s="83"/>
      <c r="U49" s="83"/>
      <c r="V49" s="84"/>
      <c r="W49" s="86">
        <f t="shared" si="13"/>
        <v>0</v>
      </c>
      <c r="X49" s="87"/>
      <c r="Y49" s="83"/>
      <c r="Z49" s="83"/>
      <c r="AA49" s="84"/>
      <c r="AB49" s="86">
        <f t="shared" si="14"/>
        <v>0</v>
      </c>
      <c r="AC49" s="87"/>
      <c r="AD49" s="83"/>
      <c r="AE49" s="83"/>
      <c r="AF49" s="84"/>
      <c r="AG49" s="86">
        <f t="shared" si="15"/>
        <v>0</v>
      </c>
      <c r="AH49" s="87"/>
      <c r="AI49" s="83"/>
      <c r="AJ49" s="83"/>
      <c r="AK49" s="84"/>
      <c r="AL49" s="86">
        <f t="shared" si="16"/>
        <v>0</v>
      </c>
      <c r="AM49" s="87"/>
      <c r="AN49" s="83"/>
      <c r="AO49" s="83"/>
      <c r="AP49" s="84"/>
      <c r="AQ49" s="86">
        <f t="shared" si="17"/>
        <v>0</v>
      </c>
      <c r="AR49" s="87"/>
      <c r="AS49" s="83"/>
      <c r="AT49" s="83"/>
      <c r="AU49" s="84"/>
      <c r="AV49" s="86">
        <f t="shared" si="18"/>
        <v>0</v>
      </c>
      <c r="AW49" s="87"/>
      <c r="AX49" s="83"/>
      <c r="AY49" s="83"/>
      <c r="AZ49" s="84"/>
      <c r="BA49" s="86">
        <f t="shared" si="19"/>
        <v>0</v>
      </c>
      <c r="BB49" s="87"/>
      <c r="BC49" s="83"/>
      <c r="BD49" s="83"/>
      <c r="BE49" s="84"/>
      <c r="BF49" s="86">
        <f t="shared" si="20"/>
        <v>0</v>
      </c>
      <c r="BG49" s="87"/>
      <c r="BH49" s="83"/>
      <c r="BI49" s="83"/>
      <c r="BJ49" s="84"/>
      <c r="BK49" s="86">
        <f t="shared" si="21"/>
        <v>0</v>
      </c>
      <c r="BL49" s="87"/>
      <c r="BM49" s="83"/>
      <c r="BN49" s="83"/>
      <c r="BO49" s="84"/>
      <c r="BP49" s="86">
        <f t="shared" si="22"/>
        <v>0</v>
      </c>
      <c r="BQ49" s="87"/>
      <c r="BR49" s="83"/>
      <c r="BS49" s="83"/>
      <c r="BT49" s="84"/>
      <c r="BU49" s="86">
        <f t="shared" si="23"/>
        <v>0</v>
      </c>
      <c r="BV49" s="85">
        <v>0</v>
      </c>
      <c r="BW49" s="89"/>
      <c r="BX49" s="90"/>
    </row>
    <row r="50" spans="1:76" ht="30" customHeight="1" x14ac:dyDescent="0.25">
      <c r="A50" s="91" t="s">
        <v>84</v>
      </c>
      <c r="B50" s="83" t="s">
        <v>174</v>
      </c>
      <c r="C50" s="98">
        <v>46023</v>
      </c>
      <c r="D50" s="98">
        <v>46387</v>
      </c>
      <c r="E50" s="92" t="s">
        <v>175</v>
      </c>
      <c r="F50" s="92" t="s">
        <v>176</v>
      </c>
      <c r="G50" s="92">
        <v>41500000</v>
      </c>
      <c r="H50" s="92">
        <v>1400</v>
      </c>
      <c r="I50" s="92" t="s">
        <v>98</v>
      </c>
      <c r="J50" s="92">
        <v>2321403</v>
      </c>
      <c r="K50" s="99">
        <v>4651600</v>
      </c>
      <c r="L50" s="102" t="s">
        <v>177</v>
      </c>
      <c r="M50" s="103" t="s">
        <v>90</v>
      </c>
      <c r="N50" s="82">
        <v>0</v>
      </c>
      <c r="O50" s="83">
        <v>0</v>
      </c>
      <c r="P50" s="83">
        <v>0</v>
      </c>
      <c r="Q50" s="84">
        <v>387633.33</v>
      </c>
      <c r="R50" s="84">
        <f t="shared" si="12"/>
        <v>-387633.33</v>
      </c>
      <c r="S50" s="85">
        <v>-387633.34</v>
      </c>
      <c r="T50" s="83">
        <v>0</v>
      </c>
      <c r="U50" s="83">
        <v>387633</v>
      </c>
      <c r="V50" s="84">
        <v>0</v>
      </c>
      <c r="W50" s="86">
        <f t="shared" si="13"/>
        <v>387633</v>
      </c>
      <c r="X50" s="87">
        <v>0</v>
      </c>
      <c r="Y50" s="83">
        <v>0</v>
      </c>
      <c r="Z50" s="83">
        <v>0</v>
      </c>
      <c r="AA50" s="84">
        <v>0</v>
      </c>
      <c r="AB50" s="86">
        <f t="shared" si="14"/>
        <v>0</v>
      </c>
      <c r="AC50" s="87">
        <v>0</v>
      </c>
      <c r="AD50" s="83">
        <v>0</v>
      </c>
      <c r="AE50" s="83">
        <v>0</v>
      </c>
      <c r="AF50" s="84">
        <v>0</v>
      </c>
      <c r="AG50" s="86">
        <f t="shared" si="15"/>
        <v>0</v>
      </c>
      <c r="AH50" s="87">
        <v>0</v>
      </c>
      <c r="AI50" s="83">
        <v>0</v>
      </c>
      <c r="AJ50" s="83">
        <v>0</v>
      </c>
      <c r="AK50" s="84">
        <v>0</v>
      </c>
      <c r="AL50" s="86">
        <f t="shared" si="16"/>
        <v>0</v>
      </c>
      <c r="AM50" s="87">
        <v>0</v>
      </c>
      <c r="AN50" s="83">
        <v>0</v>
      </c>
      <c r="AO50" s="83">
        <v>0</v>
      </c>
      <c r="AP50" s="84">
        <v>0</v>
      </c>
      <c r="AQ50" s="86">
        <f t="shared" si="17"/>
        <v>0</v>
      </c>
      <c r="AR50" s="87">
        <v>0</v>
      </c>
      <c r="AS50" s="83">
        <v>0</v>
      </c>
      <c r="AT50" s="83">
        <v>0</v>
      </c>
      <c r="AU50" s="84">
        <v>0</v>
      </c>
      <c r="AV50" s="86">
        <f t="shared" si="18"/>
        <v>0</v>
      </c>
      <c r="AW50" s="87">
        <v>0</v>
      </c>
      <c r="AX50" s="83">
        <v>0</v>
      </c>
      <c r="AY50" s="83">
        <v>0</v>
      </c>
      <c r="AZ50" s="84">
        <v>0</v>
      </c>
      <c r="BA50" s="86">
        <f t="shared" si="19"/>
        <v>0</v>
      </c>
      <c r="BB50" s="87">
        <v>0</v>
      </c>
      <c r="BC50" s="83">
        <v>0</v>
      </c>
      <c r="BD50" s="83">
        <v>0</v>
      </c>
      <c r="BE50" s="84">
        <v>0</v>
      </c>
      <c r="BF50" s="86">
        <f t="shared" si="20"/>
        <v>0</v>
      </c>
      <c r="BG50" s="87">
        <v>0</v>
      </c>
      <c r="BH50" s="83">
        <v>0</v>
      </c>
      <c r="BI50" s="83">
        <v>0</v>
      </c>
      <c r="BJ50" s="84">
        <v>0</v>
      </c>
      <c r="BK50" s="86">
        <f t="shared" si="21"/>
        <v>0</v>
      </c>
      <c r="BL50" s="87">
        <v>0</v>
      </c>
      <c r="BM50" s="83">
        <v>0</v>
      </c>
      <c r="BN50" s="83">
        <v>0</v>
      </c>
      <c r="BO50" s="84">
        <v>0</v>
      </c>
      <c r="BP50" s="86">
        <f t="shared" si="22"/>
        <v>0</v>
      </c>
      <c r="BQ50" s="87">
        <v>0</v>
      </c>
      <c r="BR50" s="83">
        <v>0</v>
      </c>
      <c r="BS50" s="83">
        <v>0</v>
      </c>
      <c r="BT50" s="84">
        <v>0</v>
      </c>
      <c r="BU50" s="86">
        <f t="shared" si="23"/>
        <v>0</v>
      </c>
      <c r="BV50" s="85">
        <v>0</v>
      </c>
      <c r="BW50" s="89"/>
      <c r="BX50" s="90"/>
    </row>
    <row r="51" spans="1:76" ht="45" customHeight="1" x14ac:dyDescent="0.25">
      <c r="A51" s="91" t="s">
        <v>84</v>
      </c>
      <c r="B51" s="83" t="s">
        <v>178</v>
      </c>
      <c r="C51" s="98">
        <v>45992</v>
      </c>
      <c r="D51" s="98">
        <v>46296</v>
      </c>
      <c r="E51" s="92" t="s">
        <v>175</v>
      </c>
      <c r="F51" s="92" t="s">
        <v>176</v>
      </c>
      <c r="G51" s="92">
        <v>41500000</v>
      </c>
      <c r="H51" s="92">
        <v>1400</v>
      </c>
      <c r="I51" s="92" t="s">
        <v>98</v>
      </c>
      <c r="J51" s="92">
        <v>2321403</v>
      </c>
      <c r="K51" s="99">
        <v>62500</v>
      </c>
      <c r="L51" s="102" t="s">
        <v>179</v>
      </c>
      <c r="M51" s="103" t="s">
        <v>90</v>
      </c>
      <c r="N51" s="82">
        <v>0</v>
      </c>
      <c r="O51" s="83">
        <v>0</v>
      </c>
      <c r="P51" s="83">
        <v>0</v>
      </c>
      <c r="Q51" s="84">
        <v>0</v>
      </c>
      <c r="R51" s="84">
        <f t="shared" si="12"/>
        <v>0</v>
      </c>
      <c r="S51" s="85">
        <v>0</v>
      </c>
      <c r="T51" s="83">
        <v>0</v>
      </c>
      <c r="U51" s="83">
        <v>17269.740000000002</v>
      </c>
      <c r="V51" s="84">
        <v>0</v>
      </c>
      <c r="W51" s="86">
        <f t="shared" si="13"/>
        <v>17269.740000000002</v>
      </c>
      <c r="X51" s="87">
        <v>0</v>
      </c>
      <c r="Y51" s="83">
        <v>0</v>
      </c>
      <c r="Z51" s="83">
        <v>0</v>
      </c>
      <c r="AA51" s="84">
        <v>0</v>
      </c>
      <c r="AB51" s="86">
        <f t="shared" si="14"/>
        <v>0</v>
      </c>
      <c r="AC51" s="87">
        <v>0</v>
      </c>
      <c r="AD51" s="83">
        <v>0</v>
      </c>
      <c r="AE51" s="83">
        <v>0</v>
      </c>
      <c r="AF51" s="84">
        <v>0</v>
      </c>
      <c r="AG51" s="86">
        <f t="shared" si="15"/>
        <v>0</v>
      </c>
      <c r="AH51" s="87">
        <v>0</v>
      </c>
      <c r="AI51" s="83">
        <v>0</v>
      </c>
      <c r="AJ51" s="83">
        <v>0</v>
      </c>
      <c r="AK51" s="84">
        <v>0</v>
      </c>
      <c r="AL51" s="86">
        <f t="shared" si="16"/>
        <v>0</v>
      </c>
      <c r="AM51" s="87">
        <v>0</v>
      </c>
      <c r="AN51" s="83">
        <v>0</v>
      </c>
      <c r="AO51" s="83">
        <v>0</v>
      </c>
      <c r="AP51" s="84">
        <v>0</v>
      </c>
      <c r="AQ51" s="86">
        <f t="shared" si="17"/>
        <v>0</v>
      </c>
      <c r="AR51" s="87">
        <v>0</v>
      </c>
      <c r="AS51" s="83">
        <v>0</v>
      </c>
      <c r="AT51" s="83">
        <v>0</v>
      </c>
      <c r="AU51" s="84">
        <v>0</v>
      </c>
      <c r="AV51" s="86">
        <f t="shared" si="18"/>
        <v>0</v>
      </c>
      <c r="AW51" s="87">
        <v>0</v>
      </c>
      <c r="AX51" s="83">
        <v>0</v>
      </c>
      <c r="AY51" s="83">
        <v>0</v>
      </c>
      <c r="AZ51" s="84">
        <v>0</v>
      </c>
      <c r="BA51" s="86">
        <f t="shared" si="19"/>
        <v>0</v>
      </c>
      <c r="BB51" s="87">
        <v>0</v>
      </c>
      <c r="BC51" s="83">
        <v>0</v>
      </c>
      <c r="BD51" s="83">
        <v>0</v>
      </c>
      <c r="BE51" s="84">
        <v>0</v>
      </c>
      <c r="BF51" s="86">
        <f t="shared" si="20"/>
        <v>0</v>
      </c>
      <c r="BG51" s="87">
        <v>0</v>
      </c>
      <c r="BH51" s="83">
        <v>0</v>
      </c>
      <c r="BI51" s="83">
        <v>0</v>
      </c>
      <c r="BJ51" s="84">
        <v>0</v>
      </c>
      <c r="BK51" s="86">
        <f t="shared" si="21"/>
        <v>0</v>
      </c>
      <c r="BL51" s="87">
        <v>0</v>
      </c>
      <c r="BM51" s="83">
        <v>0</v>
      </c>
      <c r="BN51" s="83">
        <v>0</v>
      </c>
      <c r="BO51" s="84">
        <v>0</v>
      </c>
      <c r="BP51" s="86">
        <f t="shared" si="22"/>
        <v>0</v>
      </c>
      <c r="BQ51" s="87">
        <v>0</v>
      </c>
      <c r="BR51" s="83">
        <v>0</v>
      </c>
      <c r="BS51" s="83">
        <v>0</v>
      </c>
      <c r="BT51" s="84">
        <v>0</v>
      </c>
      <c r="BU51" s="86">
        <f t="shared" si="23"/>
        <v>0</v>
      </c>
      <c r="BV51" s="85">
        <v>0</v>
      </c>
      <c r="BW51" s="89"/>
      <c r="BX51" s="90"/>
    </row>
    <row r="52" spans="1:76" ht="45" customHeight="1" x14ac:dyDescent="0.25">
      <c r="A52" s="91" t="s">
        <v>180</v>
      </c>
      <c r="B52" s="83" t="s">
        <v>181</v>
      </c>
      <c r="C52" s="98">
        <v>46023</v>
      </c>
      <c r="D52" s="98">
        <v>46387</v>
      </c>
      <c r="E52" s="92" t="s">
        <v>175</v>
      </c>
      <c r="F52" s="92" t="s">
        <v>182</v>
      </c>
      <c r="G52" s="92">
        <v>41500000</v>
      </c>
      <c r="H52" s="92">
        <v>1400</v>
      </c>
      <c r="I52" s="92" t="s">
        <v>98</v>
      </c>
      <c r="J52" s="92">
        <v>2321403</v>
      </c>
      <c r="K52" s="99">
        <v>1058400</v>
      </c>
      <c r="L52" s="102" t="s">
        <v>183</v>
      </c>
      <c r="M52" s="103" t="s">
        <v>90</v>
      </c>
      <c r="N52" s="82">
        <v>0</v>
      </c>
      <c r="O52" s="83">
        <v>0</v>
      </c>
      <c r="P52" s="83">
        <v>0</v>
      </c>
      <c r="Q52" s="84">
        <v>0</v>
      </c>
      <c r="R52" s="84">
        <f t="shared" si="12"/>
        <v>0</v>
      </c>
      <c r="S52" s="85">
        <v>0</v>
      </c>
      <c r="T52" s="83">
        <v>0</v>
      </c>
      <c r="U52" s="83">
        <v>176400</v>
      </c>
      <c r="V52" s="84">
        <v>0</v>
      </c>
      <c r="W52" s="86">
        <f t="shared" si="13"/>
        <v>176400</v>
      </c>
      <c r="X52" s="87">
        <v>0</v>
      </c>
      <c r="Y52" s="83">
        <v>0</v>
      </c>
      <c r="Z52" s="83">
        <v>0</v>
      </c>
      <c r="AA52" s="84">
        <v>0</v>
      </c>
      <c r="AB52" s="86">
        <f t="shared" si="14"/>
        <v>0</v>
      </c>
      <c r="AC52" s="87">
        <v>0</v>
      </c>
      <c r="AD52" s="83">
        <v>0</v>
      </c>
      <c r="AE52" s="83">
        <v>0</v>
      </c>
      <c r="AF52" s="84">
        <v>0</v>
      </c>
      <c r="AG52" s="86">
        <f t="shared" si="15"/>
        <v>0</v>
      </c>
      <c r="AH52" s="87">
        <v>0</v>
      </c>
      <c r="AI52" s="83">
        <v>0</v>
      </c>
      <c r="AJ52" s="83">
        <v>0</v>
      </c>
      <c r="AK52" s="84">
        <v>0</v>
      </c>
      <c r="AL52" s="86">
        <f t="shared" si="16"/>
        <v>0</v>
      </c>
      <c r="AM52" s="87">
        <v>0</v>
      </c>
      <c r="AN52" s="83">
        <v>0</v>
      </c>
      <c r="AO52" s="83">
        <v>0</v>
      </c>
      <c r="AP52" s="84">
        <v>0</v>
      </c>
      <c r="AQ52" s="86">
        <f t="shared" si="17"/>
        <v>0</v>
      </c>
      <c r="AR52" s="87">
        <v>0</v>
      </c>
      <c r="AS52" s="83">
        <v>0</v>
      </c>
      <c r="AT52" s="83">
        <v>0</v>
      </c>
      <c r="AU52" s="84">
        <v>0</v>
      </c>
      <c r="AV52" s="86">
        <f t="shared" si="18"/>
        <v>0</v>
      </c>
      <c r="AW52" s="87">
        <v>0</v>
      </c>
      <c r="AX52" s="83">
        <v>0</v>
      </c>
      <c r="AY52" s="83">
        <v>0</v>
      </c>
      <c r="AZ52" s="84">
        <v>0</v>
      </c>
      <c r="BA52" s="86">
        <f t="shared" si="19"/>
        <v>0</v>
      </c>
      <c r="BB52" s="87">
        <v>0</v>
      </c>
      <c r="BC52" s="83">
        <v>0</v>
      </c>
      <c r="BD52" s="83">
        <v>0</v>
      </c>
      <c r="BE52" s="84">
        <v>0</v>
      </c>
      <c r="BF52" s="86">
        <f t="shared" si="20"/>
        <v>0</v>
      </c>
      <c r="BG52" s="87">
        <v>0</v>
      </c>
      <c r="BH52" s="83">
        <v>0</v>
      </c>
      <c r="BI52" s="83">
        <v>0</v>
      </c>
      <c r="BJ52" s="84">
        <v>0</v>
      </c>
      <c r="BK52" s="86">
        <f t="shared" si="21"/>
        <v>0</v>
      </c>
      <c r="BL52" s="87">
        <v>0</v>
      </c>
      <c r="BM52" s="83">
        <v>0</v>
      </c>
      <c r="BN52" s="83">
        <v>0</v>
      </c>
      <c r="BO52" s="84">
        <v>0</v>
      </c>
      <c r="BP52" s="86">
        <f t="shared" si="22"/>
        <v>0</v>
      </c>
      <c r="BQ52" s="87">
        <v>0</v>
      </c>
      <c r="BR52" s="83">
        <v>0</v>
      </c>
      <c r="BS52" s="83">
        <v>0</v>
      </c>
      <c r="BT52" s="84">
        <v>0</v>
      </c>
      <c r="BU52" s="86">
        <f t="shared" si="23"/>
        <v>0</v>
      </c>
      <c r="BV52" s="85">
        <v>0</v>
      </c>
      <c r="BW52" s="89"/>
      <c r="BX52" s="90"/>
    </row>
    <row r="53" spans="1:76" ht="45" customHeight="1" x14ac:dyDescent="0.25">
      <c r="A53" s="91" t="s">
        <v>184</v>
      </c>
      <c r="B53" s="83" t="s">
        <v>185</v>
      </c>
      <c r="C53" s="98">
        <v>46023</v>
      </c>
      <c r="D53" s="98">
        <v>46387</v>
      </c>
      <c r="E53" s="92" t="s">
        <v>175</v>
      </c>
      <c r="F53" s="92" t="s">
        <v>182</v>
      </c>
      <c r="G53" s="92">
        <v>41500000</v>
      </c>
      <c r="H53" s="92">
        <v>1400</v>
      </c>
      <c r="I53" s="92" t="s">
        <v>98</v>
      </c>
      <c r="J53" s="92">
        <v>2321403</v>
      </c>
      <c r="K53" s="99">
        <v>577400</v>
      </c>
      <c r="L53" s="102" t="s">
        <v>186</v>
      </c>
      <c r="M53" s="103" t="s">
        <v>90</v>
      </c>
      <c r="N53" s="82">
        <v>0</v>
      </c>
      <c r="O53" s="83">
        <v>0</v>
      </c>
      <c r="P53" s="83">
        <v>0</v>
      </c>
      <c r="Q53" s="84">
        <v>0</v>
      </c>
      <c r="R53" s="84">
        <f t="shared" si="12"/>
        <v>0</v>
      </c>
      <c r="S53" s="85">
        <v>0</v>
      </c>
      <c r="T53" s="83">
        <v>0</v>
      </c>
      <c r="U53" s="83">
        <v>84071.98</v>
      </c>
      <c r="V53" s="84">
        <v>0</v>
      </c>
      <c r="W53" s="86">
        <f t="shared" si="13"/>
        <v>84071.98</v>
      </c>
      <c r="X53" s="87">
        <v>0</v>
      </c>
      <c r="Y53" s="83">
        <v>0</v>
      </c>
      <c r="Z53" s="83">
        <v>0</v>
      </c>
      <c r="AA53" s="84">
        <v>0</v>
      </c>
      <c r="AB53" s="86">
        <f t="shared" si="14"/>
        <v>0</v>
      </c>
      <c r="AC53" s="87">
        <v>0</v>
      </c>
      <c r="AD53" s="83">
        <v>0</v>
      </c>
      <c r="AE53" s="83">
        <v>0</v>
      </c>
      <c r="AF53" s="84">
        <v>0</v>
      </c>
      <c r="AG53" s="86">
        <f t="shared" si="15"/>
        <v>0</v>
      </c>
      <c r="AH53" s="87">
        <v>0</v>
      </c>
      <c r="AI53" s="83">
        <v>0</v>
      </c>
      <c r="AJ53" s="83">
        <v>0</v>
      </c>
      <c r="AK53" s="84">
        <v>0</v>
      </c>
      <c r="AL53" s="86">
        <f t="shared" si="16"/>
        <v>0</v>
      </c>
      <c r="AM53" s="87">
        <v>0</v>
      </c>
      <c r="AN53" s="83">
        <v>0</v>
      </c>
      <c r="AO53" s="83">
        <v>0</v>
      </c>
      <c r="AP53" s="84">
        <v>0</v>
      </c>
      <c r="AQ53" s="86">
        <f t="shared" si="17"/>
        <v>0</v>
      </c>
      <c r="AR53" s="87">
        <v>0</v>
      </c>
      <c r="AS53" s="83">
        <v>0</v>
      </c>
      <c r="AT53" s="83">
        <v>0</v>
      </c>
      <c r="AU53" s="84">
        <v>0</v>
      </c>
      <c r="AV53" s="86">
        <f t="shared" si="18"/>
        <v>0</v>
      </c>
      <c r="AW53" s="87">
        <v>0</v>
      </c>
      <c r="AX53" s="83">
        <v>0</v>
      </c>
      <c r="AY53" s="83">
        <v>0</v>
      </c>
      <c r="AZ53" s="84">
        <v>0</v>
      </c>
      <c r="BA53" s="86">
        <f t="shared" si="19"/>
        <v>0</v>
      </c>
      <c r="BB53" s="87">
        <v>0</v>
      </c>
      <c r="BC53" s="83">
        <v>0</v>
      </c>
      <c r="BD53" s="83">
        <v>0</v>
      </c>
      <c r="BE53" s="84">
        <v>0</v>
      </c>
      <c r="BF53" s="86">
        <f t="shared" si="20"/>
        <v>0</v>
      </c>
      <c r="BG53" s="87">
        <v>0</v>
      </c>
      <c r="BH53" s="83">
        <v>0</v>
      </c>
      <c r="BI53" s="83">
        <v>0</v>
      </c>
      <c r="BJ53" s="84">
        <v>0</v>
      </c>
      <c r="BK53" s="86">
        <f t="shared" si="21"/>
        <v>0</v>
      </c>
      <c r="BL53" s="87">
        <v>0</v>
      </c>
      <c r="BM53" s="83">
        <v>0</v>
      </c>
      <c r="BN53" s="83">
        <v>0</v>
      </c>
      <c r="BO53" s="84">
        <v>0</v>
      </c>
      <c r="BP53" s="86">
        <f t="shared" si="22"/>
        <v>0</v>
      </c>
      <c r="BQ53" s="87">
        <v>0</v>
      </c>
      <c r="BR53" s="83">
        <v>0</v>
      </c>
      <c r="BS53" s="83">
        <v>0</v>
      </c>
      <c r="BT53" s="84">
        <v>0</v>
      </c>
      <c r="BU53" s="86">
        <f t="shared" si="23"/>
        <v>0</v>
      </c>
      <c r="BV53" s="85">
        <v>0</v>
      </c>
      <c r="BW53" s="89"/>
      <c r="BX53" s="90"/>
    </row>
    <row r="54" spans="1:76" x14ac:dyDescent="0.25">
      <c r="A54" s="91" t="s">
        <v>84</v>
      </c>
      <c r="B54" s="83" t="s">
        <v>187</v>
      </c>
      <c r="C54" s="98">
        <v>46023</v>
      </c>
      <c r="D54" s="98">
        <v>46387</v>
      </c>
      <c r="E54" s="92" t="s">
        <v>175</v>
      </c>
      <c r="F54" s="92" t="s">
        <v>188</v>
      </c>
      <c r="G54" s="92">
        <v>41500000</v>
      </c>
      <c r="H54" s="92">
        <v>1400</v>
      </c>
      <c r="I54" s="92" t="s">
        <v>98</v>
      </c>
      <c r="J54" s="92">
        <v>2321403</v>
      </c>
      <c r="K54" s="99">
        <v>36000</v>
      </c>
      <c r="L54" s="102" t="s">
        <v>189</v>
      </c>
      <c r="M54" s="103" t="s">
        <v>90</v>
      </c>
      <c r="N54" s="82">
        <v>0</v>
      </c>
      <c r="O54" s="83">
        <v>0</v>
      </c>
      <c r="P54" s="83">
        <v>0</v>
      </c>
      <c r="Q54" s="84">
        <v>0</v>
      </c>
      <c r="R54" s="84">
        <f t="shared" si="12"/>
        <v>0</v>
      </c>
      <c r="S54" s="85">
        <v>0</v>
      </c>
      <c r="T54" s="83">
        <v>0</v>
      </c>
      <c r="U54" s="83">
        <v>5999.76</v>
      </c>
      <c r="V54" s="84">
        <v>0</v>
      </c>
      <c r="W54" s="86">
        <f t="shared" si="13"/>
        <v>5999.76</v>
      </c>
      <c r="X54" s="87">
        <v>0</v>
      </c>
      <c r="Y54" s="83">
        <v>0</v>
      </c>
      <c r="Z54" s="83">
        <v>0</v>
      </c>
      <c r="AA54" s="84">
        <v>0</v>
      </c>
      <c r="AB54" s="86">
        <f t="shared" si="14"/>
        <v>0</v>
      </c>
      <c r="AC54" s="87">
        <v>0</v>
      </c>
      <c r="AD54" s="83">
        <v>0</v>
      </c>
      <c r="AE54" s="83">
        <v>0</v>
      </c>
      <c r="AF54" s="84">
        <v>0</v>
      </c>
      <c r="AG54" s="86">
        <f t="shared" si="15"/>
        <v>0</v>
      </c>
      <c r="AH54" s="87">
        <v>0</v>
      </c>
      <c r="AI54" s="83">
        <v>0</v>
      </c>
      <c r="AJ54" s="83">
        <v>0</v>
      </c>
      <c r="AK54" s="84">
        <v>0</v>
      </c>
      <c r="AL54" s="86">
        <f t="shared" si="16"/>
        <v>0</v>
      </c>
      <c r="AM54" s="87">
        <v>0</v>
      </c>
      <c r="AN54" s="83">
        <v>0</v>
      </c>
      <c r="AO54" s="83">
        <v>0</v>
      </c>
      <c r="AP54" s="84">
        <v>0</v>
      </c>
      <c r="AQ54" s="86">
        <f t="shared" si="17"/>
        <v>0</v>
      </c>
      <c r="AR54" s="87">
        <v>0</v>
      </c>
      <c r="AS54" s="83">
        <v>0</v>
      </c>
      <c r="AT54" s="83">
        <v>0</v>
      </c>
      <c r="AU54" s="84">
        <v>0</v>
      </c>
      <c r="AV54" s="86">
        <f t="shared" si="18"/>
        <v>0</v>
      </c>
      <c r="AW54" s="87">
        <v>0</v>
      </c>
      <c r="AX54" s="83">
        <v>0</v>
      </c>
      <c r="AY54" s="83">
        <v>0</v>
      </c>
      <c r="AZ54" s="84">
        <v>0</v>
      </c>
      <c r="BA54" s="86">
        <f t="shared" si="19"/>
        <v>0</v>
      </c>
      <c r="BB54" s="87">
        <v>0</v>
      </c>
      <c r="BC54" s="83">
        <v>0</v>
      </c>
      <c r="BD54" s="83">
        <v>0</v>
      </c>
      <c r="BE54" s="84">
        <v>0</v>
      </c>
      <c r="BF54" s="86">
        <f t="shared" si="20"/>
        <v>0</v>
      </c>
      <c r="BG54" s="87">
        <v>0</v>
      </c>
      <c r="BH54" s="83">
        <v>0</v>
      </c>
      <c r="BI54" s="83">
        <v>0</v>
      </c>
      <c r="BJ54" s="84">
        <v>0</v>
      </c>
      <c r="BK54" s="86">
        <f t="shared" si="21"/>
        <v>0</v>
      </c>
      <c r="BL54" s="87">
        <v>0</v>
      </c>
      <c r="BM54" s="83">
        <v>0</v>
      </c>
      <c r="BN54" s="83">
        <v>0</v>
      </c>
      <c r="BO54" s="84">
        <v>0</v>
      </c>
      <c r="BP54" s="86">
        <f t="shared" si="22"/>
        <v>0</v>
      </c>
      <c r="BQ54" s="87">
        <v>0</v>
      </c>
      <c r="BR54" s="83">
        <v>0</v>
      </c>
      <c r="BS54" s="83">
        <v>0</v>
      </c>
      <c r="BT54" s="84">
        <v>0</v>
      </c>
      <c r="BU54" s="86">
        <f t="shared" si="23"/>
        <v>0</v>
      </c>
      <c r="BV54" s="85">
        <v>0</v>
      </c>
      <c r="BW54" s="89"/>
      <c r="BX54" s="90"/>
    </row>
    <row r="55" spans="1:76" x14ac:dyDescent="0.25">
      <c r="A55" s="91"/>
      <c r="B55" s="83"/>
      <c r="C55" s="92"/>
      <c r="D55" s="92"/>
      <c r="E55" s="92"/>
      <c r="F55" s="92" t="s">
        <v>190</v>
      </c>
      <c r="G55" s="92"/>
      <c r="H55" s="92"/>
      <c r="I55" s="92"/>
      <c r="J55" s="92"/>
      <c r="K55" s="93"/>
      <c r="L55" s="102" t="s">
        <v>191</v>
      </c>
      <c r="M55" s="103"/>
      <c r="N55" s="82"/>
      <c r="O55" s="83"/>
      <c r="P55" s="83"/>
      <c r="Q55" s="84"/>
      <c r="R55" s="84">
        <f t="shared" si="12"/>
        <v>0</v>
      </c>
      <c r="S55" s="85"/>
      <c r="T55" s="83"/>
      <c r="U55" s="83"/>
      <c r="V55" s="84"/>
      <c r="W55" s="86">
        <f t="shared" si="13"/>
        <v>0</v>
      </c>
      <c r="X55" s="87"/>
      <c r="Y55" s="83"/>
      <c r="Z55" s="83"/>
      <c r="AA55" s="84"/>
      <c r="AB55" s="86">
        <f t="shared" si="14"/>
        <v>0</v>
      </c>
      <c r="AC55" s="87"/>
      <c r="AD55" s="83"/>
      <c r="AE55" s="83"/>
      <c r="AF55" s="84"/>
      <c r="AG55" s="86">
        <f t="shared" si="15"/>
        <v>0</v>
      </c>
      <c r="AH55" s="87"/>
      <c r="AI55" s="83"/>
      <c r="AJ55" s="83"/>
      <c r="AK55" s="84"/>
      <c r="AL55" s="86">
        <f t="shared" si="16"/>
        <v>0</v>
      </c>
      <c r="AM55" s="87"/>
      <c r="AN55" s="83"/>
      <c r="AO55" s="83"/>
      <c r="AP55" s="84"/>
      <c r="AQ55" s="86">
        <f t="shared" si="17"/>
        <v>0</v>
      </c>
      <c r="AR55" s="87"/>
      <c r="AS55" s="83"/>
      <c r="AT55" s="83"/>
      <c r="AU55" s="84"/>
      <c r="AV55" s="86">
        <f t="shared" si="18"/>
        <v>0</v>
      </c>
      <c r="AW55" s="87"/>
      <c r="AX55" s="83"/>
      <c r="AY55" s="83"/>
      <c r="AZ55" s="84"/>
      <c r="BA55" s="86">
        <f t="shared" si="19"/>
        <v>0</v>
      </c>
      <c r="BB55" s="87"/>
      <c r="BC55" s="83"/>
      <c r="BD55" s="83"/>
      <c r="BE55" s="84"/>
      <c r="BF55" s="86">
        <f t="shared" si="20"/>
        <v>0</v>
      </c>
      <c r="BG55" s="87"/>
      <c r="BH55" s="83"/>
      <c r="BI55" s="83"/>
      <c r="BJ55" s="84"/>
      <c r="BK55" s="86">
        <f t="shared" si="21"/>
        <v>0</v>
      </c>
      <c r="BL55" s="87"/>
      <c r="BM55" s="83"/>
      <c r="BN55" s="83"/>
      <c r="BO55" s="84"/>
      <c r="BP55" s="86">
        <f t="shared" si="22"/>
        <v>0</v>
      </c>
      <c r="BQ55" s="87"/>
      <c r="BR55" s="83"/>
      <c r="BS55" s="83"/>
      <c r="BT55" s="84"/>
      <c r="BU55" s="86">
        <f t="shared" si="23"/>
        <v>0</v>
      </c>
      <c r="BV55" s="85">
        <v>0</v>
      </c>
      <c r="BW55" s="89"/>
      <c r="BX55" s="90"/>
    </row>
    <row r="56" spans="1:76" x14ac:dyDescent="0.25">
      <c r="A56" s="91"/>
      <c r="B56" s="83"/>
      <c r="C56" s="92"/>
      <c r="D56" s="92"/>
      <c r="E56" s="92"/>
      <c r="F56" s="92" t="s">
        <v>192</v>
      </c>
      <c r="G56" s="92"/>
      <c r="H56" s="92"/>
      <c r="I56" s="92"/>
      <c r="J56" s="92"/>
      <c r="K56" s="93"/>
      <c r="L56" s="102" t="s">
        <v>193</v>
      </c>
      <c r="M56" s="103"/>
      <c r="N56" s="82"/>
      <c r="O56" s="83"/>
      <c r="P56" s="83"/>
      <c r="Q56" s="84"/>
      <c r="R56" s="84">
        <f t="shared" si="12"/>
        <v>0</v>
      </c>
      <c r="S56" s="85"/>
      <c r="T56" s="83"/>
      <c r="U56" s="83"/>
      <c r="V56" s="84"/>
      <c r="W56" s="86">
        <f t="shared" si="13"/>
        <v>0</v>
      </c>
      <c r="X56" s="87"/>
      <c r="Y56" s="83"/>
      <c r="Z56" s="83"/>
      <c r="AA56" s="84"/>
      <c r="AB56" s="86">
        <f t="shared" si="14"/>
        <v>0</v>
      </c>
      <c r="AC56" s="87"/>
      <c r="AD56" s="83"/>
      <c r="AE56" s="83"/>
      <c r="AF56" s="84"/>
      <c r="AG56" s="86">
        <f t="shared" si="15"/>
        <v>0</v>
      </c>
      <c r="AH56" s="87"/>
      <c r="AI56" s="83"/>
      <c r="AJ56" s="83"/>
      <c r="AK56" s="84"/>
      <c r="AL56" s="86">
        <f t="shared" si="16"/>
        <v>0</v>
      </c>
      <c r="AM56" s="87"/>
      <c r="AN56" s="83"/>
      <c r="AO56" s="83"/>
      <c r="AP56" s="84"/>
      <c r="AQ56" s="86">
        <f t="shared" si="17"/>
        <v>0</v>
      </c>
      <c r="AR56" s="87"/>
      <c r="AS56" s="83"/>
      <c r="AT56" s="83"/>
      <c r="AU56" s="84"/>
      <c r="AV56" s="86">
        <f t="shared" si="18"/>
        <v>0</v>
      </c>
      <c r="AW56" s="87"/>
      <c r="AX56" s="83"/>
      <c r="AY56" s="83"/>
      <c r="AZ56" s="84"/>
      <c r="BA56" s="86">
        <f t="shared" si="19"/>
        <v>0</v>
      </c>
      <c r="BB56" s="87"/>
      <c r="BC56" s="83"/>
      <c r="BD56" s="83"/>
      <c r="BE56" s="84"/>
      <c r="BF56" s="86">
        <f t="shared" si="20"/>
        <v>0</v>
      </c>
      <c r="BG56" s="87"/>
      <c r="BH56" s="83"/>
      <c r="BI56" s="83"/>
      <c r="BJ56" s="84"/>
      <c r="BK56" s="86">
        <f t="shared" si="21"/>
        <v>0</v>
      </c>
      <c r="BL56" s="87"/>
      <c r="BM56" s="83"/>
      <c r="BN56" s="83"/>
      <c r="BO56" s="84"/>
      <c r="BP56" s="86">
        <f t="shared" si="22"/>
        <v>0</v>
      </c>
      <c r="BQ56" s="87"/>
      <c r="BR56" s="83"/>
      <c r="BS56" s="83"/>
      <c r="BT56" s="84"/>
      <c r="BU56" s="86">
        <f t="shared" si="23"/>
        <v>0</v>
      </c>
      <c r="BV56" s="85">
        <v>0</v>
      </c>
      <c r="BW56" s="89"/>
      <c r="BX56" s="90"/>
    </row>
    <row r="57" spans="1:76" x14ac:dyDescent="0.25">
      <c r="A57" s="91" t="s">
        <v>10</v>
      </c>
      <c r="B57" s="83" t="s">
        <v>194</v>
      </c>
      <c r="C57" s="98">
        <v>46023</v>
      </c>
      <c r="D57" s="92" t="s">
        <v>195</v>
      </c>
      <c r="E57" s="92" t="s">
        <v>175</v>
      </c>
      <c r="F57" s="92" t="s">
        <v>196</v>
      </c>
      <c r="G57" s="92">
        <v>41500000</v>
      </c>
      <c r="H57" s="92">
        <v>1400</v>
      </c>
      <c r="I57" s="92" t="s">
        <v>98</v>
      </c>
      <c r="J57" s="92">
        <v>2321403</v>
      </c>
      <c r="K57" s="99">
        <v>334732.5</v>
      </c>
      <c r="L57" s="102" t="s">
        <v>197</v>
      </c>
      <c r="M57" s="103" t="s">
        <v>90</v>
      </c>
      <c r="N57" s="82"/>
      <c r="O57" s="83"/>
      <c r="P57" s="83"/>
      <c r="Q57" s="84"/>
      <c r="R57" s="84">
        <f t="shared" si="12"/>
        <v>0</v>
      </c>
      <c r="S57" s="85"/>
      <c r="T57" s="83"/>
      <c r="U57" s="83"/>
      <c r="V57" s="84"/>
      <c r="W57" s="86">
        <f t="shared" si="13"/>
        <v>0</v>
      </c>
      <c r="X57" s="87"/>
      <c r="Y57" s="83"/>
      <c r="Z57" s="83"/>
      <c r="AA57" s="84"/>
      <c r="AB57" s="86">
        <f t="shared" si="14"/>
        <v>0</v>
      </c>
      <c r="AC57" s="87"/>
      <c r="AD57" s="83"/>
      <c r="AE57" s="83"/>
      <c r="AF57" s="84"/>
      <c r="AG57" s="86">
        <f t="shared" si="15"/>
        <v>0</v>
      </c>
      <c r="AH57" s="87"/>
      <c r="AI57" s="83"/>
      <c r="AJ57" s="83"/>
      <c r="AK57" s="84"/>
      <c r="AL57" s="86">
        <f t="shared" si="16"/>
        <v>0</v>
      </c>
      <c r="AM57" s="87"/>
      <c r="AN57" s="83"/>
      <c r="AO57" s="83"/>
      <c r="AP57" s="84"/>
      <c r="AQ57" s="86">
        <f t="shared" si="17"/>
        <v>0</v>
      </c>
      <c r="AR57" s="87"/>
      <c r="AS57" s="83"/>
      <c r="AT57" s="83"/>
      <c r="AU57" s="84"/>
      <c r="AV57" s="86">
        <f t="shared" si="18"/>
        <v>0</v>
      </c>
      <c r="AW57" s="87"/>
      <c r="AX57" s="83"/>
      <c r="AY57" s="83"/>
      <c r="AZ57" s="84"/>
      <c r="BA57" s="86">
        <f t="shared" si="19"/>
        <v>0</v>
      </c>
      <c r="BB57" s="87"/>
      <c r="BC57" s="83"/>
      <c r="BD57" s="83"/>
      <c r="BE57" s="84"/>
      <c r="BF57" s="86">
        <f t="shared" si="20"/>
        <v>0</v>
      </c>
      <c r="BG57" s="87"/>
      <c r="BH57" s="83"/>
      <c r="BI57" s="83"/>
      <c r="BJ57" s="84"/>
      <c r="BK57" s="86">
        <f t="shared" si="21"/>
        <v>0</v>
      </c>
      <c r="BL57" s="87"/>
      <c r="BM57" s="83"/>
      <c r="BN57" s="83"/>
      <c r="BO57" s="84"/>
      <c r="BP57" s="86">
        <f t="shared" si="22"/>
        <v>0</v>
      </c>
      <c r="BQ57" s="87"/>
      <c r="BR57" s="83"/>
      <c r="BS57" s="83"/>
      <c r="BT57" s="84"/>
      <c r="BU57" s="86">
        <f t="shared" si="23"/>
        <v>0</v>
      </c>
      <c r="BV57" s="85">
        <v>0</v>
      </c>
      <c r="BW57" s="89"/>
      <c r="BX57" s="90"/>
    </row>
    <row r="58" spans="1:76" ht="30" customHeight="1" x14ac:dyDescent="0.25">
      <c r="A58" s="91" t="s">
        <v>84</v>
      </c>
      <c r="B58" s="83" t="s">
        <v>198</v>
      </c>
      <c r="C58" s="98">
        <v>46023</v>
      </c>
      <c r="D58" s="98">
        <v>46387</v>
      </c>
      <c r="E58" s="92" t="s">
        <v>175</v>
      </c>
      <c r="F58" s="92" t="s">
        <v>199</v>
      </c>
      <c r="G58" s="92">
        <v>41500000</v>
      </c>
      <c r="H58" s="92">
        <v>1400</v>
      </c>
      <c r="I58" s="92" t="s">
        <v>98</v>
      </c>
      <c r="J58" s="92">
        <v>2321403</v>
      </c>
      <c r="K58" s="99">
        <v>433000</v>
      </c>
      <c r="L58" s="102" t="s">
        <v>200</v>
      </c>
      <c r="M58" s="103" t="s">
        <v>90</v>
      </c>
      <c r="N58" s="82">
        <v>0</v>
      </c>
      <c r="O58" s="83">
        <v>0</v>
      </c>
      <c r="P58" s="83">
        <v>0</v>
      </c>
      <c r="Q58" s="84">
        <v>0</v>
      </c>
      <c r="R58" s="84">
        <f t="shared" si="12"/>
        <v>0</v>
      </c>
      <c r="S58" s="85">
        <v>0</v>
      </c>
      <c r="T58" s="83">
        <v>0</v>
      </c>
      <c r="U58" s="83">
        <v>72165.709999999992</v>
      </c>
      <c r="V58" s="84">
        <v>0</v>
      </c>
      <c r="W58" s="86">
        <f t="shared" si="13"/>
        <v>72165.709999999992</v>
      </c>
      <c r="X58" s="87">
        <v>0</v>
      </c>
      <c r="Y58" s="83">
        <v>0</v>
      </c>
      <c r="Z58" s="83">
        <v>0</v>
      </c>
      <c r="AA58" s="84">
        <v>0</v>
      </c>
      <c r="AB58" s="86">
        <f t="shared" si="14"/>
        <v>0</v>
      </c>
      <c r="AC58" s="87">
        <v>0</v>
      </c>
      <c r="AD58" s="83">
        <v>0</v>
      </c>
      <c r="AE58" s="83">
        <v>0</v>
      </c>
      <c r="AF58" s="84">
        <v>0</v>
      </c>
      <c r="AG58" s="86">
        <f t="shared" si="15"/>
        <v>0</v>
      </c>
      <c r="AH58" s="87">
        <v>0</v>
      </c>
      <c r="AI58" s="83">
        <v>0</v>
      </c>
      <c r="AJ58" s="83">
        <v>0</v>
      </c>
      <c r="AK58" s="84">
        <v>0</v>
      </c>
      <c r="AL58" s="86">
        <f t="shared" si="16"/>
        <v>0</v>
      </c>
      <c r="AM58" s="87">
        <v>0</v>
      </c>
      <c r="AN58" s="83">
        <v>0</v>
      </c>
      <c r="AO58" s="83">
        <v>0</v>
      </c>
      <c r="AP58" s="84">
        <v>0</v>
      </c>
      <c r="AQ58" s="86">
        <f t="shared" si="17"/>
        <v>0</v>
      </c>
      <c r="AR58" s="87">
        <v>0</v>
      </c>
      <c r="AS58" s="83">
        <v>0</v>
      </c>
      <c r="AT58" s="83">
        <v>0</v>
      </c>
      <c r="AU58" s="84">
        <v>0</v>
      </c>
      <c r="AV58" s="86">
        <f t="shared" si="18"/>
        <v>0</v>
      </c>
      <c r="AW58" s="87">
        <v>0</v>
      </c>
      <c r="AX58" s="83">
        <v>0</v>
      </c>
      <c r="AY58" s="83">
        <v>0</v>
      </c>
      <c r="AZ58" s="84">
        <v>0</v>
      </c>
      <c r="BA58" s="86">
        <f t="shared" si="19"/>
        <v>0</v>
      </c>
      <c r="BB58" s="87">
        <v>0</v>
      </c>
      <c r="BC58" s="83">
        <v>0</v>
      </c>
      <c r="BD58" s="83">
        <v>0</v>
      </c>
      <c r="BE58" s="84">
        <v>0</v>
      </c>
      <c r="BF58" s="86">
        <f t="shared" si="20"/>
        <v>0</v>
      </c>
      <c r="BG58" s="87">
        <v>0</v>
      </c>
      <c r="BH58" s="83">
        <v>0</v>
      </c>
      <c r="BI58" s="83">
        <v>0</v>
      </c>
      <c r="BJ58" s="84">
        <v>0</v>
      </c>
      <c r="BK58" s="86">
        <f t="shared" si="21"/>
        <v>0</v>
      </c>
      <c r="BL58" s="87">
        <v>0</v>
      </c>
      <c r="BM58" s="83">
        <v>0</v>
      </c>
      <c r="BN58" s="83">
        <v>0</v>
      </c>
      <c r="BO58" s="84">
        <v>0</v>
      </c>
      <c r="BP58" s="86">
        <f t="shared" si="22"/>
        <v>0</v>
      </c>
      <c r="BQ58" s="87">
        <v>0</v>
      </c>
      <c r="BR58" s="83">
        <v>0</v>
      </c>
      <c r="BS58" s="83">
        <v>0</v>
      </c>
      <c r="BT58" s="84">
        <v>0</v>
      </c>
      <c r="BU58" s="86">
        <f t="shared" si="23"/>
        <v>0</v>
      </c>
      <c r="BV58" s="85">
        <v>0</v>
      </c>
      <c r="BW58" s="89"/>
      <c r="BX58" s="90"/>
    </row>
    <row r="59" spans="1:76" ht="30" customHeight="1" x14ac:dyDescent="0.25">
      <c r="A59" s="91" t="s">
        <v>201</v>
      </c>
      <c r="B59" s="83" t="s">
        <v>202</v>
      </c>
      <c r="C59" s="98">
        <v>46023</v>
      </c>
      <c r="D59" s="98">
        <v>46387</v>
      </c>
      <c r="E59" s="92" t="s">
        <v>175</v>
      </c>
      <c r="F59" s="92" t="s">
        <v>203</v>
      </c>
      <c r="G59" s="92">
        <v>41500000</v>
      </c>
      <c r="H59" s="92">
        <v>1400</v>
      </c>
      <c r="I59" s="92" t="s">
        <v>98</v>
      </c>
      <c r="J59" s="92">
        <v>2321403</v>
      </c>
      <c r="K59" s="99">
        <v>335904</v>
      </c>
      <c r="L59" s="102" t="s">
        <v>204</v>
      </c>
      <c r="M59" s="103" t="s">
        <v>90</v>
      </c>
      <c r="N59" s="82">
        <v>0</v>
      </c>
      <c r="O59" s="83">
        <v>0</v>
      </c>
      <c r="P59" s="83">
        <v>0</v>
      </c>
      <c r="Q59" s="84">
        <v>0</v>
      </c>
      <c r="R59" s="84">
        <f t="shared" si="12"/>
        <v>0</v>
      </c>
      <c r="S59" s="85">
        <v>0</v>
      </c>
      <c r="T59" s="83">
        <v>0</v>
      </c>
      <c r="U59" s="83">
        <v>55984.1</v>
      </c>
      <c r="V59" s="84">
        <v>0</v>
      </c>
      <c r="W59" s="86">
        <f t="shared" si="13"/>
        <v>55984.1</v>
      </c>
      <c r="X59" s="87">
        <v>0</v>
      </c>
      <c r="Y59" s="83">
        <v>0</v>
      </c>
      <c r="Z59" s="83">
        <v>0</v>
      </c>
      <c r="AA59" s="84">
        <v>0</v>
      </c>
      <c r="AB59" s="86">
        <f t="shared" si="14"/>
        <v>0</v>
      </c>
      <c r="AC59" s="87">
        <v>0</v>
      </c>
      <c r="AD59" s="83">
        <v>0</v>
      </c>
      <c r="AE59" s="83">
        <v>0</v>
      </c>
      <c r="AF59" s="84">
        <v>0</v>
      </c>
      <c r="AG59" s="86">
        <f t="shared" si="15"/>
        <v>0</v>
      </c>
      <c r="AH59" s="87">
        <v>0</v>
      </c>
      <c r="AI59" s="83">
        <v>0</v>
      </c>
      <c r="AJ59" s="83">
        <v>0</v>
      </c>
      <c r="AK59" s="84">
        <v>0</v>
      </c>
      <c r="AL59" s="86">
        <f t="shared" si="16"/>
        <v>0</v>
      </c>
      <c r="AM59" s="87">
        <v>0</v>
      </c>
      <c r="AN59" s="83">
        <v>0</v>
      </c>
      <c r="AO59" s="83">
        <v>0</v>
      </c>
      <c r="AP59" s="84">
        <v>0</v>
      </c>
      <c r="AQ59" s="86">
        <f t="shared" si="17"/>
        <v>0</v>
      </c>
      <c r="AR59" s="87">
        <v>0</v>
      </c>
      <c r="AS59" s="83">
        <v>0</v>
      </c>
      <c r="AT59" s="83">
        <v>0</v>
      </c>
      <c r="AU59" s="84">
        <v>0</v>
      </c>
      <c r="AV59" s="86">
        <f t="shared" si="18"/>
        <v>0</v>
      </c>
      <c r="AW59" s="87">
        <v>0</v>
      </c>
      <c r="AX59" s="83">
        <v>0</v>
      </c>
      <c r="AY59" s="83">
        <v>0</v>
      </c>
      <c r="AZ59" s="84">
        <v>0</v>
      </c>
      <c r="BA59" s="86">
        <f t="shared" si="19"/>
        <v>0</v>
      </c>
      <c r="BB59" s="87">
        <v>0</v>
      </c>
      <c r="BC59" s="83">
        <v>0</v>
      </c>
      <c r="BD59" s="83">
        <v>0</v>
      </c>
      <c r="BE59" s="84">
        <v>0</v>
      </c>
      <c r="BF59" s="86">
        <f t="shared" si="20"/>
        <v>0</v>
      </c>
      <c r="BG59" s="87">
        <v>0</v>
      </c>
      <c r="BH59" s="83">
        <v>0</v>
      </c>
      <c r="BI59" s="83">
        <v>0</v>
      </c>
      <c r="BJ59" s="84">
        <v>0</v>
      </c>
      <c r="BK59" s="86">
        <f t="shared" si="21"/>
        <v>0</v>
      </c>
      <c r="BL59" s="87">
        <v>0</v>
      </c>
      <c r="BM59" s="83">
        <v>0</v>
      </c>
      <c r="BN59" s="83">
        <v>0</v>
      </c>
      <c r="BO59" s="84">
        <v>0</v>
      </c>
      <c r="BP59" s="86">
        <f t="shared" si="22"/>
        <v>0</v>
      </c>
      <c r="BQ59" s="87">
        <v>0</v>
      </c>
      <c r="BR59" s="83">
        <v>0</v>
      </c>
      <c r="BS59" s="83">
        <v>0</v>
      </c>
      <c r="BT59" s="84">
        <v>0</v>
      </c>
      <c r="BU59" s="86">
        <f t="shared" si="23"/>
        <v>0</v>
      </c>
      <c r="BV59" s="85">
        <v>0</v>
      </c>
      <c r="BW59" s="89"/>
      <c r="BX59" s="90"/>
    </row>
    <row r="60" spans="1:76" ht="30" customHeight="1" x14ac:dyDescent="0.25">
      <c r="A60" s="91" t="s">
        <v>84</v>
      </c>
      <c r="B60" s="83" t="s">
        <v>205</v>
      </c>
      <c r="C60" s="98">
        <v>46023</v>
      </c>
      <c r="D60" s="98">
        <v>46387</v>
      </c>
      <c r="E60" s="92" t="s">
        <v>175</v>
      </c>
      <c r="F60" s="92" t="s">
        <v>206</v>
      </c>
      <c r="G60" s="92">
        <v>41500000</v>
      </c>
      <c r="H60" s="92">
        <v>1400</v>
      </c>
      <c r="I60" s="92" t="s">
        <v>98</v>
      </c>
      <c r="J60" s="92">
        <v>2321403</v>
      </c>
      <c r="K60" s="99">
        <v>376200</v>
      </c>
      <c r="L60" s="102" t="s">
        <v>207</v>
      </c>
      <c r="M60" s="103" t="s">
        <v>90</v>
      </c>
      <c r="N60" s="82">
        <v>0</v>
      </c>
      <c r="O60" s="83">
        <v>0</v>
      </c>
      <c r="P60" s="83">
        <v>0</v>
      </c>
      <c r="Q60" s="84">
        <v>31350</v>
      </c>
      <c r="R60" s="84">
        <f t="shared" si="12"/>
        <v>-31350</v>
      </c>
      <c r="S60" s="85">
        <v>-25838</v>
      </c>
      <c r="T60" s="83">
        <v>0</v>
      </c>
      <c r="U60" s="83">
        <v>31360.38</v>
      </c>
      <c r="V60" s="84">
        <v>0</v>
      </c>
      <c r="W60" s="86">
        <f t="shared" si="13"/>
        <v>31360.38</v>
      </c>
      <c r="X60" s="87">
        <v>0</v>
      </c>
      <c r="Y60" s="83">
        <v>0</v>
      </c>
      <c r="Z60" s="83">
        <v>0</v>
      </c>
      <c r="AA60" s="84">
        <v>0</v>
      </c>
      <c r="AB60" s="86">
        <f t="shared" si="14"/>
        <v>0</v>
      </c>
      <c r="AC60" s="87">
        <v>0</v>
      </c>
      <c r="AD60" s="83">
        <v>0</v>
      </c>
      <c r="AE60" s="83">
        <v>0</v>
      </c>
      <c r="AF60" s="84">
        <v>0</v>
      </c>
      <c r="AG60" s="86">
        <f t="shared" si="15"/>
        <v>0</v>
      </c>
      <c r="AH60" s="87">
        <v>0</v>
      </c>
      <c r="AI60" s="83">
        <v>0</v>
      </c>
      <c r="AJ60" s="83">
        <v>0</v>
      </c>
      <c r="AK60" s="84">
        <v>0</v>
      </c>
      <c r="AL60" s="86">
        <f t="shared" si="16"/>
        <v>0</v>
      </c>
      <c r="AM60" s="87">
        <v>0</v>
      </c>
      <c r="AN60" s="83">
        <v>0</v>
      </c>
      <c r="AO60" s="83">
        <v>0</v>
      </c>
      <c r="AP60" s="84">
        <v>0</v>
      </c>
      <c r="AQ60" s="86">
        <f t="shared" si="17"/>
        <v>0</v>
      </c>
      <c r="AR60" s="87">
        <v>0</v>
      </c>
      <c r="AS60" s="83">
        <v>0</v>
      </c>
      <c r="AT60" s="83">
        <v>0</v>
      </c>
      <c r="AU60" s="84">
        <v>0</v>
      </c>
      <c r="AV60" s="86">
        <f t="shared" si="18"/>
        <v>0</v>
      </c>
      <c r="AW60" s="87">
        <v>0</v>
      </c>
      <c r="AX60" s="83">
        <v>0</v>
      </c>
      <c r="AY60" s="83">
        <v>0</v>
      </c>
      <c r="AZ60" s="84">
        <v>0</v>
      </c>
      <c r="BA60" s="86">
        <f t="shared" si="19"/>
        <v>0</v>
      </c>
      <c r="BB60" s="87">
        <v>0</v>
      </c>
      <c r="BC60" s="83">
        <v>0</v>
      </c>
      <c r="BD60" s="83">
        <v>0</v>
      </c>
      <c r="BE60" s="84">
        <v>0</v>
      </c>
      <c r="BF60" s="86">
        <f t="shared" si="20"/>
        <v>0</v>
      </c>
      <c r="BG60" s="87">
        <v>0</v>
      </c>
      <c r="BH60" s="83">
        <v>0</v>
      </c>
      <c r="BI60" s="83">
        <v>0</v>
      </c>
      <c r="BJ60" s="84">
        <v>0</v>
      </c>
      <c r="BK60" s="86">
        <f t="shared" si="21"/>
        <v>0</v>
      </c>
      <c r="BL60" s="87">
        <v>0</v>
      </c>
      <c r="BM60" s="83">
        <v>0</v>
      </c>
      <c r="BN60" s="83">
        <v>0</v>
      </c>
      <c r="BO60" s="84">
        <v>0</v>
      </c>
      <c r="BP60" s="86">
        <f t="shared" si="22"/>
        <v>0</v>
      </c>
      <c r="BQ60" s="87">
        <v>0</v>
      </c>
      <c r="BR60" s="83">
        <v>0</v>
      </c>
      <c r="BS60" s="83">
        <v>0</v>
      </c>
      <c r="BT60" s="84">
        <v>0</v>
      </c>
      <c r="BU60" s="86">
        <f t="shared" si="23"/>
        <v>0</v>
      </c>
      <c r="BV60" s="85">
        <v>0</v>
      </c>
      <c r="BW60" s="89"/>
      <c r="BX60" s="90"/>
    </row>
    <row r="61" spans="1:76" ht="30" customHeight="1" x14ac:dyDescent="0.25">
      <c r="A61" s="91" t="s">
        <v>208</v>
      </c>
      <c r="B61" s="83" t="s">
        <v>209</v>
      </c>
      <c r="C61" s="98">
        <v>46023</v>
      </c>
      <c r="D61" s="98">
        <v>46387</v>
      </c>
      <c r="E61" s="92" t="s">
        <v>210</v>
      </c>
      <c r="F61" s="92" t="s">
        <v>211</v>
      </c>
      <c r="G61" s="92">
        <v>61010000</v>
      </c>
      <c r="H61" s="92">
        <v>1400</v>
      </c>
      <c r="I61" s="92" t="s">
        <v>98</v>
      </c>
      <c r="J61" s="92">
        <v>2321403</v>
      </c>
      <c r="K61" s="99">
        <v>146493</v>
      </c>
      <c r="L61" s="102" t="s">
        <v>212</v>
      </c>
      <c r="M61" s="103" t="s">
        <v>90</v>
      </c>
      <c r="N61" s="82">
        <v>0</v>
      </c>
      <c r="O61" s="83">
        <v>0</v>
      </c>
      <c r="P61" s="83">
        <v>0</v>
      </c>
      <c r="Q61" s="84">
        <v>115764.16</v>
      </c>
      <c r="R61" s="84">
        <f t="shared" si="12"/>
        <v>-115764.16</v>
      </c>
      <c r="S61" s="85">
        <v>0</v>
      </c>
      <c r="T61" s="83">
        <v>0</v>
      </c>
      <c r="U61" s="83">
        <v>0</v>
      </c>
      <c r="V61" s="84">
        <v>0</v>
      </c>
      <c r="W61" s="86">
        <f t="shared" si="13"/>
        <v>0</v>
      </c>
      <c r="X61" s="87">
        <v>0</v>
      </c>
      <c r="Y61" s="83">
        <v>0</v>
      </c>
      <c r="Z61" s="83">
        <v>0</v>
      </c>
      <c r="AA61" s="84">
        <v>0</v>
      </c>
      <c r="AB61" s="86">
        <f t="shared" si="14"/>
        <v>0</v>
      </c>
      <c r="AC61" s="87">
        <v>0</v>
      </c>
      <c r="AD61" s="83">
        <v>0</v>
      </c>
      <c r="AE61" s="83">
        <v>0</v>
      </c>
      <c r="AF61" s="84">
        <v>0</v>
      </c>
      <c r="AG61" s="86">
        <f t="shared" si="15"/>
        <v>0</v>
      </c>
      <c r="AH61" s="87">
        <v>0</v>
      </c>
      <c r="AI61" s="83">
        <v>0</v>
      </c>
      <c r="AJ61" s="83">
        <v>0</v>
      </c>
      <c r="AK61" s="84">
        <v>0</v>
      </c>
      <c r="AL61" s="86">
        <f t="shared" si="16"/>
        <v>0</v>
      </c>
      <c r="AM61" s="87">
        <v>0</v>
      </c>
      <c r="AN61" s="83">
        <v>0</v>
      </c>
      <c r="AO61" s="83">
        <v>0</v>
      </c>
      <c r="AP61" s="84">
        <v>0</v>
      </c>
      <c r="AQ61" s="86">
        <f t="shared" si="17"/>
        <v>0</v>
      </c>
      <c r="AR61" s="87">
        <v>0</v>
      </c>
      <c r="AS61" s="83">
        <v>0</v>
      </c>
      <c r="AT61" s="83">
        <v>0</v>
      </c>
      <c r="AU61" s="84">
        <v>0</v>
      </c>
      <c r="AV61" s="86">
        <f t="shared" si="18"/>
        <v>0</v>
      </c>
      <c r="AW61" s="87">
        <v>0</v>
      </c>
      <c r="AX61" s="83">
        <v>0</v>
      </c>
      <c r="AY61" s="83">
        <v>0</v>
      </c>
      <c r="AZ61" s="84">
        <v>0</v>
      </c>
      <c r="BA61" s="86">
        <f t="shared" si="19"/>
        <v>0</v>
      </c>
      <c r="BB61" s="87">
        <v>0</v>
      </c>
      <c r="BC61" s="83">
        <v>0</v>
      </c>
      <c r="BD61" s="83">
        <v>0</v>
      </c>
      <c r="BE61" s="84">
        <v>0</v>
      </c>
      <c r="BF61" s="86">
        <f t="shared" si="20"/>
        <v>0</v>
      </c>
      <c r="BG61" s="87">
        <v>0</v>
      </c>
      <c r="BH61" s="83">
        <v>0</v>
      </c>
      <c r="BI61" s="83">
        <v>0</v>
      </c>
      <c r="BJ61" s="84">
        <v>0</v>
      </c>
      <c r="BK61" s="86">
        <f t="shared" si="21"/>
        <v>0</v>
      </c>
      <c r="BL61" s="87">
        <v>0</v>
      </c>
      <c r="BM61" s="83">
        <v>0</v>
      </c>
      <c r="BN61" s="83">
        <v>0</v>
      </c>
      <c r="BO61" s="84">
        <v>0</v>
      </c>
      <c r="BP61" s="86">
        <f t="shared" si="22"/>
        <v>0</v>
      </c>
      <c r="BQ61" s="87">
        <v>0</v>
      </c>
      <c r="BR61" s="83">
        <v>0</v>
      </c>
      <c r="BS61" s="83">
        <v>0</v>
      </c>
      <c r="BT61" s="84">
        <v>0</v>
      </c>
      <c r="BU61" s="86">
        <f t="shared" si="23"/>
        <v>0</v>
      </c>
      <c r="BV61" s="85">
        <v>0</v>
      </c>
      <c r="BW61" s="89"/>
      <c r="BX61" s="90"/>
    </row>
    <row r="62" spans="1:76" ht="30" customHeight="1" x14ac:dyDescent="0.25">
      <c r="A62" s="91" t="s">
        <v>213</v>
      </c>
      <c r="B62" s="83" t="s">
        <v>214</v>
      </c>
      <c r="C62" s="98">
        <v>46054</v>
      </c>
      <c r="D62" s="98">
        <v>46418</v>
      </c>
      <c r="E62" s="92" t="s">
        <v>162</v>
      </c>
      <c r="F62" s="92" t="s">
        <v>215</v>
      </c>
      <c r="G62" s="92">
        <v>41010100</v>
      </c>
      <c r="H62" s="92">
        <v>7280</v>
      </c>
      <c r="I62" s="92" t="s">
        <v>164</v>
      </c>
      <c r="J62" s="92">
        <v>2662855</v>
      </c>
      <c r="K62" s="99">
        <v>69429</v>
      </c>
      <c r="L62" s="102" t="s">
        <v>216</v>
      </c>
      <c r="M62" s="103" t="s">
        <v>90</v>
      </c>
      <c r="N62" s="82"/>
      <c r="O62" s="83"/>
      <c r="P62" s="83"/>
      <c r="Q62" s="84"/>
      <c r="R62" s="84">
        <f t="shared" si="12"/>
        <v>0</v>
      </c>
      <c r="S62" s="85"/>
      <c r="T62" s="83"/>
      <c r="U62" s="83"/>
      <c r="V62" s="84"/>
      <c r="W62" s="86">
        <f t="shared" si="13"/>
        <v>0</v>
      </c>
      <c r="X62" s="87"/>
      <c r="Y62" s="83"/>
      <c r="Z62" s="83"/>
      <c r="AA62" s="84"/>
      <c r="AB62" s="86">
        <f t="shared" si="14"/>
        <v>0</v>
      </c>
      <c r="AC62" s="87"/>
      <c r="AD62" s="83"/>
      <c r="AE62" s="83"/>
      <c r="AF62" s="84"/>
      <c r="AG62" s="86">
        <f t="shared" si="15"/>
        <v>0</v>
      </c>
      <c r="AH62" s="87"/>
      <c r="AI62" s="83"/>
      <c r="AJ62" s="83"/>
      <c r="AK62" s="84"/>
      <c r="AL62" s="86">
        <f t="shared" si="16"/>
        <v>0</v>
      </c>
      <c r="AM62" s="87"/>
      <c r="AN62" s="83"/>
      <c r="AO62" s="83"/>
      <c r="AP62" s="84"/>
      <c r="AQ62" s="86">
        <f t="shared" si="17"/>
        <v>0</v>
      </c>
      <c r="AR62" s="87"/>
      <c r="AS62" s="83"/>
      <c r="AT62" s="83"/>
      <c r="AU62" s="84"/>
      <c r="AV62" s="86">
        <f t="shared" si="18"/>
        <v>0</v>
      </c>
      <c r="AW62" s="87"/>
      <c r="AX62" s="83"/>
      <c r="AY62" s="83"/>
      <c r="AZ62" s="84"/>
      <c r="BA62" s="86">
        <f t="shared" si="19"/>
        <v>0</v>
      </c>
      <c r="BB62" s="87"/>
      <c r="BC62" s="83"/>
      <c r="BD62" s="83"/>
      <c r="BE62" s="84"/>
      <c r="BF62" s="86">
        <f t="shared" si="20"/>
        <v>0</v>
      </c>
      <c r="BG62" s="87"/>
      <c r="BH62" s="83"/>
      <c r="BI62" s="83"/>
      <c r="BJ62" s="84"/>
      <c r="BK62" s="86">
        <f t="shared" si="21"/>
        <v>0</v>
      </c>
      <c r="BL62" s="87"/>
      <c r="BM62" s="83"/>
      <c r="BN62" s="83"/>
      <c r="BO62" s="84"/>
      <c r="BP62" s="86">
        <f t="shared" si="22"/>
        <v>0</v>
      </c>
      <c r="BQ62" s="87"/>
      <c r="BR62" s="83"/>
      <c r="BS62" s="83"/>
      <c r="BT62" s="84"/>
      <c r="BU62" s="86">
        <f t="shared" si="23"/>
        <v>0</v>
      </c>
      <c r="BV62" s="85">
        <v>0</v>
      </c>
      <c r="BW62" s="89"/>
      <c r="BX62" s="90"/>
    </row>
    <row r="63" spans="1:76" x14ac:dyDescent="0.25">
      <c r="A63" s="91"/>
      <c r="B63" s="83" t="s">
        <v>217</v>
      </c>
      <c r="C63" s="92"/>
      <c r="D63" s="92"/>
      <c r="E63" s="92"/>
      <c r="F63" s="92"/>
      <c r="G63" s="92"/>
      <c r="H63" s="92"/>
      <c r="I63" s="92"/>
      <c r="J63" s="92"/>
      <c r="K63" s="93"/>
      <c r="L63" s="92"/>
      <c r="M63" s="90"/>
      <c r="N63" s="82"/>
      <c r="O63" s="83"/>
      <c r="P63" s="83"/>
      <c r="Q63" s="84"/>
      <c r="R63" s="84">
        <f t="shared" si="12"/>
        <v>0</v>
      </c>
      <c r="S63" s="85"/>
      <c r="T63" s="83"/>
      <c r="U63" s="83"/>
      <c r="V63" s="84"/>
      <c r="W63" s="86">
        <f t="shared" si="13"/>
        <v>0</v>
      </c>
      <c r="X63" s="87"/>
      <c r="Y63" s="83"/>
      <c r="Z63" s="83"/>
      <c r="AA63" s="84"/>
      <c r="AB63" s="86">
        <f t="shared" si="14"/>
        <v>0</v>
      </c>
      <c r="AC63" s="87"/>
      <c r="AD63" s="83"/>
      <c r="AE63" s="83"/>
      <c r="AF63" s="84"/>
      <c r="AG63" s="86">
        <f t="shared" si="15"/>
        <v>0</v>
      </c>
      <c r="AH63" s="87"/>
      <c r="AI63" s="83"/>
      <c r="AJ63" s="83"/>
      <c r="AK63" s="84"/>
      <c r="AL63" s="86">
        <f t="shared" si="16"/>
        <v>0</v>
      </c>
      <c r="AM63" s="87"/>
      <c r="AN63" s="83"/>
      <c r="AO63" s="83"/>
      <c r="AP63" s="84"/>
      <c r="AQ63" s="86">
        <f t="shared" si="17"/>
        <v>0</v>
      </c>
      <c r="AR63" s="87"/>
      <c r="AS63" s="83"/>
      <c r="AT63" s="83"/>
      <c r="AU63" s="84"/>
      <c r="AV63" s="86">
        <f t="shared" si="18"/>
        <v>0</v>
      </c>
      <c r="AW63" s="87"/>
      <c r="AX63" s="83"/>
      <c r="AY63" s="83"/>
      <c r="AZ63" s="84"/>
      <c r="BA63" s="86">
        <f t="shared" si="19"/>
        <v>0</v>
      </c>
      <c r="BB63" s="87"/>
      <c r="BC63" s="83"/>
      <c r="BD63" s="83"/>
      <c r="BE63" s="84"/>
      <c r="BF63" s="86">
        <f t="shared" si="20"/>
        <v>0</v>
      </c>
      <c r="BG63" s="87"/>
      <c r="BH63" s="83"/>
      <c r="BI63" s="83"/>
      <c r="BJ63" s="84"/>
      <c r="BK63" s="86">
        <f t="shared" si="21"/>
        <v>0</v>
      </c>
      <c r="BL63" s="87"/>
      <c r="BM63" s="83"/>
      <c r="BN63" s="83"/>
      <c r="BO63" s="84"/>
      <c r="BP63" s="86">
        <f t="shared" si="22"/>
        <v>0</v>
      </c>
      <c r="BQ63" s="87"/>
      <c r="BR63" s="83"/>
      <c r="BS63" s="83"/>
      <c r="BT63" s="84"/>
      <c r="BU63" s="86">
        <f t="shared" si="23"/>
        <v>0</v>
      </c>
      <c r="BV63" s="85">
        <v>0</v>
      </c>
      <c r="BW63" s="89"/>
      <c r="BX63" s="90"/>
    </row>
    <row r="64" spans="1:76" x14ac:dyDescent="0.25">
      <c r="A64" s="91"/>
      <c r="B64" s="83"/>
      <c r="C64" s="92"/>
      <c r="D64" s="92"/>
      <c r="E64" s="92"/>
      <c r="F64" s="92"/>
      <c r="G64" s="92"/>
      <c r="H64" s="92"/>
      <c r="I64" s="92"/>
      <c r="J64" s="92"/>
      <c r="K64" s="93"/>
      <c r="L64" s="92"/>
      <c r="M64" s="90"/>
      <c r="N64" s="82"/>
      <c r="O64" s="83"/>
      <c r="P64" s="83"/>
      <c r="Q64" s="84"/>
      <c r="R64" s="84">
        <f t="shared" si="12"/>
        <v>0</v>
      </c>
      <c r="S64" s="85"/>
      <c r="T64" s="83"/>
      <c r="U64" s="83"/>
      <c r="V64" s="84"/>
      <c r="W64" s="86">
        <f t="shared" si="13"/>
        <v>0</v>
      </c>
      <c r="X64" s="87"/>
      <c r="Y64" s="83"/>
      <c r="Z64" s="83"/>
      <c r="AA64" s="84"/>
      <c r="AB64" s="86">
        <f t="shared" si="14"/>
        <v>0</v>
      </c>
      <c r="AC64" s="87"/>
      <c r="AD64" s="83"/>
      <c r="AE64" s="83"/>
      <c r="AF64" s="84"/>
      <c r="AG64" s="86">
        <f t="shared" si="15"/>
        <v>0</v>
      </c>
      <c r="AH64" s="87"/>
      <c r="AI64" s="83"/>
      <c r="AJ64" s="83"/>
      <c r="AK64" s="84"/>
      <c r="AL64" s="86">
        <f t="shared" si="16"/>
        <v>0</v>
      </c>
      <c r="AM64" s="87"/>
      <c r="AN64" s="83"/>
      <c r="AO64" s="83"/>
      <c r="AP64" s="84"/>
      <c r="AQ64" s="86">
        <f t="shared" si="17"/>
        <v>0</v>
      </c>
      <c r="AR64" s="87"/>
      <c r="AS64" s="83"/>
      <c r="AT64" s="83"/>
      <c r="AU64" s="84"/>
      <c r="AV64" s="86">
        <f t="shared" si="18"/>
        <v>0</v>
      </c>
      <c r="AW64" s="87"/>
      <c r="AX64" s="83"/>
      <c r="AY64" s="83"/>
      <c r="AZ64" s="84"/>
      <c r="BA64" s="86">
        <f t="shared" si="19"/>
        <v>0</v>
      </c>
      <c r="BB64" s="87"/>
      <c r="BC64" s="83"/>
      <c r="BD64" s="83"/>
      <c r="BE64" s="84"/>
      <c r="BF64" s="86">
        <f t="shared" si="20"/>
        <v>0</v>
      </c>
      <c r="BG64" s="87"/>
      <c r="BH64" s="83"/>
      <c r="BI64" s="83"/>
      <c r="BJ64" s="84"/>
      <c r="BK64" s="86">
        <f t="shared" si="21"/>
        <v>0</v>
      </c>
      <c r="BL64" s="87"/>
      <c r="BM64" s="83"/>
      <c r="BN64" s="83"/>
      <c r="BO64" s="84"/>
      <c r="BP64" s="86">
        <f t="shared" si="22"/>
        <v>0</v>
      </c>
      <c r="BQ64" s="87"/>
      <c r="BR64" s="83"/>
      <c r="BS64" s="83"/>
      <c r="BT64" s="84"/>
      <c r="BU64" s="86">
        <f t="shared" si="23"/>
        <v>0</v>
      </c>
      <c r="BV64" s="85">
        <v>0</v>
      </c>
      <c r="BW64" s="89"/>
      <c r="BX64" s="90"/>
    </row>
    <row r="65" spans="1:76" s="9" customFormat="1" ht="15.75" customHeight="1" thickBot="1" x14ac:dyDescent="0.3">
      <c r="A65" s="66" t="s">
        <v>218</v>
      </c>
      <c r="B65" s="67"/>
      <c r="C65" s="68"/>
      <c r="D65" s="68"/>
      <c r="E65" s="69"/>
      <c r="F65" s="69"/>
      <c r="G65" s="69"/>
      <c r="H65" s="69"/>
      <c r="I65" s="69"/>
      <c r="J65" s="69"/>
      <c r="K65" s="70"/>
      <c r="L65" s="69"/>
      <c r="M65" s="71"/>
      <c r="N65" s="72"/>
      <c r="O65" s="73"/>
      <c r="P65" s="73"/>
      <c r="Q65" s="74"/>
      <c r="R65" s="74" t="str">
        <f>IF(OR(P65="",Q65=""),"",P65-Q65)</f>
        <v/>
      </c>
      <c r="S65" s="75"/>
      <c r="T65" s="73"/>
      <c r="U65" s="73"/>
      <c r="V65" s="74"/>
      <c r="W65" s="76"/>
      <c r="X65" s="77"/>
      <c r="Y65" s="73"/>
      <c r="Z65" s="73"/>
      <c r="AA65" s="74"/>
      <c r="AB65" s="76"/>
      <c r="AC65" s="77"/>
      <c r="AD65" s="73"/>
      <c r="AE65" s="73"/>
      <c r="AF65" s="74"/>
      <c r="AG65" s="76" t="str">
        <f>IF(OR(AE65="",AF65=""),"",AE65-AF65)</f>
        <v/>
      </c>
      <c r="AH65" s="77"/>
      <c r="AI65" s="73"/>
      <c r="AJ65" s="73"/>
      <c r="AK65" s="74"/>
      <c r="AL65" s="76" t="str">
        <f>IF(OR(AJ65="",AK65=""),"",AJ65-AK65)</f>
        <v/>
      </c>
      <c r="AM65" s="77"/>
      <c r="AN65" s="73"/>
      <c r="AO65" s="73"/>
      <c r="AP65" s="74"/>
      <c r="AQ65" s="76" t="str">
        <f>IF(OR(AO65="",AP65=""),"",AO65-AP65)</f>
        <v/>
      </c>
      <c r="AR65" s="77"/>
      <c r="AS65" s="73"/>
      <c r="AT65" s="73"/>
      <c r="AU65" s="74"/>
      <c r="AV65" s="76" t="str">
        <f>IF(OR(AT65="",AU65=""),"",AT65-AU65)</f>
        <v/>
      </c>
      <c r="AW65" s="77"/>
      <c r="AX65" s="73"/>
      <c r="AY65" s="73"/>
      <c r="AZ65" s="74"/>
      <c r="BA65" s="76" t="str">
        <f>IF(OR(AY65="",AZ65=""),"",AY65-AZ65)</f>
        <v/>
      </c>
      <c r="BB65" s="77"/>
      <c r="BC65" s="73"/>
      <c r="BD65" s="73"/>
      <c r="BE65" s="74"/>
      <c r="BF65" s="76" t="str">
        <f>IF(OR(BD65="",BE65=""),"",BD65-BE65)</f>
        <v/>
      </c>
      <c r="BG65" s="77"/>
      <c r="BH65" s="73"/>
      <c r="BI65" s="73"/>
      <c r="BJ65" s="74"/>
      <c r="BK65" s="76" t="str">
        <f>IF(OR(BI65="",BJ65=""),"",BI65-BJ65)</f>
        <v/>
      </c>
      <c r="BL65" s="77"/>
      <c r="BM65" s="73"/>
      <c r="BN65" s="73"/>
      <c r="BO65" s="74"/>
      <c r="BP65" s="76" t="str">
        <f>IF(OR(BN65="",BO65=""),"",BN65-BO65)</f>
        <v/>
      </c>
      <c r="BQ65" s="77"/>
      <c r="BR65" s="73"/>
      <c r="BS65" s="73"/>
      <c r="BT65" s="74"/>
      <c r="BU65" s="76" t="str">
        <f>IF(OR(BS65="",BT65=""),"",BS65-BT65)</f>
        <v/>
      </c>
      <c r="BV65" s="75"/>
      <c r="BW65" s="53"/>
      <c r="BX65" s="49"/>
    </row>
    <row r="66" spans="1:76" x14ac:dyDescent="0.25">
      <c r="A66" t="s">
        <v>219</v>
      </c>
      <c r="AA66" s="3"/>
      <c r="BV66" s="95"/>
    </row>
  </sheetData>
  <autoFilter ref="A14:BY66" xr:uid="{00000000-0009-0000-0000-000000000000}"/>
  <mergeCells count="40">
    <mergeCell ref="L11:M11"/>
    <mergeCell ref="AW12:BA12"/>
    <mergeCell ref="BB11:BF11"/>
    <mergeCell ref="A9:B9"/>
    <mergeCell ref="AH13:AL13"/>
    <mergeCell ref="BL11:BP11"/>
    <mergeCell ref="S13:W13"/>
    <mergeCell ref="AR13:AV13"/>
    <mergeCell ref="AM11:AQ11"/>
    <mergeCell ref="BQ12:BU12"/>
    <mergeCell ref="AH11:AL11"/>
    <mergeCell ref="BG11:BK11"/>
    <mergeCell ref="BQ11:BU11"/>
    <mergeCell ref="AR12:AV12"/>
    <mergeCell ref="AM12:AQ12"/>
    <mergeCell ref="AR11:AV11"/>
    <mergeCell ref="AC11:AG11"/>
    <mergeCell ref="BL12:BP12"/>
    <mergeCell ref="L13:M13"/>
    <mergeCell ref="BL13:BP13"/>
    <mergeCell ref="AM13:AQ13"/>
    <mergeCell ref="AC12:AG12"/>
    <mergeCell ref="X13:AB13"/>
    <mergeCell ref="L12:M12"/>
    <mergeCell ref="N12:R12"/>
    <mergeCell ref="AW13:BA13"/>
    <mergeCell ref="N13:R13"/>
    <mergeCell ref="N11:R11"/>
    <mergeCell ref="X11:AB11"/>
    <mergeCell ref="AW11:BA11"/>
    <mergeCell ref="BB12:BF12"/>
    <mergeCell ref="AC13:AG13"/>
    <mergeCell ref="S11:W11"/>
    <mergeCell ref="X12:AB12"/>
    <mergeCell ref="BG13:BK13"/>
    <mergeCell ref="BQ13:BU13"/>
    <mergeCell ref="AH12:AL12"/>
    <mergeCell ref="S12:W12"/>
    <mergeCell ref="BB13:BF13"/>
    <mergeCell ref="BG12:BK12"/>
  </mergeCells>
  <conditionalFormatting sqref="Q65 V65 AA65 AF65 AK65 AP65 AU65 AZ65 BE65 BJ65 BO65 BT65">
    <cfRule type="expression" dxfId="2" priority="8">
      <formula>IF(AND(P65&gt;0,Q65=0),TRUE,FALSE)</formula>
    </cfRule>
  </conditionalFormatting>
  <conditionalFormatting sqref="BT10 V65:X65 AB65:AC65 AG65:AH65 AL65:AM65 AQ65:AR65 AV65:AW65 BA65:BB65 BF65:BG65 BK65:BL65 BP65:BQ65 BU65">
    <cfRule type="expression" dxfId="1" priority="9">
      <formula>IF(AND(U10&lt;&gt;"",V10="",TODAY()&gt;DATE(YEAR(TODAY()),MONTH(DATEVALUE("1-"&amp;LEFT(#REF!,3)&amp;"-1900")),20)),TRUE,FALSE)</formula>
    </cfRule>
  </conditionalFormatting>
  <conditionalFormatting sqref="BW11:BW12">
    <cfRule type="expression" dxfId="0" priority="7">
      <formula>IF(BW11&lt;0,TRUE,FALSE)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2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6" customWidth="1"/>
    <col min="2" max="78" width="21" hidden="1" customWidth="1" outlineLevel="1"/>
    <col min="79" max="79" width="9.140625" collapsed="1"/>
  </cols>
  <sheetData>
    <row r="1" spans="1:78" x14ac:dyDescent="0.25">
      <c r="A1" t="s">
        <v>220</v>
      </c>
      <c r="B1" t="s">
        <v>221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  <c r="H1" t="s">
        <v>227</v>
      </c>
      <c r="I1" t="s">
        <v>228</v>
      </c>
      <c r="J1" t="s">
        <v>229</v>
      </c>
      <c r="K1" t="s">
        <v>230</v>
      </c>
      <c r="L1" t="s">
        <v>231</v>
      </c>
      <c r="M1" t="s">
        <v>232</v>
      </c>
      <c r="N1" t="s">
        <v>233</v>
      </c>
      <c r="O1" t="s">
        <v>234</v>
      </c>
      <c r="P1" t="s">
        <v>235</v>
      </c>
      <c r="Q1" t="s">
        <v>236</v>
      </c>
      <c r="R1" t="s">
        <v>237</v>
      </c>
      <c r="S1" t="s">
        <v>238</v>
      </c>
      <c r="T1" t="s">
        <v>239</v>
      </c>
      <c r="U1" t="s">
        <v>240</v>
      </c>
      <c r="V1" t="s">
        <v>241</v>
      </c>
      <c r="W1" t="s">
        <v>242</v>
      </c>
      <c r="X1" t="s">
        <v>243</v>
      </c>
      <c r="Y1" t="s">
        <v>244</v>
      </c>
      <c r="Z1" t="s">
        <v>83</v>
      </c>
      <c r="AA1" t="s">
        <v>245</v>
      </c>
      <c r="AB1" t="s">
        <v>246</v>
      </c>
      <c r="AC1" t="s">
        <v>247</v>
      </c>
      <c r="AD1" t="s">
        <v>248</v>
      </c>
      <c r="AE1" t="s">
        <v>249</v>
      </c>
      <c r="AF1" t="s">
        <v>250</v>
      </c>
      <c r="AG1" t="s">
        <v>251</v>
      </c>
      <c r="AH1" t="s">
        <v>252</v>
      </c>
      <c r="AI1" t="s">
        <v>253</v>
      </c>
      <c r="AJ1" t="s">
        <v>254</v>
      </c>
      <c r="AK1" t="s">
        <v>255</v>
      </c>
      <c r="AL1" t="s">
        <v>256</v>
      </c>
      <c r="AM1" t="s">
        <v>257</v>
      </c>
      <c r="AN1" t="s">
        <v>258</v>
      </c>
      <c r="AO1" t="s">
        <v>259</v>
      </c>
      <c r="AP1" t="s">
        <v>260</v>
      </c>
      <c r="AQ1" t="s">
        <v>261</v>
      </c>
      <c r="AR1" t="s">
        <v>262</v>
      </c>
      <c r="AS1" t="s">
        <v>263</v>
      </c>
      <c r="AT1" t="s">
        <v>264</v>
      </c>
      <c r="AU1" t="s">
        <v>265</v>
      </c>
      <c r="AV1" t="s">
        <v>266</v>
      </c>
      <c r="AW1" t="s">
        <v>267</v>
      </c>
      <c r="AX1" t="s">
        <v>268</v>
      </c>
      <c r="AY1" t="s">
        <v>269</v>
      </c>
      <c r="AZ1" t="s">
        <v>270</v>
      </c>
      <c r="BA1" t="s">
        <v>271</v>
      </c>
      <c r="BB1" t="s">
        <v>272</v>
      </c>
      <c r="BC1" t="s">
        <v>273</v>
      </c>
      <c r="BD1" t="s">
        <v>274</v>
      </c>
      <c r="BE1" t="s">
        <v>275</v>
      </c>
      <c r="BF1" t="s">
        <v>276</v>
      </c>
      <c r="BG1" t="s">
        <v>277</v>
      </c>
      <c r="BH1" t="s">
        <v>278</v>
      </c>
      <c r="BI1" t="s">
        <v>279</v>
      </c>
      <c r="BJ1" t="s">
        <v>280</v>
      </c>
      <c r="BK1" t="s">
        <v>281</v>
      </c>
      <c r="BL1" t="s">
        <v>282</v>
      </c>
      <c r="BM1" t="s">
        <v>283</v>
      </c>
      <c r="BN1" t="s">
        <v>284</v>
      </c>
      <c r="BO1" t="s">
        <v>285</v>
      </c>
      <c r="BP1" t="s">
        <v>286</v>
      </c>
      <c r="BQ1" t="s">
        <v>287</v>
      </c>
      <c r="BR1" t="s">
        <v>288</v>
      </c>
      <c r="BS1" t="s">
        <v>289</v>
      </c>
      <c r="BT1" t="s">
        <v>290</v>
      </c>
      <c r="BU1" t="s">
        <v>291</v>
      </c>
      <c r="BV1" t="s">
        <v>292</v>
      </c>
      <c r="BW1" t="s">
        <v>293</v>
      </c>
      <c r="BX1" t="s">
        <v>294</v>
      </c>
      <c r="BY1" t="s">
        <v>295</v>
      </c>
      <c r="BZ1" t="s">
        <v>296</v>
      </c>
    </row>
    <row r="2" spans="1:78" x14ac:dyDescent="0.25">
      <c r="A2" t="s">
        <v>297</v>
      </c>
    </row>
  </sheetData>
  <autoFilter ref="A1:BZ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I44"/>
  <sheetViews>
    <sheetView workbookViewId="0">
      <pane ySplit="1" topLeftCell="A8" activePane="bottomLeft" state="frozen"/>
      <selection pane="bottomLeft" activeCell="J11" sqref="J11"/>
    </sheetView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7" width="21" customWidth="1"/>
    <col min="8" max="8" width="52" customWidth="1"/>
    <col min="9" max="9" width="7" customWidth="1"/>
    <col min="10" max="10" width="12" customWidth="1"/>
    <col min="11" max="11" width="10" customWidth="1"/>
    <col min="12" max="60" width="13" hidden="1" customWidth="1" outlineLevel="1"/>
    <col min="61" max="61" width="9.140625" collapsed="1"/>
  </cols>
  <sheetData>
    <row r="1" spans="1:60" x14ac:dyDescent="0.25">
      <c r="A1" t="s">
        <v>298</v>
      </c>
      <c r="B1" t="s">
        <v>299</v>
      </c>
      <c r="C1" t="s">
        <v>300</v>
      </c>
      <c r="D1" t="s">
        <v>24</v>
      </c>
      <c r="E1" t="s">
        <v>301</v>
      </c>
      <c r="F1" t="s">
        <v>302</v>
      </c>
      <c r="G1" t="s">
        <v>303</v>
      </c>
      <c r="H1" t="s">
        <v>304</v>
      </c>
      <c r="I1" t="s">
        <v>305</v>
      </c>
      <c r="J1" t="s">
        <v>306</v>
      </c>
      <c r="K1" t="s">
        <v>307</v>
      </c>
      <c r="L1" t="s">
        <v>308</v>
      </c>
      <c r="M1" t="s">
        <v>309</v>
      </c>
      <c r="N1" t="s">
        <v>310</v>
      </c>
      <c r="O1" t="s">
        <v>311</v>
      </c>
      <c r="P1" t="s">
        <v>312</v>
      </c>
      <c r="Q1" t="s">
        <v>313</v>
      </c>
      <c r="R1" t="s">
        <v>314</v>
      </c>
      <c r="S1" t="s">
        <v>315</v>
      </c>
      <c r="T1" t="s">
        <v>316</v>
      </c>
      <c r="U1" t="s">
        <v>317</v>
      </c>
      <c r="V1" t="s">
        <v>318</v>
      </c>
      <c r="W1" t="s">
        <v>319</v>
      </c>
      <c r="X1" t="s">
        <v>320</v>
      </c>
      <c r="Y1" t="s">
        <v>321</v>
      </c>
      <c r="Z1" t="s">
        <v>322</v>
      </c>
      <c r="AA1" t="s">
        <v>323</v>
      </c>
      <c r="AB1" t="s">
        <v>324</v>
      </c>
      <c r="AC1" t="s">
        <v>325</v>
      </c>
      <c r="AD1" t="s">
        <v>326</v>
      </c>
      <c r="AE1" t="s">
        <v>327</v>
      </c>
      <c r="AF1" t="s">
        <v>328</v>
      </c>
      <c r="AG1" t="s">
        <v>329</v>
      </c>
      <c r="AH1" t="s">
        <v>330</v>
      </c>
      <c r="AI1" t="s">
        <v>28</v>
      </c>
      <c r="AJ1" t="s">
        <v>331</v>
      </c>
      <c r="AK1" t="s">
        <v>332</v>
      </c>
      <c r="AL1" t="s">
        <v>333</v>
      </c>
      <c r="AM1" t="s">
        <v>334</v>
      </c>
      <c r="AN1" t="s">
        <v>335</v>
      </c>
      <c r="AO1" t="s">
        <v>336</v>
      </c>
      <c r="AP1" t="s">
        <v>337</v>
      </c>
      <c r="AQ1" t="s">
        <v>338</v>
      </c>
      <c r="AR1" t="s">
        <v>339</v>
      </c>
      <c r="AS1" t="s">
        <v>340</v>
      </c>
      <c r="AT1" t="s">
        <v>341</v>
      </c>
      <c r="AU1" t="s">
        <v>342</v>
      </c>
      <c r="AV1" t="s">
        <v>343</v>
      </c>
      <c r="AW1" t="s">
        <v>344</v>
      </c>
      <c r="AX1" t="s">
        <v>345</v>
      </c>
      <c r="AY1" t="s">
        <v>346</v>
      </c>
      <c r="AZ1" t="s">
        <v>347</v>
      </c>
      <c r="BA1" t="s">
        <v>348</v>
      </c>
      <c r="BB1" t="s">
        <v>349</v>
      </c>
      <c r="BC1" t="s">
        <v>350</v>
      </c>
      <c r="BD1" t="s">
        <v>351</v>
      </c>
      <c r="BE1" t="s">
        <v>352</v>
      </c>
      <c r="BF1" t="s">
        <v>353</v>
      </c>
      <c r="BG1" t="s">
        <v>354</v>
      </c>
      <c r="BH1" t="s">
        <v>355</v>
      </c>
    </row>
    <row r="2" spans="1:60" hidden="1" x14ac:dyDescent="0.25">
      <c r="A2" t="s">
        <v>85</v>
      </c>
      <c r="B2">
        <v>202601</v>
      </c>
      <c r="C2">
        <v>2100005597</v>
      </c>
      <c r="D2" t="s">
        <v>356</v>
      </c>
      <c r="E2" t="s">
        <v>87</v>
      </c>
      <c r="F2" s="105">
        <v>46023</v>
      </c>
      <c r="G2" s="105">
        <v>46021</v>
      </c>
      <c r="H2" t="s">
        <v>357</v>
      </c>
      <c r="I2">
        <v>1</v>
      </c>
      <c r="L2">
        <v>2026</v>
      </c>
      <c r="M2" s="105">
        <v>46023</v>
      </c>
      <c r="N2" t="s">
        <v>358</v>
      </c>
      <c r="O2" t="s">
        <v>359</v>
      </c>
      <c r="P2">
        <v>2430238</v>
      </c>
      <c r="Q2" t="s">
        <v>360</v>
      </c>
      <c r="R2" t="s">
        <v>361</v>
      </c>
      <c r="S2" t="s">
        <v>362</v>
      </c>
      <c r="T2" t="s">
        <v>363</v>
      </c>
      <c r="U2" t="s">
        <v>364</v>
      </c>
      <c r="V2" t="s">
        <v>365</v>
      </c>
      <c r="W2" t="s">
        <v>366</v>
      </c>
      <c r="X2" t="s">
        <v>367</v>
      </c>
      <c r="Y2">
        <v>890</v>
      </c>
      <c r="Z2">
        <v>923</v>
      </c>
      <c r="AA2" t="s">
        <v>368</v>
      </c>
      <c r="AB2" t="s">
        <v>368</v>
      </c>
      <c r="AC2">
        <v>41500000</v>
      </c>
      <c r="AD2">
        <v>86</v>
      </c>
      <c r="AE2">
        <v>8617</v>
      </c>
      <c r="AF2">
        <v>10</v>
      </c>
      <c r="AG2" t="s">
        <v>369</v>
      </c>
      <c r="AH2">
        <v>3840</v>
      </c>
      <c r="AI2" t="s">
        <v>370</v>
      </c>
      <c r="AJ2" t="s">
        <v>356</v>
      </c>
      <c r="AK2" t="s">
        <v>87</v>
      </c>
      <c r="AL2" t="s">
        <v>371</v>
      </c>
      <c r="AM2" t="s">
        <v>357</v>
      </c>
      <c r="AN2" t="s">
        <v>370</v>
      </c>
      <c r="AO2">
        <v>210000559741</v>
      </c>
      <c r="AP2" t="s">
        <v>372</v>
      </c>
      <c r="AQ2" t="s">
        <v>373</v>
      </c>
      <c r="AR2" t="s">
        <v>374</v>
      </c>
      <c r="AS2" t="s">
        <v>375</v>
      </c>
      <c r="AT2">
        <v>10951.02</v>
      </c>
      <c r="AU2">
        <v>1706830</v>
      </c>
      <c r="AV2">
        <v>11347.01</v>
      </c>
      <c r="AW2">
        <v>1706830</v>
      </c>
      <c r="AX2">
        <v>11347.01</v>
      </c>
    </row>
    <row r="3" spans="1:60" hidden="1" x14ac:dyDescent="0.25">
      <c r="A3" t="s">
        <v>91</v>
      </c>
      <c r="B3">
        <v>202601</v>
      </c>
      <c r="C3">
        <v>2100005597</v>
      </c>
      <c r="D3" t="s">
        <v>356</v>
      </c>
      <c r="E3" t="s">
        <v>93</v>
      </c>
      <c r="F3" s="105">
        <v>46023</v>
      </c>
      <c r="G3" s="105">
        <v>46021</v>
      </c>
      <c r="H3" t="s">
        <v>376</v>
      </c>
      <c r="I3">
        <v>1</v>
      </c>
      <c r="L3">
        <v>2026</v>
      </c>
      <c r="M3" s="105">
        <v>46023</v>
      </c>
      <c r="N3" t="s">
        <v>358</v>
      </c>
      <c r="O3" t="s">
        <v>359</v>
      </c>
      <c r="P3">
        <v>2430238</v>
      </c>
      <c r="Q3" t="s">
        <v>360</v>
      </c>
      <c r="R3" t="s">
        <v>361</v>
      </c>
      <c r="S3" t="s">
        <v>362</v>
      </c>
      <c r="T3" t="s">
        <v>363</v>
      </c>
      <c r="U3" t="s">
        <v>364</v>
      </c>
      <c r="V3" t="s">
        <v>365</v>
      </c>
      <c r="W3" t="s">
        <v>366</v>
      </c>
      <c r="X3" t="s">
        <v>367</v>
      </c>
      <c r="Y3">
        <v>890</v>
      </c>
      <c r="Z3">
        <v>923</v>
      </c>
      <c r="AA3" t="s">
        <v>368</v>
      </c>
      <c r="AB3" t="s">
        <v>368</v>
      </c>
      <c r="AC3">
        <v>41500000</v>
      </c>
      <c r="AD3">
        <v>86</v>
      </c>
      <c r="AE3">
        <v>8617</v>
      </c>
      <c r="AF3">
        <v>10</v>
      </c>
      <c r="AG3" t="s">
        <v>369</v>
      </c>
      <c r="AH3">
        <v>3840</v>
      </c>
      <c r="AI3" t="s">
        <v>370</v>
      </c>
      <c r="AJ3" t="s">
        <v>356</v>
      </c>
      <c r="AK3" t="s">
        <v>93</v>
      </c>
      <c r="AL3" t="s">
        <v>377</v>
      </c>
      <c r="AM3" t="s">
        <v>376</v>
      </c>
      <c r="AN3" t="s">
        <v>370</v>
      </c>
      <c r="AO3">
        <v>210000559740</v>
      </c>
      <c r="AP3" t="s">
        <v>372</v>
      </c>
      <c r="AQ3" t="s">
        <v>373</v>
      </c>
      <c r="AR3" t="s">
        <v>374</v>
      </c>
      <c r="AS3" t="s">
        <v>375</v>
      </c>
      <c r="AT3">
        <v>10180.76</v>
      </c>
      <c r="AU3">
        <v>1586777</v>
      </c>
      <c r="AV3">
        <v>10548.89</v>
      </c>
      <c r="AW3">
        <v>1586777</v>
      </c>
      <c r="AX3">
        <v>10548.89</v>
      </c>
    </row>
    <row r="4" spans="1:60" hidden="1" x14ac:dyDescent="0.25">
      <c r="A4" t="s">
        <v>161</v>
      </c>
      <c r="B4">
        <v>202601</v>
      </c>
      <c r="C4">
        <v>2100007122</v>
      </c>
      <c r="D4" t="s">
        <v>356</v>
      </c>
      <c r="E4" t="s">
        <v>163</v>
      </c>
      <c r="F4" s="105">
        <v>46026</v>
      </c>
      <c r="G4" s="105">
        <v>46021</v>
      </c>
      <c r="H4" t="s">
        <v>378</v>
      </c>
      <c r="I4">
        <v>1</v>
      </c>
      <c r="L4">
        <v>2026</v>
      </c>
      <c r="M4" s="105">
        <v>46023</v>
      </c>
      <c r="N4" t="s">
        <v>358</v>
      </c>
      <c r="O4" t="s">
        <v>359</v>
      </c>
      <c r="P4">
        <v>2662855</v>
      </c>
      <c r="Q4" t="s">
        <v>360</v>
      </c>
      <c r="R4" t="s">
        <v>361</v>
      </c>
      <c r="S4" t="s">
        <v>379</v>
      </c>
      <c r="T4" t="s">
        <v>363</v>
      </c>
      <c r="U4" t="s">
        <v>364</v>
      </c>
      <c r="V4" t="s">
        <v>365</v>
      </c>
      <c r="W4" t="s">
        <v>366</v>
      </c>
      <c r="X4" t="s">
        <v>380</v>
      </c>
      <c r="Y4">
        <v>890</v>
      </c>
      <c r="Z4">
        <v>915</v>
      </c>
      <c r="AA4" t="s">
        <v>381</v>
      </c>
      <c r="AB4" t="s">
        <v>382</v>
      </c>
      <c r="AC4">
        <v>41010100</v>
      </c>
      <c r="AD4">
        <v>86</v>
      </c>
      <c r="AE4">
        <v>8011</v>
      </c>
      <c r="AF4">
        <v>10</v>
      </c>
      <c r="AG4" t="s">
        <v>369</v>
      </c>
      <c r="AH4">
        <v>7280</v>
      </c>
      <c r="AI4" t="s">
        <v>383</v>
      </c>
      <c r="AJ4" t="s">
        <v>384</v>
      </c>
      <c r="AK4" t="s">
        <v>163</v>
      </c>
      <c r="AL4" t="s">
        <v>385</v>
      </c>
      <c r="AM4" t="s">
        <v>378</v>
      </c>
      <c r="AN4" t="s">
        <v>383</v>
      </c>
      <c r="AO4">
        <v>210000712297</v>
      </c>
      <c r="AP4" t="s">
        <v>372</v>
      </c>
      <c r="AQ4" t="s">
        <v>373</v>
      </c>
      <c r="AR4" t="s">
        <v>386</v>
      </c>
      <c r="AS4" t="s">
        <v>387</v>
      </c>
      <c r="AT4">
        <v>3217.02</v>
      </c>
      <c r="AU4">
        <v>289560.44</v>
      </c>
      <c r="AV4">
        <v>3217.02</v>
      </c>
      <c r="AW4">
        <v>289560.44</v>
      </c>
      <c r="AX4">
        <v>3217.02</v>
      </c>
    </row>
    <row r="5" spans="1:60" hidden="1" x14ac:dyDescent="0.25">
      <c r="A5" t="s">
        <v>166</v>
      </c>
      <c r="B5">
        <v>202601</v>
      </c>
      <c r="C5">
        <v>2100007123</v>
      </c>
      <c r="D5" t="s">
        <v>356</v>
      </c>
      <c r="E5" t="s">
        <v>168</v>
      </c>
      <c r="F5" s="105">
        <v>46026</v>
      </c>
      <c r="G5" s="105">
        <v>46021</v>
      </c>
      <c r="H5" t="s">
        <v>388</v>
      </c>
      <c r="I5">
        <v>1</v>
      </c>
      <c r="L5">
        <v>2026</v>
      </c>
      <c r="M5" s="105">
        <v>46023</v>
      </c>
      <c r="N5" t="s">
        <v>358</v>
      </c>
      <c r="O5" t="s">
        <v>359</v>
      </c>
      <c r="P5">
        <v>2662855</v>
      </c>
      <c r="Q5" t="s">
        <v>360</v>
      </c>
      <c r="R5" t="s">
        <v>361</v>
      </c>
      <c r="S5" t="s">
        <v>379</v>
      </c>
      <c r="T5" t="s">
        <v>363</v>
      </c>
      <c r="U5" t="s">
        <v>364</v>
      </c>
      <c r="V5" t="s">
        <v>365</v>
      </c>
      <c r="W5" t="s">
        <v>366</v>
      </c>
      <c r="X5" t="s">
        <v>380</v>
      </c>
      <c r="Y5">
        <v>890</v>
      </c>
      <c r="Z5">
        <v>915</v>
      </c>
      <c r="AA5" t="s">
        <v>381</v>
      </c>
      <c r="AB5" t="s">
        <v>382</v>
      </c>
      <c r="AC5">
        <v>41010100</v>
      </c>
      <c r="AD5">
        <v>86</v>
      </c>
      <c r="AE5">
        <v>8011</v>
      </c>
      <c r="AF5">
        <v>10</v>
      </c>
      <c r="AG5" t="s">
        <v>369</v>
      </c>
      <c r="AH5">
        <v>7280</v>
      </c>
      <c r="AI5" t="s">
        <v>383</v>
      </c>
      <c r="AJ5" t="s">
        <v>384</v>
      </c>
      <c r="AK5" t="s">
        <v>168</v>
      </c>
      <c r="AL5" t="s">
        <v>389</v>
      </c>
      <c r="AM5" t="s">
        <v>388</v>
      </c>
      <c r="AN5" t="s">
        <v>383</v>
      </c>
      <c r="AO5">
        <v>2100007123125</v>
      </c>
      <c r="AP5" t="s">
        <v>372</v>
      </c>
      <c r="AQ5" t="s">
        <v>373</v>
      </c>
      <c r="AR5" t="s">
        <v>386</v>
      </c>
      <c r="AS5" t="s">
        <v>387</v>
      </c>
      <c r="AT5">
        <v>844.81</v>
      </c>
      <c r="AU5">
        <v>76040.27</v>
      </c>
      <c r="AV5">
        <v>844.81</v>
      </c>
      <c r="AW5">
        <v>76040.27</v>
      </c>
      <c r="AX5">
        <v>844.81</v>
      </c>
    </row>
    <row r="6" spans="1:60" hidden="1" x14ac:dyDescent="0.25">
      <c r="A6" t="s">
        <v>209</v>
      </c>
      <c r="B6">
        <v>202601</v>
      </c>
      <c r="C6">
        <v>5107761161</v>
      </c>
      <c r="D6" t="s">
        <v>101</v>
      </c>
      <c r="E6" t="s">
        <v>211</v>
      </c>
      <c r="F6" s="105">
        <v>46021</v>
      </c>
      <c r="G6" s="105">
        <v>46028</v>
      </c>
      <c r="H6" t="s">
        <v>390</v>
      </c>
      <c r="I6">
        <v>1</v>
      </c>
      <c r="K6" t="s">
        <v>391</v>
      </c>
      <c r="L6">
        <v>2026</v>
      </c>
      <c r="M6" s="105">
        <v>46023</v>
      </c>
      <c r="N6" t="s">
        <v>358</v>
      </c>
      <c r="O6" t="s">
        <v>392</v>
      </c>
      <c r="P6">
        <v>2321403</v>
      </c>
      <c r="Q6" t="s">
        <v>360</v>
      </c>
      <c r="R6" t="s">
        <v>361</v>
      </c>
      <c r="S6" t="s">
        <v>393</v>
      </c>
      <c r="T6" t="s">
        <v>363</v>
      </c>
      <c r="U6" t="s">
        <v>364</v>
      </c>
      <c r="V6" t="s">
        <v>365</v>
      </c>
      <c r="W6" t="s">
        <v>366</v>
      </c>
      <c r="X6" t="s">
        <v>394</v>
      </c>
      <c r="Y6">
        <v>890</v>
      </c>
      <c r="Z6">
        <v>901</v>
      </c>
      <c r="AA6" t="s">
        <v>395</v>
      </c>
      <c r="AB6" t="s">
        <v>396</v>
      </c>
      <c r="AC6">
        <v>61010000</v>
      </c>
      <c r="AD6">
        <v>86</v>
      </c>
      <c r="AE6">
        <v>8011</v>
      </c>
      <c r="AF6">
        <v>10</v>
      </c>
      <c r="AG6" t="s">
        <v>397</v>
      </c>
      <c r="AH6">
        <v>1400</v>
      </c>
      <c r="AI6" t="s">
        <v>398</v>
      </c>
      <c r="AJ6" t="s">
        <v>399</v>
      </c>
      <c r="AK6" t="s">
        <v>211</v>
      </c>
      <c r="AL6" t="s">
        <v>210</v>
      </c>
      <c r="AM6" t="s">
        <v>390</v>
      </c>
      <c r="AN6" t="s">
        <v>400</v>
      </c>
      <c r="AO6">
        <v>51077611612</v>
      </c>
      <c r="AP6">
        <v>102294155</v>
      </c>
      <c r="AQ6" t="s">
        <v>373</v>
      </c>
      <c r="AR6" t="s">
        <v>401</v>
      </c>
      <c r="AS6" t="s">
        <v>373</v>
      </c>
      <c r="AT6">
        <v>30728.67</v>
      </c>
      <c r="AU6">
        <v>30728.67</v>
      </c>
      <c r="AV6">
        <v>30728.67</v>
      </c>
      <c r="AW6">
        <v>30728.67</v>
      </c>
      <c r="AX6">
        <v>30728.67</v>
      </c>
    </row>
    <row r="7" spans="1:60" hidden="1" x14ac:dyDescent="0.25">
      <c r="A7" t="s">
        <v>209</v>
      </c>
      <c r="B7">
        <v>202601</v>
      </c>
      <c r="C7">
        <v>2100082275</v>
      </c>
      <c r="D7" t="s">
        <v>356</v>
      </c>
      <c r="E7" t="s">
        <v>211</v>
      </c>
      <c r="F7" s="105">
        <v>46027</v>
      </c>
      <c r="G7" s="105">
        <v>46030</v>
      </c>
      <c r="H7" t="s">
        <v>402</v>
      </c>
      <c r="I7">
        <v>1</v>
      </c>
      <c r="L7">
        <v>2026</v>
      </c>
      <c r="M7" s="105">
        <v>46023</v>
      </c>
      <c r="N7" t="s">
        <v>358</v>
      </c>
      <c r="O7" t="s">
        <v>392</v>
      </c>
      <c r="P7">
        <v>2321403</v>
      </c>
      <c r="Q7" t="s">
        <v>360</v>
      </c>
      <c r="R7" t="s">
        <v>361</v>
      </c>
      <c r="S7" t="s">
        <v>393</v>
      </c>
      <c r="T7" t="s">
        <v>363</v>
      </c>
      <c r="U7" t="s">
        <v>364</v>
      </c>
      <c r="V7" t="s">
        <v>365</v>
      </c>
      <c r="W7" t="s">
        <v>366</v>
      </c>
      <c r="X7" t="s">
        <v>394</v>
      </c>
      <c r="Y7">
        <v>890</v>
      </c>
      <c r="Z7">
        <v>901</v>
      </c>
      <c r="AA7" t="s">
        <v>395</v>
      </c>
      <c r="AB7" t="s">
        <v>396</v>
      </c>
      <c r="AC7">
        <v>61010000</v>
      </c>
      <c r="AD7">
        <v>86</v>
      </c>
      <c r="AE7">
        <v>8011</v>
      </c>
      <c r="AF7">
        <v>10</v>
      </c>
      <c r="AG7" t="s">
        <v>369</v>
      </c>
      <c r="AH7">
        <v>1400</v>
      </c>
      <c r="AI7" t="s">
        <v>398</v>
      </c>
      <c r="AJ7" t="s">
        <v>399</v>
      </c>
      <c r="AK7" t="s">
        <v>211</v>
      </c>
      <c r="AL7" t="s">
        <v>210</v>
      </c>
      <c r="AM7" t="s">
        <v>402</v>
      </c>
      <c r="AN7" t="s">
        <v>400</v>
      </c>
      <c r="AO7">
        <v>2100082275271</v>
      </c>
      <c r="AP7" t="s">
        <v>403</v>
      </c>
      <c r="AQ7" t="s">
        <v>373</v>
      </c>
      <c r="AR7" t="s">
        <v>401</v>
      </c>
      <c r="AS7" t="s">
        <v>373</v>
      </c>
      <c r="AT7">
        <v>-146492.82999999999</v>
      </c>
      <c r="AU7">
        <v>-146492.82999999999</v>
      </c>
      <c r="AV7">
        <v>-146492.82999999999</v>
      </c>
      <c r="AW7">
        <v>-146492.82999999999</v>
      </c>
      <c r="AX7">
        <v>-146492.82999999999</v>
      </c>
    </row>
    <row r="8" spans="1:60" x14ac:dyDescent="0.25">
      <c r="A8" t="s">
        <v>174</v>
      </c>
      <c r="B8">
        <v>202601</v>
      </c>
      <c r="C8">
        <v>2100082339</v>
      </c>
      <c r="D8" t="s">
        <v>356</v>
      </c>
      <c r="E8" t="s">
        <v>176</v>
      </c>
      <c r="F8" s="105">
        <v>46048</v>
      </c>
      <c r="G8" s="105">
        <v>46037</v>
      </c>
      <c r="H8" t="s">
        <v>404</v>
      </c>
      <c r="I8">
        <v>1</v>
      </c>
      <c r="L8">
        <v>2026</v>
      </c>
      <c r="M8" s="105">
        <v>46023</v>
      </c>
      <c r="N8" t="s">
        <v>358</v>
      </c>
      <c r="O8" t="s">
        <v>392</v>
      </c>
      <c r="P8">
        <v>2321403</v>
      </c>
      <c r="Q8" t="s">
        <v>360</v>
      </c>
      <c r="R8" t="s">
        <v>361</v>
      </c>
      <c r="S8" t="s">
        <v>393</v>
      </c>
      <c r="T8" t="s">
        <v>363</v>
      </c>
      <c r="U8" t="s">
        <v>364</v>
      </c>
      <c r="V8" t="s">
        <v>365</v>
      </c>
      <c r="W8" t="s">
        <v>366</v>
      </c>
      <c r="X8" t="s">
        <v>394</v>
      </c>
      <c r="Y8">
        <v>890</v>
      </c>
      <c r="Z8">
        <v>923</v>
      </c>
      <c r="AA8" t="s">
        <v>368</v>
      </c>
      <c r="AB8" t="s">
        <v>368</v>
      </c>
      <c r="AC8">
        <v>41500000</v>
      </c>
      <c r="AD8">
        <v>86</v>
      </c>
      <c r="AE8">
        <v>8011</v>
      </c>
      <c r="AF8">
        <v>10</v>
      </c>
      <c r="AG8" t="s">
        <v>369</v>
      </c>
      <c r="AH8">
        <v>1400</v>
      </c>
      <c r="AI8" t="s">
        <v>398</v>
      </c>
      <c r="AJ8" t="s">
        <v>399</v>
      </c>
      <c r="AK8" t="s">
        <v>176</v>
      </c>
      <c r="AL8" t="s">
        <v>405</v>
      </c>
      <c r="AM8" t="s">
        <v>404</v>
      </c>
      <c r="AN8" t="s">
        <v>406</v>
      </c>
      <c r="AO8">
        <v>210008233935</v>
      </c>
      <c r="AP8" t="s">
        <v>407</v>
      </c>
      <c r="AQ8" t="s">
        <v>373</v>
      </c>
      <c r="AR8" t="s">
        <v>401</v>
      </c>
      <c r="AS8" t="s">
        <v>373</v>
      </c>
      <c r="AT8">
        <v>319478.03000000003</v>
      </c>
      <c r="AU8">
        <v>319478.03000000003</v>
      </c>
      <c r="AV8">
        <v>319478.03000000003</v>
      </c>
      <c r="AW8">
        <v>319478.03000000003</v>
      </c>
      <c r="AX8">
        <v>319478.03000000003</v>
      </c>
    </row>
    <row r="9" spans="1:60" x14ac:dyDescent="0.25">
      <c r="A9" t="s">
        <v>174</v>
      </c>
      <c r="B9">
        <v>202601</v>
      </c>
      <c r="C9">
        <v>2100082364</v>
      </c>
      <c r="D9" t="s">
        <v>356</v>
      </c>
      <c r="E9" t="s">
        <v>176</v>
      </c>
      <c r="F9" s="105">
        <v>46049</v>
      </c>
      <c r="G9" s="105">
        <v>46037</v>
      </c>
      <c r="H9" t="s">
        <v>408</v>
      </c>
      <c r="I9">
        <v>1</v>
      </c>
      <c r="L9">
        <v>2026</v>
      </c>
      <c r="M9" s="105">
        <v>46023</v>
      </c>
      <c r="N9" t="s">
        <v>358</v>
      </c>
      <c r="O9" t="s">
        <v>392</v>
      </c>
      <c r="P9">
        <v>2321403</v>
      </c>
      <c r="Q9" t="s">
        <v>360</v>
      </c>
      <c r="R9" t="s">
        <v>361</v>
      </c>
      <c r="S9" t="s">
        <v>393</v>
      </c>
      <c r="T9" t="s">
        <v>363</v>
      </c>
      <c r="U9" t="s">
        <v>364</v>
      </c>
      <c r="V9" t="s">
        <v>365</v>
      </c>
      <c r="W9" t="s">
        <v>366</v>
      </c>
      <c r="X9" t="s">
        <v>394</v>
      </c>
      <c r="Y9">
        <v>890</v>
      </c>
      <c r="Z9">
        <v>923</v>
      </c>
      <c r="AA9" t="s">
        <v>368</v>
      </c>
      <c r="AB9" t="s">
        <v>368</v>
      </c>
      <c r="AC9">
        <v>41500000</v>
      </c>
      <c r="AD9">
        <v>86</v>
      </c>
      <c r="AE9">
        <v>8011</v>
      </c>
      <c r="AF9">
        <v>10</v>
      </c>
      <c r="AG9" t="s">
        <v>369</v>
      </c>
      <c r="AH9">
        <v>1400</v>
      </c>
      <c r="AI9" t="s">
        <v>398</v>
      </c>
      <c r="AJ9" t="s">
        <v>399</v>
      </c>
      <c r="AK9" t="s">
        <v>176</v>
      </c>
      <c r="AL9" t="s">
        <v>405</v>
      </c>
      <c r="AM9" t="s">
        <v>408</v>
      </c>
      <c r="AN9" t="s">
        <v>406</v>
      </c>
      <c r="AO9">
        <v>210008236451</v>
      </c>
      <c r="AP9" t="s">
        <v>409</v>
      </c>
      <c r="AQ9" t="s">
        <v>373</v>
      </c>
      <c r="AR9" t="s">
        <v>401</v>
      </c>
      <c r="AS9" t="s">
        <v>373</v>
      </c>
      <c r="AT9">
        <v>68155.31</v>
      </c>
      <c r="AU9">
        <v>68155.31</v>
      </c>
      <c r="AV9">
        <v>68155.31</v>
      </c>
      <c r="AW9">
        <v>68155.31</v>
      </c>
      <c r="AX9">
        <v>68155.31</v>
      </c>
    </row>
    <row r="10" spans="1:60" hidden="1" x14ac:dyDescent="0.25">
      <c r="A10" t="s">
        <v>205</v>
      </c>
      <c r="B10">
        <v>202601</v>
      </c>
      <c r="C10">
        <v>2100082346</v>
      </c>
      <c r="D10" t="s">
        <v>356</v>
      </c>
      <c r="E10" t="s">
        <v>206</v>
      </c>
      <c r="F10" s="105">
        <v>46048</v>
      </c>
      <c r="G10" s="105">
        <v>46037</v>
      </c>
      <c r="H10" t="s">
        <v>410</v>
      </c>
      <c r="I10">
        <v>1</v>
      </c>
      <c r="L10">
        <v>2026</v>
      </c>
      <c r="M10" s="105">
        <v>46023</v>
      </c>
      <c r="N10" t="s">
        <v>358</v>
      </c>
      <c r="O10" t="s">
        <v>392</v>
      </c>
      <c r="P10">
        <v>2321403</v>
      </c>
      <c r="Q10" t="s">
        <v>360</v>
      </c>
      <c r="R10" t="s">
        <v>361</v>
      </c>
      <c r="S10" t="s">
        <v>393</v>
      </c>
      <c r="T10" t="s">
        <v>363</v>
      </c>
      <c r="U10" t="s">
        <v>364</v>
      </c>
      <c r="V10" t="s">
        <v>365</v>
      </c>
      <c r="W10" t="s">
        <v>366</v>
      </c>
      <c r="X10" t="s">
        <v>394</v>
      </c>
      <c r="Y10">
        <v>890</v>
      </c>
      <c r="Z10">
        <v>923</v>
      </c>
      <c r="AA10" t="s">
        <v>368</v>
      </c>
      <c r="AB10" t="s">
        <v>368</v>
      </c>
      <c r="AC10">
        <v>41500000</v>
      </c>
      <c r="AD10">
        <v>86</v>
      </c>
      <c r="AE10">
        <v>8011</v>
      </c>
      <c r="AF10">
        <v>10</v>
      </c>
      <c r="AG10" t="s">
        <v>369</v>
      </c>
      <c r="AH10">
        <v>1400</v>
      </c>
      <c r="AI10" t="s">
        <v>398</v>
      </c>
      <c r="AJ10" t="s">
        <v>399</v>
      </c>
      <c r="AK10" t="s">
        <v>206</v>
      </c>
      <c r="AL10" t="s">
        <v>411</v>
      </c>
      <c r="AM10" t="s">
        <v>410</v>
      </c>
      <c r="AN10" t="s">
        <v>406</v>
      </c>
      <c r="AO10">
        <v>210008234672</v>
      </c>
      <c r="AP10" t="s">
        <v>407</v>
      </c>
      <c r="AQ10" t="s">
        <v>373</v>
      </c>
      <c r="AR10" t="s">
        <v>401</v>
      </c>
      <c r="AS10" t="s">
        <v>373</v>
      </c>
      <c r="AT10">
        <v>25838</v>
      </c>
      <c r="AU10">
        <v>25838</v>
      </c>
      <c r="AV10">
        <v>25838</v>
      </c>
      <c r="AW10">
        <v>25838</v>
      </c>
      <c r="AX10">
        <v>25838</v>
      </c>
    </row>
    <row r="11" spans="1:60" hidden="1" x14ac:dyDescent="0.25">
      <c r="A11" t="s">
        <v>85</v>
      </c>
      <c r="B11">
        <v>202602</v>
      </c>
      <c r="C11">
        <v>5100106322</v>
      </c>
      <c r="D11" t="s">
        <v>412</v>
      </c>
      <c r="E11" t="s">
        <v>87</v>
      </c>
      <c r="F11" s="105">
        <v>46017</v>
      </c>
      <c r="G11" s="105">
        <v>46029</v>
      </c>
      <c r="H11" t="s">
        <v>413</v>
      </c>
      <c r="I11">
        <v>2</v>
      </c>
      <c r="J11">
        <v>10656.33</v>
      </c>
      <c r="K11" t="s">
        <v>391</v>
      </c>
      <c r="L11">
        <v>2026</v>
      </c>
      <c r="M11" s="105">
        <v>46054</v>
      </c>
      <c r="N11" t="s">
        <v>358</v>
      </c>
      <c r="O11" t="s">
        <v>359</v>
      </c>
      <c r="P11">
        <v>2430238</v>
      </c>
      <c r="Q11" t="s">
        <v>360</v>
      </c>
      <c r="R11" t="s">
        <v>361</v>
      </c>
      <c r="S11" t="s">
        <v>362</v>
      </c>
      <c r="T11" t="s">
        <v>363</v>
      </c>
      <c r="U11" t="s">
        <v>364</v>
      </c>
      <c r="V11" t="s">
        <v>365</v>
      </c>
      <c r="W11" t="s">
        <v>366</v>
      </c>
      <c r="X11" t="s">
        <v>367</v>
      </c>
      <c r="Y11">
        <v>890</v>
      </c>
      <c r="Z11">
        <v>923</v>
      </c>
      <c r="AA11" t="s">
        <v>368</v>
      </c>
      <c r="AB11" t="s">
        <v>368</v>
      </c>
      <c r="AC11">
        <v>41500000</v>
      </c>
      <c r="AD11">
        <v>86</v>
      </c>
      <c r="AE11">
        <v>8617</v>
      </c>
      <c r="AF11">
        <v>10</v>
      </c>
      <c r="AG11" t="s">
        <v>397</v>
      </c>
      <c r="AH11">
        <v>3840</v>
      </c>
      <c r="AI11" t="s">
        <v>370</v>
      </c>
      <c r="AJ11" t="s">
        <v>356</v>
      </c>
      <c r="AK11" t="s">
        <v>87</v>
      </c>
      <c r="AL11" t="s">
        <v>371</v>
      </c>
      <c r="AM11" t="s">
        <v>413</v>
      </c>
      <c r="AN11" t="s">
        <v>370</v>
      </c>
      <c r="AO11">
        <v>51001063222</v>
      </c>
      <c r="AP11">
        <v>6100259532</v>
      </c>
      <c r="AQ11" t="s">
        <v>373</v>
      </c>
      <c r="AR11" t="s">
        <v>374</v>
      </c>
      <c r="AS11" t="s">
        <v>375</v>
      </c>
      <c r="AT11">
        <v>10169.030000000001</v>
      </c>
      <c r="AU11">
        <v>1602936</v>
      </c>
      <c r="AV11">
        <v>10656.33</v>
      </c>
      <c r="AW11">
        <v>1602936</v>
      </c>
    </row>
    <row r="12" spans="1:60" hidden="1" x14ac:dyDescent="0.25">
      <c r="A12" t="s">
        <v>91</v>
      </c>
      <c r="B12">
        <v>202602</v>
      </c>
      <c r="C12">
        <v>5100106352</v>
      </c>
      <c r="D12" t="s">
        <v>414</v>
      </c>
      <c r="E12" t="s">
        <v>93</v>
      </c>
      <c r="F12" s="105">
        <v>46022</v>
      </c>
      <c r="G12" s="105">
        <v>46030</v>
      </c>
      <c r="H12" t="s">
        <v>415</v>
      </c>
      <c r="I12">
        <v>2</v>
      </c>
      <c r="J12">
        <v>10636.8</v>
      </c>
      <c r="K12" t="s">
        <v>391</v>
      </c>
      <c r="L12">
        <v>2026</v>
      </c>
      <c r="M12" s="105">
        <v>46054</v>
      </c>
      <c r="N12" t="s">
        <v>358</v>
      </c>
      <c r="O12" t="s">
        <v>359</v>
      </c>
      <c r="P12">
        <v>2430238</v>
      </c>
      <c r="Q12" t="s">
        <v>360</v>
      </c>
      <c r="R12" t="s">
        <v>361</v>
      </c>
      <c r="S12" t="s">
        <v>362</v>
      </c>
      <c r="T12" t="s">
        <v>363</v>
      </c>
      <c r="U12" t="s">
        <v>364</v>
      </c>
      <c r="V12" t="s">
        <v>365</v>
      </c>
      <c r="W12" t="s">
        <v>366</v>
      </c>
      <c r="X12" t="s">
        <v>367</v>
      </c>
      <c r="Y12">
        <v>890</v>
      </c>
      <c r="Z12">
        <v>923</v>
      </c>
      <c r="AA12" t="s">
        <v>368</v>
      </c>
      <c r="AB12" t="s">
        <v>368</v>
      </c>
      <c r="AC12">
        <v>41500000</v>
      </c>
      <c r="AD12">
        <v>86</v>
      </c>
      <c r="AE12">
        <v>8617</v>
      </c>
      <c r="AF12">
        <v>10</v>
      </c>
      <c r="AG12" t="s">
        <v>397</v>
      </c>
      <c r="AH12">
        <v>3840</v>
      </c>
      <c r="AI12" t="s">
        <v>370</v>
      </c>
      <c r="AJ12" t="s">
        <v>356</v>
      </c>
      <c r="AK12" t="s">
        <v>93</v>
      </c>
      <c r="AL12" t="s">
        <v>377</v>
      </c>
      <c r="AM12" t="s">
        <v>415</v>
      </c>
      <c r="AN12" t="s">
        <v>370</v>
      </c>
      <c r="AO12">
        <v>51001063522</v>
      </c>
      <c r="AP12">
        <v>4025628022</v>
      </c>
      <c r="AQ12" t="s">
        <v>373</v>
      </c>
      <c r="AR12" t="s">
        <v>374</v>
      </c>
      <c r="AS12" t="s">
        <v>375</v>
      </c>
      <c r="AT12">
        <v>10150.4</v>
      </c>
      <c r="AU12">
        <v>1600000</v>
      </c>
      <c r="AV12">
        <v>10636.8</v>
      </c>
      <c r="AW12">
        <v>1600000</v>
      </c>
    </row>
    <row r="13" spans="1:60" hidden="1" x14ac:dyDescent="0.25">
      <c r="A13" t="s">
        <v>85</v>
      </c>
      <c r="B13">
        <v>202602</v>
      </c>
      <c r="C13">
        <v>2100005605</v>
      </c>
      <c r="D13" t="s">
        <v>356</v>
      </c>
      <c r="E13" t="s">
        <v>87</v>
      </c>
      <c r="F13" s="105">
        <v>46023</v>
      </c>
      <c r="G13" s="105">
        <v>46030</v>
      </c>
      <c r="H13" t="s">
        <v>357</v>
      </c>
      <c r="I13">
        <v>2</v>
      </c>
      <c r="J13">
        <v>-11347.01</v>
      </c>
      <c r="K13" t="s">
        <v>416</v>
      </c>
      <c r="L13">
        <v>2026</v>
      </c>
      <c r="M13" s="105">
        <v>46054</v>
      </c>
      <c r="N13" t="s">
        <v>358</v>
      </c>
      <c r="O13" t="s">
        <v>359</v>
      </c>
      <c r="P13">
        <v>2430238</v>
      </c>
      <c r="Q13" t="s">
        <v>360</v>
      </c>
      <c r="R13" t="s">
        <v>361</v>
      </c>
      <c r="S13" t="s">
        <v>362</v>
      </c>
      <c r="T13" t="s">
        <v>363</v>
      </c>
      <c r="U13" t="s">
        <v>364</v>
      </c>
      <c r="V13" t="s">
        <v>365</v>
      </c>
      <c r="W13" t="s">
        <v>366</v>
      </c>
      <c r="X13" t="s">
        <v>367</v>
      </c>
      <c r="Y13">
        <v>890</v>
      </c>
      <c r="Z13">
        <v>923</v>
      </c>
      <c r="AA13" t="s">
        <v>368</v>
      </c>
      <c r="AB13" t="s">
        <v>368</v>
      </c>
      <c r="AC13">
        <v>41500000</v>
      </c>
      <c r="AD13">
        <v>86</v>
      </c>
      <c r="AE13">
        <v>8617</v>
      </c>
      <c r="AF13">
        <v>10</v>
      </c>
      <c r="AG13" t="s">
        <v>369</v>
      </c>
      <c r="AH13">
        <v>3840</v>
      </c>
      <c r="AI13" t="s">
        <v>370</v>
      </c>
      <c r="AJ13" t="s">
        <v>356</v>
      </c>
      <c r="AK13" t="s">
        <v>87</v>
      </c>
      <c r="AL13" t="s">
        <v>371</v>
      </c>
      <c r="AM13" t="s">
        <v>357</v>
      </c>
      <c r="AN13" t="s">
        <v>370</v>
      </c>
      <c r="AO13">
        <v>210000560541</v>
      </c>
      <c r="AP13" t="s">
        <v>372</v>
      </c>
      <c r="AQ13" t="s">
        <v>373</v>
      </c>
      <c r="AR13" t="s">
        <v>374</v>
      </c>
      <c r="AS13" t="s">
        <v>375</v>
      </c>
      <c r="AT13">
        <v>-10828.13</v>
      </c>
      <c r="AU13">
        <v>-1706830</v>
      </c>
      <c r="AV13">
        <v>-11347.01</v>
      </c>
      <c r="AW13">
        <v>-1706830</v>
      </c>
    </row>
    <row r="14" spans="1:60" hidden="1" x14ac:dyDescent="0.25">
      <c r="A14" t="s">
        <v>85</v>
      </c>
      <c r="B14">
        <v>202602</v>
      </c>
      <c r="C14">
        <v>2100005613</v>
      </c>
      <c r="D14" t="s">
        <v>356</v>
      </c>
      <c r="E14" t="s">
        <v>87</v>
      </c>
      <c r="F14" s="105">
        <v>46047</v>
      </c>
      <c r="G14" s="105">
        <v>46045</v>
      </c>
      <c r="H14" t="s">
        <v>357</v>
      </c>
      <c r="I14">
        <v>2</v>
      </c>
      <c r="J14">
        <v>10146.52</v>
      </c>
      <c r="K14" t="s">
        <v>417</v>
      </c>
      <c r="L14">
        <v>2026</v>
      </c>
      <c r="M14" s="105">
        <v>46054</v>
      </c>
      <c r="N14" t="s">
        <v>358</v>
      </c>
      <c r="O14" t="s">
        <v>359</v>
      </c>
      <c r="P14">
        <v>2430238</v>
      </c>
      <c r="Q14" t="s">
        <v>360</v>
      </c>
      <c r="R14" t="s">
        <v>361</v>
      </c>
      <c r="S14" t="s">
        <v>362</v>
      </c>
      <c r="T14" t="s">
        <v>363</v>
      </c>
      <c r="U14" t="s">
        <v>364</v>
      </c>
      <c r="V14" t="s">
        <v>365</v>
      </c>
      <c r="W14" t="s">
        <v>366</v>
      </c>
      <c r="X14" t="s">
        <v>367</v>
      </c>
      <c r="Y14">
        <v>890</v>
      </c>
      <c r="Z14">
        <v>923</v>
      </c>
      <c r="AA14" t="s">
        <v>368</v>
      </c>
      <c r="AB14" t="s">
        <v>368</v>
      </c>
      <c r="AC14">
        <v>41500000</v>
      </c>
      <c r="AD14">
        <v>86</v>
      </c>
      <c r="AE14">
        <v>8617</v>
      </c>
      <c r="AF14">
        <v>10</v>
      </c>
      <c r="AG14" t="s">
        <v>369</v>
      </c>
      <c r="AH14">
        <v>3840</v>
      </c>
      <c r="AI14" t="s">
        <v>370</v>
      </c>
      <c r="AJ14" t="s">
        <v>356</v>
      </c>
      <c r="AK14" t="s">
        <v>87</v>
      </c>
      <c r="AL14" t="s">
        <v>371</v>
      </c>
      <c r="AM14" t="s">
        <v>357</v>
      </c>
      <c r="AN14" t="s">
        <v>370</v>
      </c>
      <c r="AO14">
        <v>210000561344</v>
      </c>
      <c r="AP14" t="s">
        <v>372</v>
      </c>
      <c r="AQ14" t="s">
        <v>373</v>
      </c>
      <c r="AR14" t="s">
        <v>374</v>
      </c>
      <c r="AS14" t="s">
        <v>375</v>
      </c>
      <c r="AT14">
        <v>9682.5400000000009</v>
      </c>
      <c r="AU14">
        <v>1526252</v>
      </c>
      <c r="AV14">
        <v>10146.52</v>
      </c>
      <c r="AW14">
        <v>1526252</v>
      </c>
    </row>
    <row r="15" spans="1:60" hidden="1" x14ac:dyDescent="0.25">
      <c r="A15" t="s">
        <v>91</v>
      </c>
      <c r="B15">
        <v>202602</v>
      </c>
      <c r="C15">
        <v>2100005605</v>
      </c>
      <c r="D15" t="s">
        <v>356</v>
      </c>
      <c r="E15" t="s">
        <v>93</v>
      </c>
      <c r="F15" s="105">
        <v>46023</v>
      </c>
      <c r="G15" s="105">
        <v>46030</v>
      </c>
      <c r="H15" t="s">
        <v>376</v>
      </c>
      <c r="I15">
        <v>2</v>
      </c>
      <c r="J15">
        <v>-10548.89</v>
      </c>
      <c r="K15" t="s">
        <v>416</v>
      </c>
      <c r="L15">
        <v>2026</v>
      </c>
      <c r="M15" s="105">
        <v>46054</v>
      </c>
      <c r="N15" t="s">
        <v>358</v>
      </c>
      <c r="O15" t="s">
        <v>359</v>
      </c>
      <c r="P15">
        <v>2430238</v>
      </c>
      <c r="Q15" t="s">
        <v>360</v>
      </c>
      <c r="R15" t="s">
        <v>361</v>
      </c>
      <c r="S15" t="s">
        <v>362</v>
      </c>
      <c r="T15" t="s">
        <v>363</v>
      </c>
      <c r="U15" t="s">
        <v>364</v>
      </c>
      <c r="V15" t="s">
        <v>365</v>
      </c>
      <c r="W15" t="s">
        <v>366</v>
      </c>
      <c r="X15" t="s">
        <v>367</v>
      </c>
      <c r="Y15">
        <v>890</v>
      </c>
      <c r="Z15">
        <v>923</v>
      </c>
      <c r="AA15" t="s">
        <v>368</v>
      </c>
      <c r="AB15" t="s">
        <v>368</v>
      </c>
      <c r="AC15">
        <v>41500000</v>
      </c>
      <c r="AD15">
        <v>86</v>
      </c>
      <c r="AE15">
        <v>8617</v>
      </c>
      <c r="AF15">
        <v>10</v>
      </c>
      <c r="AG15" t="s">
        <v>369</v>
      </c>
      <c r="AH15">
        <v>3840</v>
      </c>
      <c r="AI15" t="s">
        <v>370</v>
      </c>
      <c r="AJ15" t="s">
        <v>356</v>
      </c>
      <c r="AK15" t="s">
        <v>93</v>
      </c>
      <c r="AL15" t="s">
        <v>377</v>
      </c>
      <c r="AM15" t="s">
        <v>376</v>
      </c>
      <c r="AN15" t="s">
        <v>370</v>
      </c>
      <c r="AO15">
        <v>210000560540</v>
      </c>
      <c r="AP15" t="s">
        <v>372</v>
      </c>
      <c r="AQ15" t="s">
        <v>373</v>
      </c>
      <c r="AR15" t="s">
        <v>374</v>
      </c>
      <c r="AS15" t="s">
        <v>375</v>
      </c>
      <c r="AT15">
        <v>-10066.51</v>
      </c>
      <c r="AU15">
        <v>-1586777</v>
      </c>
      <c r="AV15">
        <v>-10548.89</v>
      </c>
      <c r="AW15">
        <v>-1586777</v>
      </c>
    </row>
    <row r="16" spans="1:60" hidden="1" x14ac:dyDescent="0.25">
      <c r="A16" t="s">
        <v>91</v>
      </c>
      <c r="B16">
        <v>202602</v>
      </c>
      <c r="C16">
        <v>2100005613</v>
      </c>
      <c r="D16" t="s">
        <v>356</v>
      </c>
      <c r="E16" t="s">
        <v>93</v>
      </c>
      <c r="F16" s="105">
        <v>46047</v>
      </c>
      <c r="G16" s="105">
        <v>46045</v>
      </c>
      <c r="H16" t="s">
        <v>376</v>
      </c>
      <c r="I16">
        <v>2</v>
      </c>
      <c r="J16">
        <v>8702.83</v>
      </c>
      <c r="K16" t="s">
        <v>417</v>
      </c>
      <c r="L16">
        <v>2026</v>
      </c>
      <c r="M16" s="105">
        <v>46054</v>
      </c>
      <c r="N16" t="s">
        <v>358</v>
      </c>
      <c r="O16" t="s">
        <v>359</v>
      </c>
      <c r="P16">
        <v>2430238</v>
      </c>
      <c r="Q16" t="s">
        <v>360</v>
      </c>
      <c r="R16" t="s">
        <v>361</v>
      </c>
      <c r="S16" t="s">
        <v>362</v>
      </c>
      <c r="T16" t="s">
        <v>363</v>
      </c>
      <c r="U16" t="s">
        <v>364</v>
      </c>
      <c r="V16" t="s">
        <v>365</v>
      </c>
      <c r="W16" t="s">
        <v>366</v>
      </c>
      <c r="X16" t="s">
        <v>367</v>
      </c>
      <c r="Y16">
        <v>890</v>
      </c>
      <c r="Z16">
        <v>923</v>
      </c>
      <c r="AA16" t="s">
        <v>368</v>
      </c>
      <c r="AB16" t="s">
        <v>368</v>
      </c>
      <c r="AC16">
        <v>41500000</v>
      </c>
      <c r="AD16">
        <v>86</v>
      </c>
      <c r="AE16">
        <v>8617</v>
      </c>
      <c r="AF16">
        <v>10</v>
      </c>
      <c r="AG16" t="s">
        <v>369</v>
      </c>
      <c r="AH16">
        <v>3840</v>
      </c>
      <c r="AI16" t="s">
        <v>370</v>
      </c>
      <c r="AJ16" t="s">
        <v>356</v>
      </c>
      <c r="AK16" t="s">
        <v>93</v>
      </c>
      <c r="AL16" t="s">
        <v>377</v>
      </c>
      <c r="AM16" t="s">
        <v>376</v>
      </c>
      <c r="AN16" t="s">
        <v>370</v>
      </c>
      <c r="AO16">
        <v>210000561343</v>
      </c>
      <c r="AP16" t="s">
        <v>372</v>
      </c>
      <c r="AQ16" t="s">
        <v>373</v>
      </c>
      <c r="AR16" t="s">
        <v>374</v>
      </c>
      <c r="AS16" t="s">
        <v>375</v>
      </c>
      <c r="AT16">
        <v>8304.8700000000008</v>
      </c>
      <c r="AU16">
        <v>1309091</v>
      </c>
      <c r="AV16">
        <v>8702.83</v>
      </c>
      <c r="AW16">
        <v>1309091</v>
      </c>
    </row>
    <row r="17" spans="1:49" hidden="1" x14ac:dyDescent="0.25">
      <c r="A17" t="s">
        <v>166</v>
      </c>
      <c r="B17">
        <v>202602</v>
      </c>
      <c r="C17">
        <v>5100077441</v>
      </c>
      <c r="D17" t="s">
        <v>167</v>
      </c>
      <c r="E17" t="s">
        <v>168</v>
      </c>
      <c r="F17" s="105">
        <v>46024</v>
      </c>
      <c r="G17" s="105">
        <v>46028</v>
      </c>
      <c r="H17" t="s">
        <v>418</v>
      </c>
      <c r="I17">
        <v>2</v>
      </c>
      <c r="J17">
        <v>821.58</v>
      </c>
      <c r="K17" t="s">
        <v>391</v>
      </c>
      <c r="L17">
        <v>2026</v>
      </c>
      <c r="M17" s="105">
        <v>46054</v>
      </c>
      <c r="N17" t="s">
        <v>358</v>
      </c>
      <c r="O17" t="s">
        <v>359</v>
      </c>
      <c r="P17">
        <v>2662855</v>
      </c>
      <c r="Q17" t="s">
        <v>360</v>
      </c>
      <c r="R17" t="s">
        <v>361</v>
      </c>
      <c r="S17" t="s">
        <v>379</v>
      </c>
      <c r="T17" t="s">
        <v>363</v>
      </c>
      <c r="U17" t="s">
        <v>364</v>
      </c>
      <c r="V17" t="s">
        <v>365</v>
      </c>
      <c r="W17" t="s">
        <v>366</v>
      </c>
      <c r="X17" t="s">
        <v>380</v>
      </c>
      <c r="Y17">
        <v>890</v>
      </c>
      <c r="Z17">
        <v>915</v>
      </c>
      <c r="AA17" t="s">
        <v>381</v>
      </c>
      <c r="AB17" t="s">
        <v>382</v>
      </c>
      <c r="AC17">
        <v>41010100</v>
      </c>
      <c r="AD17">
        <v>86</v>
      </c>
      <c r="AE17">
        <v>8011</v>
      </c>
      <c r="AF17">
        <v>10</v>
      </c>
      <c r="AG17" t="s">
        <v>397</v>
      </c>
      <c r="AH17">
        <v>7280</v>
      </c>
      <c r="AI17" t="s">
        <v>383</v>
      </c>
      <c r="AJ17" t="s">
        <v>384</v>
      </c>
      <c r="AK17" t="s">
        <v>168</v>
      </c>
      <c r="AL17" t="s">
        <v>389</v>
      </c>
      <c r="AM17" t="s">
        <v>418</v>
      </c>
      <c r="AN17" t="s">
        <v>383</v>
      </c>
      <c r="AO17">
        <v>51000774412</v>
      </c>
      <c r="AP17" t="s">
        <v>419</v>
      </c>
      <c r="AQ17" t="s">
        <v>373</v>
      </c>
      <c r="AR17" t="s">
        <v>386</v>
      </c>
      <c r="AS17" t="s">
        <v>387</v>
      </c>
      <c r="AT17">
        <v>821.58</v>
      </c>
      <c r="AU17">
        <v>74405</v>
      </c>
      <c r="AV17">
        <v>821.58</v>
      </c>
      <c r="AW17">
        <v>74405</v>
      </c>
    </row>
    <row r="18" spans="1:49" hidden="1" x14ac:dyDescent="0.25">
      <c r="A18" t="s">
        <v>161</v>
      </c>
      <c r="B18">
        <v>202602</v>
      </c>
      <c r="C18">
        <v>2100007136</v>
      </c>
      <c r="D18" t="s">
        <v>356</v>
      </c>
      <c r="E18" t="s">
        <v>163</v>
      </c>
      <c r="F18" s="105">
        <v>46026</v>
      </c>
      <c r="G18" s="105">
        <v>46030</v>
      </c>
      <c r="H18" t="s">
        <v>378</v>
      </c>
      <c r="I18">
        <v>2</v>
      </c>
      <c r="J18">
        <v>-3197.33</v>
      </c>
      <c r="K18" t="s">
        <v>416</v>
      </c>
      <c r="L18">
        <v>2026</v>
      </c>
      <c r="M18" s="105">
        <v>46054</v>
      </c>
      <c r="N18" t="s">
        <v>358</v>
      </c>
      <c r="O18" t="s">
        <v>359</v>
      </c>
      <c r="P18">
        <v>2662855</v>
      </c>
      <c r="Q18" t="s">
        <v>360</v>
      </c>
      <c r="R18" t="s">
        <v>361</v>
      </c>
      <c r="S18" t="s">
        <v>379</v>
      </c>
      <c r="T18" t="s">
        <v>363</v>
      </c>
      <c r="U18" t="s">
        <v>364</v>
      </c>
      <c r="V18" t="s">
        <v>365</v>
      </c>
      <c r="W18" t="s">
        <v>366</v>
      </c>
      <c r="X18" t="s">
        <v>380</v>
      </c>
      <c r="Y18">
        <v>890</v>
      </c>
      <c r="Z18">
        <v>915</v>
      </c>
      <c r="AA18" t="s">
        <v>381</v>
      </c>
      <c r="AB18" t="s">
        <v>382</v>
      </c>
      <c r="AC18">
        <v>41010100</v>
      </c>
      <c r="AD18">
        <v>86</v>
      </c>
      <c r="AE18">
        <v>8011</v>
      </c>
      <c r="AF18">
        <v>10</v>
      </c>
      <c r="AG18" t="s">
        <v>369</v>
      </c>
      <c r="AH18">
        <v>7280</v>
      </c>
      <c r="AI18" t="s">
        <v>383</v>
      </c>
      <c r="AJ18" t="s">
        <v>384</v>
      </c>
      <c r="AK18" t="s">
        <v>163</v>
      </c>
      <c r="AL18" t="s">
        <v>385</v>
      </c>
      <c r="AM18" t="s">
        <v>378</v>
      </c>
      <c r="AN18" t="s">
        <v>383</v>
      </c>
      <c r="AO18">
        <v>210000713697</v>
      </c>
      <c r="AP18" t="s">
        <v>372</v>
      </c>
      <c r="AQ18" t="s">
        <v>373</v>
      </c>
      <c r="AR18" t="s">
        <v>386</v>
      </c>
      <c r="AS18" t="s">
        <v>387</v>
      </c>
      <c r="AT18">
        <v>-3197.33</v>
      </c>
      <c r="AU18">
        <v>-289560.44</v>
      </c>
      <c r="AV18">
        <v>-3197.33</v>
      </c>
      <c r="AW18">
        <v>-289560.44</v>
      </c>
    </row>
    <row r="19" spans="1:49" hidden="1" x14ac:dyDescent="0.25">
      <c r="A19" t="s">
        <v>161</v>
      </c>
      <c r="B19">
        <v>202602</v>
      </c>
      <c r="C19">
        <v>2100007151</v>
      </c>
      <c r="D19" t="s">
        <v>356</v>
      </c>
      <c r="E19" t="s">
        <v>163</v>
      </c>
      <c r="F19" s="105">
        <v>46047</v>
      </c>
      <c r="G19" s="105">
        <v>46045</v>
      </c>
      <c r="H19" t="s">
        <v>420</v>
      </c>
      <c r="I19">
        <v>2</v>
      </c>
      <c r="J19">
        <v>5775.82</v>
      </c>
      <c r="K19" t="s">
        <v>417</v>
      </c>
      <c r="L19">
        <v>2026</v>
      </c>
      <c r="M19" s="105">
        <v>46054</v>
      </c>
      <c r="N19" t="s">
        <v>358</v>
      </c>
      <c r="O19" t="s">
        <v>359</v>
      </c>
      <c r="P19">
        <v>2662855</v>
      </c>
      <c r="Q19" t="s">
        <v>360</v>
      </c>
      <c r="R19" t="s">
        <v>361</v>
      </c>
      <c r="S19" t="s">
        <v>379</v>
      </c>
      <c r="T19" t="s">
        <v>363</v>
      </c>
      <c r="U19" t="s">
        <v>364</v>
      </c>
      <c r="V19" t="s">
        <v>365</v>
      </c>
      <c r="W19" t="s">
        <v>366</v>
      </c>
      <c r="X19" t="s">
        <v>380</v>
      </c>
      <c r="Y19">
        <v>890</v>
      </c>
      <c r="Z19">
        <v>915</v>
      </c>
      <c r="AA19" t="s">
        <v>381</v>
      </c>
      <c r="AB19" t="s">
        <v>382</v>
      </c>
      <c r="AC19">
        <v>41010100</v>
      </c>
      <c r="AD19">
        <v>86</v>
      </c>
      <c r="AE19">
        <v>8011</v>
      </c>
      <c r="AF19">
        <v>10</v>
      </c>
      <c r="AG19" t="s">
        <v>369</v>
      </c>
      <c r="AH19">
        <v>7280</v>
      </c>
      <c r="AI19" t="s">
        <v>383</v>
      </c>
      <c r="AJ19" t="s">
        <v>384</v>
      </c>
      <c r="AK19" t="s">
        <v>163</v>
      </c>
      <c r="AL19" t="s">
        <v>385</v>
      </c>
      <c r="AM19" t="s">
        <v>420</v>
      </c>
      <c r="AN19" t="s">
        <v>383</v>
      </c>
      <c r="AO19">
        <v>2100007151107</v>
      </c>
      <c r="AP19" t="s">
        <v>372</v>
      </c>
      <c r="AQ19" t="s">
        <v>373</v>
      </c>
      <c r="AR19" t="s">
        <v>386</v>
      </c>
      <c r="AS19" t="s">
        <v>387</v>
      </c>
      <c r="AT19">
        <v>5775.82</v>
      </c>
      <c r="AU19">
        <v>523076.92</v>
      </c>
      <c r="AV19">
        <v>5775.82</v>
      </c>
      <c r="AW19">
        <v>523076.92</v>
      </c>
    </row>
    <row r="20" spans="1:49" hidden="1" x14ac:dyDescent="0.25">
      <c r="A20" t="s">
        <v>166</v>
      </c>
      <c r="B20">
        <v>202602</v>
      </c>
      <c r="C20">
        <v>2100007137</v>
      </c>
      <c r="D20" t="s">
        <v>356</v>
      </c>
      <c r="E20" t="s">
        <v>168</v>
      </c>
      <c r="F20" s="105">
        <v>46026</v>
      </c>
      <c r="G20" s="105">
        <v>46030</v>
      </c>
      <c r="H20" t="s">
        <v>388</v>
      </c>
      <c r="I20">
        <v>2</v>
      </c>
      <c r="J20">
        <v>-839.64</v>
      </c>
      <c r="K20" t="s">
        <v>416</v>
      </c>
      <c r="L20">
        <v>2026</v>
      </c>
      <c r="M20" s="105">
        <v>46054</v>
      </c>
      <c r="N20" t="s">
        <v>358</v>
      </c>
      <c r="O20" t="s">
        <v>359</v>
      </c>
      <c r="P20">
        <v>2662855</v>
      </c>
      <c r="Q20" t="s">
        <v>360</v>
      </c>
      <c r="R20" t="s">
        <v>361</v>
      </c>
      <c r="S20" t="s">
        <v>379</v>
      </c>
      <c r="T20" t="s">
        <v>363</v>
      </c>
      <c r="U20" t="s">
        <v>364</v>
      </c>
      <c r="V20" t="s">
        <v>365</v>
      </c>
      <c r="W20" t="s">
        <v>366</v>
      </c>
      <c r="X20" t="s">
        <v>380</v>
      </c>
      <c r="Y20">
        <v>890</v>
      </c>
      <c r="Z20">
        <v>915</v>
      </c>
      <c r="AA20" t="s">
        <v>381</v>
      </c>
      <c r="AB20" t="s">
        <v>382</v>
      </c>
      <c r="AC20">
        <v>41010100</v>
      </c>
      <c r="AD20">
        <v>86</v>
      </c>
      <c r="AE20">
        <v>8011</v>
      </c>
      <c r="AF20">
        <v>10</v>
      </c>
      <c r="AG20" t="s">
        <v>369</v>
      </c>
      <c r="AH20">
        <v>7280</v>
      </c>
      <c r="AI20" t="s">
        <v>383</v>
      </c>
      <c r="AJ20" t="s">
        <v>384</v>
      </c>
      <c r="AK20" t="s">
        <v>168</v>
      </c>
      <c r="AL20" t="s">
        <v>389</v>
      </c>
      <c r="AM20" t="s">
        <v>388</v>
      </c>
      <c r="AN20" t="s">
        <v>383</v>
      </c>
      <c r="AO20">
        <v>2100007137125</v>
      </c>
      <c r="AP20" t="s">
        <v>372</v>
      </c>
      <c r="AQ20" t="s">
        <v>373</v>
      </c>
      <c r="AR20" t="s">
        <v>386</v>
      </c>
      <c r="AS20" t="s">
        <v>387</v>
      </c>
      <c r="AT20">
        <v>-839.64</v>
      </c>
      <c r="AU20">
        <v>-76040.27</v>
      </c>
      <c r="AV20">
        <v>-839.64</v>
      </c>
      <c r="AW20">
        <v>-76040.27</v>
      </c>
    </row>
    <row r="21" spans="1:49" hidden="1" x14ac:dyDescent="0.25">
      <c r="A21" t="s">
        <v>166</v>
      </c>
      <c r="B21">
        <v>202602</v>
      </c>
      <c r="C21">
        <v>2100007152</v>
      </c>
      <c r="D21" t="s">
        <v>356</v>
      </c>
      <c r="E21" t="s">
        <v>168</v>
      </c>
      <c r="F21" s="105">
        <v>46047</v>
      </c>
      <c r="G21" s="105">
        <v>46045</v>
      </c>
      <c r="H21" t="s">
        <v>421</v>
      </c>
      <c r="I21">
        <v>2</v>
      </c>
      <c r="J21">
        <v>695.18</v>
      </c>
      <c r="K21" t="s">
        <v>417</v>
      </c>
      <c r="L21">
        <v>2026</v>
      </c>
      <c r="M21" s="105">
        <v>46054</v>
      </c>
      <c r="N21" t="s">
        <v>358</v>
      </c>
      <c r="O21" t="s">
        <v>359</v>
      </c>
      <c r="P21">
        <v>2662855</v>
      </c>
      <c r="Q21" t="s">
        <v>360</v>
      </c>
      <c r="R21" t="s">
        <v>361</v>
      </c>
      <c r="S21" t="s">
        <v>379</v>
      </c>
      <c r="T21" t="s">
        <v>363</v>
      </c>
      <c r="U21" t="s">
        <v>364</v>
      </c>
      <c r="V21" t="s">
        <v>365</v>
      </c>
      <c r="W21" t="s">
        <v>366</v>
      </c>
      <c r="X21" t="s">
        <v>380</v>
      </c>
      <c r="Y21">
        <v>890</v>
      </c>
      <c r="Z21">
        <v>915</v>
      </c>
      <c r="AA21" t="s">
        <v>381</v>
      </c>
      <c r="AB21" t="s">
        <v>382</v>
      </c>
      <c r="AC21">
        <v>41010100</v>
      </c>
      <c r="AD21">
        <v>86</v>
      </c>
      <c r="AE21">
        <v>8011</v>
      </c>
      <c r="AF21">
        <v>10</v>
      </c>
      <c r="AG21" t="s">
        <v>369</v>
      </c>
      <c r="AH21">
        <v>7280</v>
      </c>
      <c r="AI21" t="s">
        <v>383</v>
      </c>
      <c r="AJ21" t="s">
        <v>384</v>
      </c>
      <c r="AK21" t="s">
        <v>168</v>
      </c>
      <c r="AL21" t="s">
        <v>389</v>
      </c>
      <c r="AM21" t="s">
        <v>421</v>
      </c>
      <c r="AN21" t="s">
        <v>383</v>
      </c>
      <c r="AO21">
        <v>2100007152152</v>
      </c>
      <c r="AP21" t="s">
        <v>372</v>
      </c>
      <c r="AQ21" t="s">
        <v>373</v>
      </c>
      <c r="AR21" t="s">
        <v>386</v>
      </c>
      <c r="AS21" t="s">
        <v>387</v>
      </c>
      <c r="AT21">
        <v>695.18</v>
      </c>
      <c r="AU21">
        <v>62958.080000000002</v>
      </c>
      <c r="AV21">
        <v>695.18</v>
      </c>
      <c r="AW21">
        <v>62958.080000000002</v>
      </c>
    </row>
    <row r="22" spans="1:49" hidden="1" x14ac:dyDescent="0.25">
      <c r="A22" t="s">
        <v>100</v>
      </c>
      <c r="B22">
        <v>202602</v>
      </c>
      <c r="C22">
        <v>5107816713</v>
      </c>
      <c r="D22" t="s">
        <v>101</v>
      </c>
      <c r="E22" t="s">
        <v>422</v>
      </c>
      <c r="F22" s="105">
        <v>45943</v>
      </c>
      <c r="G22" s="105">
        <v>46070</v>
      </c>
      <c r="H22" t="s">
        <v>423</v>
      </c>
      <c r="I22">
        <v>2</v>
      </c>
      <c r="J22">
        <v>-118715.37</v>
      </c>
      <c r="K22" t="s">
        <v>391</v>
      </c>
      <c r="L22">
        <v>2026</v>
      </c>
      <c r="M22" s="105">
        <v>46054</v>
      </c>
      <c r="N22" t="s">
        <v>358</v>
      </c>
      <c r="O22" t="s">
        <v>392</v>
      </c>
      <c r="P22">
        <v>2320843</v>
      </c>
      <c r="Q22" t="s">
        <v>360</v>
      </c>
      <c r="R22" t="s">
        <v>361</v>
      </c>
      <c r="S22" t="s">
        <v>424</v>
      </c>
      <c r="T22" t="s">
        <v>363</v>
      </c>
      <c r="U22" t="s">
        <v>364</v>
      </c>
      <c r="V22" t="s">
        <v>365</v>
      </c>
      <c r="W22" t="s">
        <v>366</v>
      </c>
      <c r="X22" t="s">
        <v>425</v>
      </c>
      <c r="Y22">
        <v>890</v>
      </c>
      <c r="Z22">
        <v>901</v>
      </c>
      <c r="AA22" t="s">
        <v>395</v>
      </c>
      <c r="AB22" t="s">
        <v>396</v>
      </c>
      <c r="AC22">
        <v>61010000</v>
      </c>
      <c r="AD22">
        <v>86</v>
      </c>
      <c r="AE22">
        <v>8011</v>
      </c>
      <c r="AF22">
        <v>10</v>
      </c>
      <c r="AG22" t="s">
        <v>397</v>
      </c>
      <c r="AH22">
        <v>1400</v>
      </c>
      <c r="AI22" t="s">
        <v>398</v>
      </c>
      <c r="AJ22" t="s">
        <v>399</v>
      </c>
      <c r="AK22" t="s">
        <v>426</v>
      </c>
      <c r="AL22" t="s">
        <v>422</v>
      </c>
      <c r="AM22" t="s">
        <v>423</v>
      </c>
      <c r="AN22" t="s">
        <v>427</v>
      </c>
      <c r="AO22">
        <v>51078167132</v>
      </c>
      <c r="AP22" t="s">
        <v>428</v>
      </c>
      <c r="AQ22" t="s">
        <v>373</v>
      </c>
      <c r="AR22" t="s">
        <v>401</v>
      </c>
      <c r="AS22" t="s">
        <v>373</v>
      </c>
      <c r="AT22">
        <v>-118715.37</v>
      </c>
      <c r="AU22">
        <v>-118715.37</v>
      </c>
      <c r="AV22">
        <v>-118715.37</v>
      </c>
      <c r="AW22">
        <v>-118715.37</v>
      </c>
    </row>
    <row r="23" spans="1:49" hidden="1" x14ac:dyDescent="0.25">
      <c r="A23" t="s">
        <v>209</v>
      </c>
      <c r="B23">
        <v>202602</v>
      </c>
      <c r="C23">
        <v>5107824218</v>
      </c>
      <c r="D23" t="s">
        <v>101</v>
      </c>
      <c r="E23" t="s">
        <v>211</v>
      </c>
      <c r="F23" s="105">
        <v>46043</v>
      </c>
      <c r="G23" s="105">
        <v>46072</v>
      </c>
      <c r="H23" t="s">
        <v>390</v>
      </c>
      <c r="I23">
        <v>2</v>
      </c>
      <c r="J23">
        <v>122914.66</v>
      </c>
      <c r="K23" t="s">
        <v>391</v>
      </c>
      <c r="L23">
        <v>2026</v>
      </c>
      <c r="M23" s="105">
        <v>46054</v>
      </c>
      <c r="N23" t="s">
        <v>358</v>
      </c>
      <c r="O23" t="s">
        <v>392</v>
      </c>
      <c r="P23">
        <v>2321403</v>
      </c>
      <c r="Q23" t="s">
        <v>360</v>
      </c>
      <c r="R23" t="s">
        <v>361</v>
      </c>
      <c r="S23" t="s">
        <v>393</v>
      </c>
      <c r="T23" t="s">
        <v>363</v>
      </c>
      <c r="U23" t="s">
        <v>364</v>
      </c>
      <c r="V23" t="s">
        <v>365</v>
      </c>
      <c r="W23" t="s">
        <v>366</v>
      </c>
      <c r="X23" t="s">
        <v>394</v>
      </c>
      <c r="Y23">
        <v>890</v>
      </c>
      <c r="Z23">
        <v>901</v>
      </c>
      <c r="AA23" t="s">
        <v>395</v>
      </c>
      <c r="AB23" t="s">
        <v>396</v>
      </c>
      <c r="AC23">
        <v>61010000</v>
      </c>
      <c r="AD23">
        <v>86</v>
      </c>
      <c r="AE23">
        <v>8011</v>
      </c>
      <c r="AF23">
        <v>10</v>
      </c>
      <c r="AG23" t="s">
        <v>397</v>
      </c>
      <c r="AH23">
        <v>1400</v>
      </c>
      <c r="AI23" t="s">
        <v>398</v>
      </c>
      <c r="AJ23" t="s">
        <v>399</v>
      </c>
      <c r="AK23" t="s">
        <v>211</v>
      </c>
      <c r="AL23" t="s">
        <v>210</v>
      </c>
      <c r="AM23" t="s">
        <v>390</v>
      </c>
      <c r="AN23" t="s">
        <v>400</v>
      </c>
      <c r="AO23">
        <v>51078242182</v>
      </c>
      <c r="AP23">
        <v>102330389</v>
      </c>
      <c r="AQ23" t="s">
        <v>373</v>
      </c>
      <c r="AR23" t="s">
        <v>401</v>
      </c>
      <c r="AS23" t="s">
        <v>373</v>
      </c>
      <c r="AT23">
        <v>122914.66</v>
      </c>
      <c r="AU23">
        <v>122914.66</v>
      </c>
      <c r="AV23">
        <v>122914.66</v>
      </c>
      <c r="AW23">
        <v>122914.66</v>
      </c>
    </row>
    <row r="24" spans="1:49" hidden="1" x14ac:dyDescent="0.25">
      <c r="A24" t="s">
        <v>209</v>
      </c>
      <c r="B24">
        <v>202602</v>
      </c>
      <c r="C24">
        <v>5107824226</v>
      </c>
      <c r="D24" t="s">
        <v>101</v>
      </c>
      <c r="E24" t="s">
        <v>211</v>
      </c>
      <c r="F24" s="105">
        <v>46021</v>
      </c>
      <c r="G24" s="105">
        <v>46072</v>
      </c>
      <c r="H24" t="s">
        <v>390</v>
      </c>
      <c r="I24">
        <v>2</v>
      </c>
      <c r="J24">
        <v>-30728.67</v>
      </c>
      <c r="K24" t="s">
        <v>391</v>
      </c>
      <c r="L24">
        <v>2026</v>
      </c>
      <c r="M24" s="105">
        <v>46054</v>
      </c>
      <c r="N24" t="s">
        <v>358</v>
      </c>
      <c r="O24" t="s">
        <v>392</v>
      </c>
      <c r="P24">
        <v>2321403</v>
      </c>
      <c r="Q24" t="s">
        <v>360</v>
      </c>
      <c r="R24" t="s">
        <v>361</v>
      </c>
      <c r="S24" t="s">
        <v>393</v>
      </c>
      <c r="T24" t="s">
        <v>363</v>
      </c>
      <c r="U24" t="s">
        <v>364</v>
      </c>
      <c r="V24" t="s">
        <v>365</v>
      </c>
      <c r="W24" t="s">
        <v>366</v>
      </c>
      <c r="X24" t="s">
        <v>394</v>
      </c>
      <c r="Y24">
        <v>890</v>
      </c>
      <c r="Z24">
        <v>901</v>
      </c>
      <c r="AA24" t="s">
        <v>395</v>
      </c>
      <c r="AB24" t="s">
        <v>396</v>
      </c>
      <c r="AC24">
        <v>61010000</v>
      </c>
      <c r="AD24">
        <v>86</v>
      </c>
      <c r="AE24">
        <v>8011</v>
      </c>
      <c r="AF24">
        <v>10</v>
      </c>
      <c r="AG24" t="s">
        <v>397</v>
      </c>
      <c r="AH24">
        <v>1400</v>
      </c>
      <c r="AI24" t="s">
        <v>398</v>
      </c>
      <c r="AJ24" t="s">
        <v>399</v>
      </c>
      <c r="AK24" t="s">
        <v>211</v>
      </c>
      <c r="AL24" t="s">
        <v>210</v>
      </c>
      <c r="AM24" t="s">
        <v>390</v>
      </c>
      <c r="AN24" t="s">
        <v>400</v>
      </c>
      <c r="AO24">
        <v>51078242262</v>
      </c>
      <c r="AP24" t="s">
        <v>429</v>
      </c>
      <c r="AQ24" t="s">
        <v>373</v>
      </c>
      <c r="AR24" t="s">
        <v>401</v>
      </c>
      <c r="AS24" t="s">
        <v>373</v>
      </c>
      <c r="AT24">
        <v>-30728.67</v>
      </c>
      <c r="AU24">
        <v>-30728.67</v>
      </c>
      <c r="AV24">
        <v>-30728.67</v>
      </c>
      <c r="AW24">
        <v>-30728.67</v>
      </c>
    </row>
    <row r="25" spans="1:49" hidden="1" x14ac:dyDescent="0.25">
      <c r="A25" t="s">
        <v>209</v>
      </c>
      <c r="B25">
        <v>202602</v>
      </c>
      <c r="C25">
        <v>5107790852</v>
      </c>
      <c r="D25" t="s">
        <v>430</v>
      </c>
      <c r="E25" t="s">
        <v>211</v>
      </c>
      <c r="F25" s="105">
        <v>46058</v>
      </c>
      <c r="G25" s="105">
        <v>46059</v>
      </c>
      <c r="H25" t="s">
        <v>390</v>
      </c>
      <c r="I25">
        <v>2</v>
      </c>
      <c r="J25">
        <v>23578.17</v>
      </c>
      <c r="K25" t="s">
        <v>391</v>
      </c>
      <c r="L25">
        <v>2026</v>
      </c>
      <c r="M25" s="105">
        <v>46054</v>
      </c>
      <c r="N25" t="s">
        <v>358</v>
      </c>
      <c r="O25" t="s">
        <v>392</v>
      </c>
      <c r="P25">
        <v>2321403</v>
      </c>
      <c r="Q25" t="s">
        <v>360</v>
      </c>
      <c r="R25" t="s">
        <v>361</v>
      </c>
      <c r="S25" t="s">
        <v>393</v>
      </c>
      <c r="T25" t="s">
        <v>363</v>
      </c>
      <c r="U25" t="s">
        <v>364</v>
      </c>
      <c r="V25" t="s">
        <v>365</v>
      </c>
      <c r="W25" t="s">
        <v>366</v>
      </c>
      <c r="X25" t="s">
        <v>394</v>
      </c>
      <c r="Y25">
        <v>890</v>
      </c>
      <c r="Z25">
        <v>901</v>
      </c>
      <c r="AA25" t="s">
        <v>395</v>
      </c>
      <c r="AB25" t="s">
        <v>396</v>
      </c>
      <c r="AC25">
        <v>61010000</v>
      </c>
      <c r="AD25">
        <v>86</v>
      </c>
      <c r="AE25">
        <v>8011</v>
      </c>
      <c r="AF25">
        <v>10</v>
      </c>
      <c r="AG25" t="s">
        <v>397</v>
      </c>
      <c r="AH25">
        <v>1400</v>
      </c>
      <c r="AI25" t="s">
        <v>398</v>
      </c>
      <c r="AJ25" t="s">
        <v>399</v>
      </c>
      <c r="AK25" t="s">
        <v>211</v>
      </c>
      <c r="AL25" t="s">
        <v>210</v>
      </c>
      <c r="AM25" t="s">
        <v>390</v>
      </c>
      <c r="AN25" t="s">
        <v>400</v>
      </c>
      <c r="AO25">
        <v>51077908522</v>
      </c>
      <c r="AP25">
        <v>102361943</v>
      </c>
      <c r="AQ25" t="s">
        <v>373</v>
      </c>
      <c r="AR25" t="s">
        <v>401</v>
      </c>
      <c r="AS25" t="s">
        <v>373</v>
      </c>
      <c r="AT25">
        <v>23578.17</v>
      </c>
      <c r="AU25">
        <v>23578.17</v>
      </c>
      <c r="AV25">
        <v>23578.17</v>
      </c>
      <c r="AW25">
        <v>23578.17</v>
      </c>
    </row>
    <row r="26" spans="1:49" x14ac:dyDescent="0.25">
      <c r="A26" t="s">
        <v>174</v>
      </c>
      <c r="B26">
        <v>202602</v>
      </c>
      <c r="C26">
        <v>5107791558</v>
      </c>
      <c r="D26" t="s">
        <v>431</v>
      </c>
      <c r="E26" t="s">
        <v>176</v>
      </c>
      <c r="F26" s="105">
        <v>46058</v>
      </c>
      <c r="G26" s="105">
        <v>46062</v>
      </c>
      <c r="H26" t="s">
        <v>432</v>
      </c>
      <c r="I26">
        <v>2</v>
      </c>
      <c r="J26">
        <v>387633.33</v>
      </c>
      <c r="K26" t="s">
        <v>391</v>
      </c>
      <c r="L26">
        <v>2026</v>
      </c>
      <c r="M26" s="105">
        <v>46054</v>
      </c>
      <c r="N26" t="s">
        <v>358</v>
      </c>
      <c r="O26" t="s">
        <v>392</v>
      </c>
      <c r="P26">
        <v>2321403</v>
      </c>
      <c r="Q26" t="s">
        <v>360</v>
      </c>
      <c r="R26" t="s">
        <v>361</v>
      </c>
      <c r="S26" t="s">
        <v>393</v>
      </c>
      <c r="T26" t="s">
        <v>363</v>
      </c>
      <c r="U26" t="s">
        <v>364</v>
      </c>
      <c r="V26" t="s">
        <v>365</v>
      </c>
      <c r="W26" t="s">
        <v>366</v>
      </c>
      <c r="X26" t="s">
        <v>394</v>
      </c>
      <c r="Y26">
        <v>890</v>
      </c>
      <c r="Z26">
        <v>923</v>
      </c>
      <c r="AA26" t="s">
        <v>368</v>
      </c>
      <c r="AB26" t="s">
        <v>368</v>
      </c>
      <c r="AC26">
        <v>41500000</v>
      </c>
      <c r="AD26">
        <v>86</v>
      </c>
      <c r="AE26">
        <v>8011</v>
      </c>
      <c r="AF26">
        <v>10</v>
      </c>
      <c r="AG26" t="s">
        <v>397</v>
      </c>
      <c r="AH26">
        <v>1400</v>
      </c>
      <c r="AI26" t="s">
        <v>398</v>
      </c>
      <c r="AJ26" t="s">
        <v>399</v>
      </c>
      <c r="AK26" t="s">
        <v>176</v>
      </c>
      <c r="AL26" t="s">
        <v>405</v>
      </c>
      <c r="AM26" t="s">
        <v>432</v>
      </c>
      <c r="AN26" t="s">
        <v>406</v>
      </c>
      <c r="AO26">
        <v>51077915582</v>
      </c>
      <c r="AP26" t="s">
        <v>433</v>
      </c>
      <c r="AQ26" t="s">
        <v>373</v>
      </c>
      <c r="AR26" t="s">
        <v>401</v>
      </c>
      <c r="AS26" t="s">
        <v>373</v>
      </c>
      <c r="AT26">
        <v>387633.33</v>
      </c>
      <c r="AU26">
        <v>387633.33</v>
      </c>
      <c r="AV26">
        <v>387633.33</v>
      </c>
      <c r="AW26">
        <v>387633.33</v>
      </c>
    </row>
    <row r="27" spans="1:49" hidden="1" x14ac:dyDescent="0.25">
      <c r="A27" t="s">
        <v>205</v>
      </c>
      <c r="B27">
        <v>202602</v>
      </c>
      <c r="C27">
        <v>5107789162</v>
      </c>
      <c r="D27" t="s">
        <v>431</v>
      </c>
      <c r="E27" t="s">
        <v>206</v>
      </c>
      <c r="F27" s="105">
        <v>46058</v>
      </c>
      <c r="G27" s="105">
        <v>46058</v>
      </c>
      <c r="H27" t="s">
        <v>434</v>
      </c>
      <c r="I27">
        <v>2</v>
      </c>
      <c r="J27">
        <v>31350</v>
      </c>
      <c r="K27" t="s">
        <v>391</v>
      </c>
      <c r="L27">
        <v>2026</v>
      </c>
      <c r="M27" s="105">
        <v>46054</v>
      </c>
      <c r="N27" t="s">
        <v>358</v>
      </c>
      <c r="O27" t="s">
        <v>392</v>
      </c>
      <c r="P27">
        <v>2321403</v>
      </c>
      <c r="Q27" t="s">
        <v>360</v>
      </c>
      <c r="R27" t="s">
        <v>361</v>
      </c>
      <c r="S27" t="s">
        <v>393</v>
      </c>
      <c r="T27" t="s">
        <v>363</v>
      </c>
      <c r="U27" t="s">
        <v>364</v>
      </c>
      <c r="V27" t="s">
        <v>365</v>
      </c>
      <c r="W27" t="s">
        <v>366</v>
      </c>
      <c r="X27" t="s">
        <v>394</v>
      </c>
      <c r="Y27">
        <v>890</v>
      </c>
      <c r="Z27">
        <v>923</v>
      </c>
      <c r="AA27" t="s">
        <v>368</v>
      </c>
      <c r="AB27" t="s">
        <v>368</v>
      </c>
      <c r="AC27">
        <v>41500000</v>
      </c>
      <c r="AD27">
        <v>86</v>
      </c>
      <c r="AE27">
        <v>8011</v>
      </c>
      <c r="AF27">
        <v>10</v>
      </c>
      <c r="AG27" t="s">
        <v>397</v>
      </c>
      <c r="AH27">
        <v>1400</v>
      </c>
      <c r="AI27" t="s">
        <v>398</v>
      </c>
      <c r="AJ27" t="s">
        <v>399</v>
      </c>
      <c r="AK27" t="s">
        <v>206</v>
      </c>
      <c r="AL27" t="s">
        <v>411</v>
      </c>
      <c r="AM27" t="s">
        <v>434</v>
      </c>
      <c r="AN27" t="s">
        <v>406</v>
      </c>
      <c r="AO27">
        <v>51077891622</v>
      </c>
      <c r="AP27" t="s">
        <v>435</v>
      </c>
      <c r="AQ27" t="s">
        <v>373</v>
      </c>
      <c r="AR27" t="s">
        <v>401</v>
      </c>
      <c r="AS27" t="s">
        <v>373</v>
      </c>
      <c r="AT27">
        <v>31350</v>
      </c>
      <c r="AU27">
        <v>31350</v>
      </c>
      <c r="AV27">
        <v>31350</v>
      </c>
      <c r="AW27">
        <v>31350</v>
      </c>
    </row>
    <row r="28" spans="1:49" x14ac:dyDescent="0.25">
      <c r="A28" t="s">
        <v>174</v>
      </c>
      <c r="B28">
        <v>202602</v>
      </c>
      <c r="C28">
        <v>2100082457</v>
      </c>
      <c r="D28" t="s">
        <v>356</v>
      </c>
      <c r="E28" t="s">
        <v>176</v>
      </c>
      <c r="F28" s="105">
        <v>46048</v>
      </c>
      <c r="G28" s="105">
        <v>46055</v>
      </c>
      <c r="H28" t="s">
        <v>404</v>
      </c>
      <c r="I28">
        <v>2</v>
      </c>
      <c r="J28">
        <v>-319478.03000000003</v>
      </c>
      <c r="K28" t="s">
        <v>416</v>
      </c>
      <c r="L28">
        <v>2026</v>
      </c>
      <c r="M28" s="105">
        <v>46054</v>
      </c>
      <c r="N28" t="s">
        <v>358</v>
      </c>
      <c r="O28" t="s">
        <v>392</v>
      </c>
      <c r="P28">
        <v>2321403</v>
      </c>
      <c r="Q28" t="s">
        <v>360</v>
      </c>
      <c r="R28" t="s">
        <v>361</v>
      </c>
      <c r="S28" t="s">
        <v>393</v>
      </c>
      <c r="T28" t="s">
        <v>363</v>
      </c>
      <c r="U28" t="s">
        <v>364</v>
      </c>
      <c r="V28" t="s">
        <v>365</v>
      </c>
      <c r="W28" t="s">
        <v>366</v>
      </c>
      <c r="X28" t="s">
        <v>394</v>
      </c>
      <c r="Y28">
        <v>890</v>
      </c>
      <c r="Z28">
        <v>923</v>
      </c>
      <c r="AA28" t="s">
        <v>368</v>
      </c>
      <c r="AB28" t="s">
        <v>368</v>
      </c>
      <c r="AC28">
        <v>41500000</v>
      </c>
      <c r="AD28">
        <v>86</v>
      </c>
      <c r="AE28">
        <v>8011</v>
      </c>
      <c r="AF28">
        <v>10</v>
      </c>
      <c r="AG28" t="s">
        <v>369</v>
      </c>
      <c r="AH28">
        <v>1400</v>
      </c>
      <c r="AI28" t="s">
        <v>398</v>
      </c>
      <c r="AJ28" t="s">
        <v>399</v>
      </c>
      <c r="AK28" t="s">
        <v>176</v>
      </c>
      <c r="AL28" t="s">
        <v>405</v>
      </c>
      <c r="AM28" t="s">
        <v>404</v>
      </c>
      <c r="AN28" t="s">
        <v>406</v>
      </c>
      <c r="AO28">
        <v>210008245735</v>
      </c>
      <c r="AP28" t="s">
        <v>407</v>
      </c>
      <c r="AQ28" t="s">
        <v>373</v>
      </c>
      <c r="AR28" t="s">
        <v>401</v>
      </c>
      <c r="AS28" t="s">
        <v>373</v>
      </c>
      <c r="AT28">
        <v>-319478.03000000003</v>
      </c>
      <c r="AU28">
        <v>-319478.03000000003</v>
      </c>
      <c r="AV28">
        <v>-319478.03000000003</v>
      </c>
      <c r="AW28">
        <v>-319478.03000000003</v>
      </c>
    </row>
    <row r="29" spans="1:49" x14ac:dyDescent="0.25">
      <c r="A29" t="s">
        <v>174</v>
      </c>
      <c r="B29">
        <v>202602</v>
      </c>
      <c r="C29">
        <v>2100082476</v>
      </c>
      <c r="D29" t="s">
        <v>356</v>
      </c>
      <c r="E29" t="s">
        <v>176</v>
      </c>
      <c r="F29" s="105">
        <v>46049</v>
      </c>
      <c r="G29" s="105">
        <v>46055</v>
      </c>
      <c r="H29" t="s">
        <v>408</v>
      </c>
      <c r="I29">
        <v>2</v>
      </c>
      <c r="J29">
        <v>-68155.31</v>
      </c>
      <c r="K29" t="s">
        <v>416</v>
      </c>
      <c r="L29">
        <v>2026</v>
      </c>
      <c r="M29" s="105">
        <v>46054</v>
      </c>
      <c r="N29" t="s">
        <v>358</v>
      </c>
      <c r="O29" t="s">
        <v>392</v>
      </c>
      <c r="P29">
        <v>2321403</v>
      </c>
      <c r="Q29" t="s">
        <v>360</v>
      </c>
      <c r="R29" t="s">
        <v>361</v>
      </c>
      <c r="S29" t="s">
        <v>393</v>
      </c>
      <c r="T29" t="s">
        <v>363</v>
      </c>
      <c r="U29" t="s">
        <v>364</v>
      </c>
      <c r="V29" t="s">
        <v>365</v>
      </c>
      <c r="W29" t="s">
        <v>366</v>
      </c>
      <c r="X29" t="s">
        <v>394</v>
      </c>
      <c r="Y29">
        <v>890</v>
      </c>
      <c r="Z29">
        <v>923</v>
      </c>
      <c r="AA29" t="s">
        <v>368</v>
      </c>
      <c r="AB29" t="s">
        <v>368</v>
      </c>
      <c r="AC29">
        <v>41500000</v>
      </c>
      <c r="AD29">
        <v>86</v>
      </c>
      <c r="AE29">
        <v>8011</v>
      </c>
      <c r="AF29">
        <v>10</v>
      </c>
      <c r="AG29" t="s">
        <v>369</v>
      </c>
      <c r="AH29">
        <v>1400</v>
      </c>
      <c r="AI29" t="s">
        <v>398</v>
      </c>
      <c r="AJ29" t="s">
        <v>399</v>
      </c>
      <c r="AK29" t="s">
        <v>176</v>
      </c>
      <c r="AL29" t="s">
        <v>405</v>
      </c>
      <c r="AM29" t="s">
        <v>408</v>
      </c>
      <c r="AN29" t="s">
        <v>406</v>
      </c>
      <c r="AO29">
        <v>210008247651</v>
      </c>
      <c r="AP29" t="s">
        <v>409</v>
      </c>
      <c r="AQ29" t="s">
        <v>373</v>
      </c>
      <c r="AR29" t="s">
        <v>401</v>
      </c>
      <c r="AS29" t="s">
        <v>373</v>
      </c>
      <c r="AT29">
        <v>-68155.31</v>
      </c>
      <c r="AU29">
        <v>-68155.31</v>
      </c>
      <c r="AV29">
        <v>-68155.31</v>
      </c>
      <c r="AW29">
        <v>-68155.31</v>
      </c>
    </row>
    <row r="30" spans="1:49" x14ac:dyDescent="0.25">
      <c r="A30" t="s">
        <v>174</v>
      </c>
      <c r="B30">
        <v>202602</v>
      </c>
      <c r="C30">
        <v>2100082608</v>
      </c>
      <c r="D30" t="s">
        <v>356</v>
      </c>
      <c r="E30" t="s">
        <v>176</v>
      </c>
      <c r="F30" s="105">
        <v>46076</v>
      </c>
      <c r="G30" s="105">
        <v>46068</v>
      </c>
      <c r="H30" t="s">
        <v>404</v>
      </c>
      <c r="I30">
        <v>2</v>
      </c>
      <c r="J30">
        <v>289660.08</v>
      </c>
      <c r="K30" t="s">
        <v>417</v>
      </c>
      <c r="L30">
        <v>2026</v>
      </c>
      <c r="M30" s="105">
        <v>46054</v>
      </c>
      <c r="N30" t="s">
        <v>358</v>
      </c>
      <c r="O30" t="s">
        <v>392</v>
      </c>
      <c r="P30">
        <v>2321403</v>
      </c>
      <c r="Q30" t="s">
        <v>360</v>
      </c>
      <c r="R30" t="s">
        <v>361</v>
      </c>
      <c r="S30" t="s">
        <v>393</v>
      </c>
      <c r="T30" t="s">
        <v>363</v>
      </c>
      <c r="U30" t="s">
        <v>364</v>
      </c>
      <c r="V30" t="s">
        <v>365</v>
      </c>
      <c r="W30" t="s">
        <v>366</v>
      </c>
      <c r="X30" t="s">
        <v>394</v>
      </c>
      <c r="Y30">
        <v>890</v>
      </c>
      <c r="Z30">
        <v>923</v>
      </c>
      <c r="AA30" t="s">
        <v>368</v>
      </c>
      <c r="AB30" t="s">
        <v>368</v>
      </c>
      <c r="AC30">
        <v>41500000</v>
      </c>
      <c r="AD30">
        <v>86</v>
      </c>
      <c r="AE30">
        <v>8011</v>
      </c>
      <c r="AF30">
        <v>10</v>
      </c>
      <c r="AG30" t="s">
        <v>369</v>
      </c>
      <c r="AH30">
        <v>1400</v>
      </c>
      <c r="AI30" t="s">
        <v>398</v>
      </c>
      <c r="AJ30" t="s">
        <v>399</v>
      </c>
      <c r="AK30" t="s">
        <v>176</v>
      </c>
      <c r="AL30" t="s">
        <v>405</v>
      </c>
      <c r="AM30" t="s">
        <v>404</v>
      </c>
      <c r="AN30" t="s">
        <v>406</v>
      </c>
      <c r="AO30">
        <v>2100082608130</v>
      </c>
      <c r="AP30" t="s">
        <v>407</v>
      </c>
      <c r="AQ30" t="s">
        <v>373</v>
      </c>
      <c r="AR30" t="s">
        <v>401</v>
      </c>
      <c r="AS30" t="s">
        <v>373</v>
      </c>
      <c r="AT30">
        <v>289660.08</v>
      </c>
      <c r="AU30">
        <v>289660.08</v>
      </c>
      <c r="AV30">
        <v>289660.08</v>
      </c>
      <c r="AW30">
        <v>289660.08</v>
      </c>
    </row>
    <row r="31" spans="1:49" hidden="1" x14ac:dyDescent="0.25">
      <c r="A31" t="s">
        <v>178</v>
      </c>
      <c r="B31">
        <v>202602</v>
      </c>
      <c r="C31">
        <v>2100082619</v>
      </c>
      <c r="D31" t="s">
        <v>356</v>
      </c>
      <c r="E31" t="s">
        <v>176</v>
      </c>
      <c r="F31" s="105">
        <v>46076</v>
      </c>
      <c r="G31" s="105">
        <v>46068</v>
      </c>
      <c r="H31" t="s">
        <v>436</v>
      </c>
      <c r="I31">
        <v>2</v>
      </c>
      <c r="J31">
        <v>17269.740000000002</v>
      </c>
      <c r="K31" t="s">
        <v>417</v>
      </c>
      <c r="L31">
        <v>2026</v>
      </c>
      <c r="M31" s="105">
        <v>46054</v>
      </c>
      <c r="N31" t="s">
        <v>358</v>
      </c>
      <c r="O31" t="s">
        <v>392</v>
      </c>
      <c r="P31">
        <v>2321403</v>
      </c>
      <c r="Q31" t="s">
        <v>360</v>
      </c>
      <c r="R31" t="s">
        <v>361</v>
      </c>
      <c r="S31" t="s">
        <v>393</v>
      </c>
      <c r="T31" t="s">
        <v>363</v>
      </c>
      <c r="U31" t="s">
        <v>364</v>
      </c>
      <c r="V31" t="s">
        <v>365</v>
      </c>
      <c r="W31" t="s">
        <v>366</v>
      </c>
      <c r="X31" t="s">
        <v>394</v>
      </c>
      <c r="Y31">
        <v>890</v>
      </c>
      <c r="Z31">
        <v>923</v>
      </c>
      <c r="AA31" t="s">
        <v>368</v>
      </c>
      <c r="AB31" t="s">
        <v>368</v>
      </c>
      <c r="AC31">
        <v>41500000</v>
      </c>
      <c r="AD31">
        <v>86</v>
      </c>
      <c r="AE31">
        <v>8011</v>
      </c>
      <c r="AF31">
        <v>10</v>
      </c>
      <c r="AG31" t="s">
        <v>369</v>
      </c>
      <c r="AH31">
        <v>1400</v>
      </c>
      <c r="AI31" t="s">
        <v>398</v>
      </c>
      <c r="AJ31" t="s">
        <v>399</v>
      </c>
      <c r="AK31" t="s">
        <v>176</v>
      </c>
      <c r="AL31" t="s">
        <v>405</v>
      </c>
      <c r="AM31" t="s">
        <v>436</v>
      </c>
      <c r="AN31" t="s">
        <v>406</v>
      </c>
      <c r="AO31">
        <v>210008261958</v>
      </c>
      <c r="AP31" t="s">
        <v>407</v>
      </c>
      <c r="AQ31" t="s">
        <v>373</v>
      </c>
      <c r="AR31" t="s">
        <v>401</v>
      </c>
      <c r="AS31" t="s">
        <v>373</v>
      </c>
      <c r="AT31">
        <v>17269.740000000002</v>
      </c>
      <c r="AU31">
        <v>17269.740000000002</v>
      </c>
      <c r="AV31">
        <v>17269.740000000002</v>
      </c>
      <c r="AW31">
        <v>17269.740000000002</v>
      </c>
    </row>
    <row r="32" spans="1:49" x14ac:dyDescent="0.25">
      <c r="A32" t="s">
        <v>174</v>
      </c>
      <c r="B32">
        <v>202602</v>
      </c>
      <c r="C32">
        <v>2100082692</v>
      </c>
      <c r="D32" t="s">
        <v>356</v>
      </c>
      <c r="E32" t="s">
        <v>176</v>
      </c>
      <c r="F32" s="105">
        <v>46078</v>
      </c>
      <c r="G32" s="105">
        <v>46068</v>
      </c>
      <c r="H32" t="s">
        <v>408</v>
      </c>
      <c r="I32">
        <v>2</v>
      </c>
      <c r="J32">
        <v>97972.92</v>
      </c>
      <c r="K32" t="s">
        <v>417</v>
      </c>
      <c r="L32">
        <v>2026</v>
      </c>
      <c r="M32" s="105">
        <v>46054</v>
      </c>
      <c r="N32" t="s">
        <v>358</v>
      </c>
      <c r="O32" t="s">
        <v>392</v>
      </c>
      <c r="P32">
        <v>2321403</v>
      </c>
      <c r="Q32" t="s">
        <v>360</v>
      </c>
      <c r="R32" t="s">
        <v>361</v>
      </c>
      <c r="S32" t="s">
        <v>393</v>
      </c>
      <c r="T32" t="s">
        <v>363</v>
      </c>
      <c r="U32" t="s">
        <v>364</v>
      </c>
      <c r="V32" t="s">
        <v>365</v>
      </c>
      <c r="W32" t="s">
        <v>366</v>
      </c>
      <c r="X32" t="s">
        <v>394</v>
      </c>
      <c r="Y32">
        <v>890</v>
      </c>
      <c r="Z32">
        <v>923</v>
      </c>
      <c r="AA32" t="s">
        <v>368</v>
      </c>
      <c r="AB32" t="s">
        <v>368</v>
      </c>
      <c r="AC32">
        <v>41500000</v>
      </c>
      <c r="AD32">
        <v>86</v>
      </c>
      <c r="AE32">
        <v>8011</v>
      </c>
      <c r="AF32">
        <v>10</v>
      </c>
      <c r="AG32" t="s">
        <v>369</v>
      </c>
      <c r="AH32">
        <v>1400</v>
      </c>
      <c r="AI32" t="s">
        <v>398</v>
      </c>
      <c r="AJ32" t="s">
        <v>399</v>
      </c>
      <c r="AK32" t="s">
        <v>176</v>
      </c>
      <c r="AL32" t="s">
        <v>405</v>
      </c>
      <c r="AM32" t="s">
        <v>408</v>
      </c>
      <c r="AN32" t="s">
        <v>406</v>
      </c>
      <c r="AO32">
        <v>210008269219</v>
      </c>
      <c r="AP32" t="s">
        <v>409</v>
      </c>
      <c r="AQ32" t="s">
        <v>373</v>
      </c>
      <c r="AR32" t="s">
        <v>401</v>
      </c>
      <c r="AS32" t="s">
        <v>373</v>
      </c>
      <c r="AT32">
        <v>97972.92</v>
      </c>
      <c r="AU32">
        <v>97972.92</v>
      </c>
      <c r="AV32">
        <v>97972.92</v>
      </c>
      <c r="AW32">
        <v>97972.92</v>
      </c>
    </row>
    <row r="33" spans="1:49" hidden="1" x14ac:dyDescent="0.25">
      <c r="A33" t="s">
        <v>181</v>
      </c>
      <c r="B33">
        <v>202602</v>
      </c>
      <c r="C33">
        <v>2100082608</v>
      </c>
      <c r="D33" t="s">
        <v>356</v>
      </c>
      <c r="E33" t="s">
        <v>182</v>
      </c>
      <c r="F33" s="105">
        <v>46076</v>
      </c>
      <c r="G33" s="105">
        <v>46068</v>
      </c>
      <c r="H33" t="s">
        <v>437</v>
      </c>
      <c r="I33">
        <v>2</v>
      </c>
      <c r="J33">
        <v>154107.70000000001</v>
      </c>
      <c r="K33" t="s">
        <v>417</v>
      </c>
      <c r="L33">
        <v>2026</v>
      </c>
      <c r="M33" s="105">
        <v>46054</v>
      </c>
      <c r="N33" t="s">
        <v>358</v>
      </c>
      <c r="O33" t="s">
        <v>392</v>
      </c>
      <c r="P33">
        <v>2321403</v>
      </c>
      <c r="Q33" t="s">
        <v>360</v>
      </c>
      <c r="R33" t="s">
        <v>361</v>
      </c>
      <c r="S33" t="s">
        <v>393</v>
      </c>
      <c r="T33" t="s">
        <v>363</v>
      </c>
      <c r="U33" t="s">
        <v>364</v>
      </c>
      <c r="V33" t="s">
        <v>365</v>
      </c>
      <c r="W33" t="s">
        <v>366</v>
      </c>
      <c r="X33" t="s">
        <v>394</v>
      </c>
      <c r="Y33">
        <v>890</v>
      </c>
      <c r="Z33">
        <v>923</v>
      </c>
      <c r="AA33" t="s">
        <v>368</v>
      </c>
      <c r="AB33" t="s">
        <v>368</v>
      </c>
      <c r="AC33">
        <v>41500000</v>
      </c>
      <c r="AD33">
        <v>86</v>
      </c>
      <c r="AE33">
        <v>8011</v>
      </c>
      <c r="AF33">
        <v>10</v>
      </c>
      <c r="AG33" t="s">
        <v>369</v>
      </c>
      <c r="AH33">
        <v>1400</v>
      </c>
      <c r="AI33" t="s">
        <v>398</v>
      </c>
      <c r="AJ33" t="s">
        <v>399</v>
      </c>
      <c r="AK33" t="s">
        <v>182</v>
      </c>
      <c r="AL33" t="s">
        <v>438</v>
      </c>
      <c r="AM33" t="s">
        <v>437</v>
      </c>
      <c r="AN33" t="s">
        <v>406</v>
      </c>
      <c r="AO33">
        <v>210008260866</v>
      </c>
      <c r="AP33" t="s">
        <v>407</v>
      </c>
      <c r="AQ33" t="s">
        <v>373</v>
      </c>
      <c r="AR33" t="s">
        <v>401</v>
      </c>
      <c r="AS33" t="s">
        <v>373</v>
      </c>
      <c r="AT33">
        <v>154107.70000000001</v>
      </c>
      <c r="AU33">
        <v>154107.70000000001</v>
      </c>
      <c r="AV33">
        <v>154107.70000000001</v>
      </c>
      <c r="AW33">
        <v>154107.70000000001</v>
      </c>
    </row>
    <row r="34" spans="1:49" hidden="1" x14ac:dyDescent="0.25">
      <c r="A34" t="s">
        <v>198</v>
      </c>
      <c r="B34">
        <v>202602</v>
      </c>
      <c r="C34">
        <v>2100082619</v>
      </c>
      <c r="D34" t="s">
        <v>356</v>
      </c>
      <c r="E34" t="s">
        <v>182</v>
      </c>
      <c r="F34" s="105">
        <v>46076</v>
      </c>
      <c r="G34" s="105">
        <v>46068</v>
      </c>
      <c r="H34" t="s">
        <v>439</v>
      </c>
      <c r="I34">
        <v>2</v>
      </c>
      <c r="J34">
        <v>63046.71</v>
      </c>
      <c r="K34" t="s">
        <v>417</v>
      </c>
      <c r="L34">
        <v>2026</v>
      </c>
      <c r="M34" s="105">
        <v>46054</v>
      </c>
      <c r="N34" t="s">
        <v>358</v>
      </c>
      <c r="O34" t="s">
        <v>392</v>
      </c>
      <c r="P34">
        <v>2321403</v>
      </c>
      <c r="Q34" t="s">
        <v>360</v>
      </c>
      <c r="R34" t="s">
        <v>361</v>
      </c>
      <c r="S34" t="s">
        <v>393</v>
      </c>
      <c r="T34" t="s">
        <v>363</v>
      </c>
      <c r="U34" t="s">
        <v>364</v>
      </c>
      <c r="V34" t="s">
        <v>365</v>
      </c>
      <c r="W34" t="s">
        <v>366</v>
      </c>
      <c r="X34" t="s">
        <v>394</v>
      </c>
      <c r="Y34">
        <v>890</v>
      </c>
      <c r="Z34">
        <v>923</v>
      </c>
      <c r="AA34" t="s">
        <v>368</v>
      </c>
      <c r="AB34" t="s">
        <v>368</v>
      </c>
      <c r="AC34">
        <v>41500000</v>
      </c>
      <c r="AD34">
        <v>86</v>
      </c>
      <c r="AE34">
        <v>8011</v>
      </c>
      <c r="AF34">
        <v>10</v>
      </c>
      <c r="AG34" t="s">
        <v>369</v>
      </c>
      <c r="AH34">
        <v>1400</v>
      </c>
      <c r="AI34" t="s">
        <v>398</v>
      </c>
      <c r="AJ34" t="s">
        <v>399</v>
      </c>
      <c r="AK34" t="s">
        <v>182</v>
      </c>
      <c r="AL34" t="s">
        <v>438</v>
      </c>
      <c r="AM34" t="s">
        <v>439</v>
      </c>
      <c r="AN34" t="s">
        <v>406</v>
      </c>
      <c r="AO34">
        <v>210008261944</v>
      </c>
      <c r="AP34" t="s">
        <v>407</v>
      </c>
      <c r="AQ34" t="s">
        <v>373</v>
      </c>
      <c r="AR34" t="s">
        <v>401</v>
      </c>
      <c r="AS34" t="s">
        <v>373</v>
      </c>
      <c r="AT34">
        <v>63046.71</v>
      </c>
      <c r="AU34">
        <v>63046.71</v>
      </c>
      <c r="AV34">
        <v>63046.71</v>
      </c>
      <c r="AW34">
        <v>63046.71</v>
      </c>
    </row>
    <row r="35" spans="1:49" hidden="1" x14ac:dyDescent="0.25">
      <c r="A35" t="s">
        <v>185</v>
      </c>
      <c r="B35">
        <v>202602</v>
      </c>
      <c r="C35">
        <v>2100082619</v>
      </c>
      <c r="D35" t="s">
        <v>356</v>
      </c>
      <c r="E35" t="s">
        <v>182</v>
      </c>
      <c r="F35" s="105">
        <v>46076</v>
      </c>
      <c r="G35" s="105">
        <v>46068</v>
      </c>
      <c r="H35" t="s">
        <v>440</v>
      </c>
      <c r="I35">
        <v>2</v>
      </c>
      <c r="J35">
        <v>84071.98</v>
      </c>
      <c r="K35" t="s">
        <v>417</v>
      </c>
      <c r="L35">
        <v>2026</v>
      </c>
      <c r="M35" s="105">
        <v>46054</v>
      </c>
      <c r="N35" t="s">
        <v>358</v>
      </c>
      <c r="O35" t="s">
        <v>392</v>
      </c>
      <c r="P35">
        <v>2321403</v>
      </c>
      <c r="Q35" t="s">
        <v>360</v>
      </c>
      <c r="R35" t="s">
        <v>361</v>
      </c>
      <c r="S35" t="s">
        <v>393</v>
      </c>
      <c r="T35" t="s">
        <v>363</v>
      </c>
      <c r="U35" t="s">
        <v>364</v>
      </c>
      <c r="V35" t="s">
        <v>365</v>
      </c>
      <c r="W35" t="s">
        <v>366</v>
      </c>
      <c r="X35" t="s">
        <v>394</v>
      </c>
      <c r="Y35">
        <v>890</v>
      </c>
      <c r="Z35">
        <v>923</v>
      </c>
      <c r="AA35" t="s">
        <v>368</v>
      </c>
      <c r="AB35" t="s">
        <v>368</v>
      </c>
      <c r="AC35">
        <v>41500000</v>
      </c>
      <c r="AD35">
        <v>86</v>
      </c>
      <c r="AE35">
        <v>8011</v>
      </c>
      <c r="AF35">
        <v>10</v>
      </c>
      <c r="AG35" t="s">
        <v>369</v>
      </c>
      <c r="AH35">
        <v>1400</v>
      </c>
      <c r="AI35" t="s">
        <v>398</v>
      </c>
      <c r="AJ35" t="s">
        <v>399</v>
      </c>
      <c r="AK35" t="s">
        <v>182</v>
      </c>
      <c r="AL35" t="s">
        <v>438</v>
      </c>
      <c r="AM35" t="s">
        <v>440</v>
      </c>
      <c r="AN35" t="s">
        <v>406</v>
      </c>
      <c r="AO35">
        <v>210008261942</v>
      </c>
      <c r="AP35" t="s">
        <v>407</v>
      </c>
      <c r="AQ35" t="s">
        <v>373</v>
      </c>
      <c r="AR35" t="s">
        <v>401</v>
      </c>
      <c r="AS35" t="s">
        <v>373</v>
      </c>
      <c r="AT35">
        <v>84071.98</v>
      </c>
      <c r="AU35">
        <v>84071.98</v>
      </c>
      <c r="AV35">
        <v>84071.98</v>
      </c>
      <c r="AW35">
        <v>84071.98</v>
      </c>
    </row>
    <row r="36" spans="1:49" hidden="1" x14ac:dyDescent="0.25">
      <c r="A36" t="s">
        <v>198</v>
      </c>
      <c r="B36">
        <v>202602</v>
      </c>
      <c r="C36">
        <v>2100082650</v>
      </c>
      <c r="D36" t="s">
        <v>356</v>
      </c>
      <c r="E36" t="s">
        <v>182</v>
      </c>
      <c r="F36" s="105">
        <v>46077</v>
      </c>
      <c r="G36" s="105">
        <v>46068</v>
      </c>
      <c r="H36" t="s">
        <v>441</v>
      </c>
      <c r="I36">
        <v>2</v>
      </c>
      <c r="J36">
        <v>9119</v>
      </c>
      <c r="K36" t="s">
        <v>417</v>
      </c>
      <c r="L36">
        <v>2026</v>
      </c>
      <c r="M36" s="105">
        <v>46054</v>
      </c>
      <c r="N36" t="s">
        <v>358</v>
      </c>
      <c r="O36" t="s">
        <v>392</v>
      </c>
      <c r="P36">
        <v>2321403</v>
      </c>
      <c r="Q36" t="s">
        <v>360</v>
      </c>
      <c r="R36" t="s">
        <v>361</v>
      </c>
      <c r="S36" t="s">
        <v>393</v>
      </c>
      <c r="T36" t="s">
        <v>363</v>
      </c>
      <c r="U36" t="s">
        <v>364</v>
      </c>
      <c r="V36" t="s">
        <v>365</v>
      </c>
      <c r="W36" t="s">
        <v>366</v>
      </c>
      <c r="X36" t="s">
        <v>394</v>
      </c>
      <c r="Y36">
        <v>890</v>
      </c>
      <c r="Z36">
        <v>923</v>
      </c>
      <c r="AA36" t="s">
        <v>368</v>
      </c>
      <c r="AB36" t="s">
        <v>368</v>
      </c>
      <c r="AC36">
        <v>41500000</v>
      </c>
      <c r="AD36">
        <v>86</v>
      </c>
      <c r="AE36">
        <v>8011</v>
      </c>
      <c r="AF36">
        <v>10</v>
      </c>
      <c r="AG36" t="s">
        <v>369</v>
      </c>
      <c r="AH36">
        <v>1400</v>
      </c>
      <c r="AI36" t="s">
        <v>398</v>
      </c>
      <c r="AJ36" t="s">
        <v>399</v>
      </c>
      <c r="AK36" t="s">
        <v>182</v>
      </c>
      <c r="AL36" t="s">
        <v>438</v>
      </c>
      <c r="AM36" t="s">
        <v>441</v>
      </c>
      <c r="AN36" t="s">
        <v>406</v>
      </c>
      <c r="AO36">
        <v>2100082650127</v>
      </c>
      <c r="AP36" t="s">
        <v>442</v>
      </c>
      <c r="AQ36" t="s">
        <v>373</v>
      </c>
      <c r="AR36" t="s">
        <v>401</v>
      </c>
      <c r="AS36" t="s">
        <v>373</v>
      </c>
      <c r="AT36">
        <v>9119</v>
      </c>
      <c r="AU36">
        <v>9119</v>
      </c>
      <c r="AV36">
        <v>9119</v>
      </c>
      <c r="AW36">
        <v>9119</v>
      </c>
    </row>
    <row r="37" spans="1:49" hidden="1" x14ac:dyDescent="0.25">
      <c r="A37" t="s">
        <v>181</v>
      </c>
      <c r="B37">
        <v>202602</v>
      </c>
      <c r="C37">
        <v>2100082692</v>
      </c>
      <c r="D37" t="s">
        <v>356</v>
      </c>
      <c r="E37" t="s">
        <v>182</v>
      </c>
      <c r="F37" s="105">
        <v>46078</v>
      </c>
      <c r="G37" s="105">
        <v>46068</v>
      </c>
      <c r="H37" t="s">
        <v>443</v>
      </c>
      <c r="I37">
        <v>2</v>
      </c>
      <c r="J37">
        <v>22292.3</v>
      </c>
      <c r="K37" t="s">
        <v>417</v>
      </c>
      <c r="L37">
        <v>2026</v>
      </c>
      <c r="M37" s="105">
        <v>46054</v>
      </c>
      <c r="N37" t="s">
        <v>358</v>
      </c>
      <c r="O37" t="s">
        <v>392</v>
      </c>
      <c r="P37">
        <v>2321403</v>
      </c>
      <c r="Q37" t="s">
        <v>360</v>
      </c>
      <c r="R37" t="s">
        <v>361</v>
      </c>
      <c r="S37" t="s">
        <v>393</v>
      </c>
      <c r="T37" t="s">
        <v>363</v>
      </c>
      <c r="U37" t="s">
        <v>364</v>
      </c>
      <c r="V37" t="s">
        <v>365</v>
      </c>
      <c r="W37" t="s">
        <v>366</v>
      </c>
      <c r="X37" t="s">
        <v>394</v>
      </c>
      <c r="Y37">
        <v>890</v>
      </c>
      <c r="Z37">
        <v>923</v>
      </c>
      <c r="AA37" t="s">
        <v>368</v>
      </c>
      <c r="AB37" t="s">
        <v>368</v>
      </c>
      <c r="AC37">
        <v>41500000</v>
      </c>
      <c r="AD37">
        <v>86</v>
      </c>
      <c r="AE37">
        <v>8011</v>
      </c>
      <c r="AF37">
        <v>10</v>
      </c>
      <c r="AG37" t="s">
        <v>369</v>
      </c>
      <c r="AH37">
        <v>1400</v>
      </c>
      <c r="AI37" t="s">
        <v>398</v>
      </c>
      <c r="AJ37" t="s">
        <v>399</v>
      </c>
      <c r="AK37" t="s">
        <v>182</v>
      </c>
      <c r="AL37" t="s">
        <v>438</v>
      </c>
      <c r="AM37" t="s">
        <v>443</v>
      </c>
      <c r="AN37" t="s">
        <v>406</v>
      </c>
      <c r="AO37">
        <v>210008269220</v>
      </c>
      <c r="AP37" t="s">
        <v>409</v>
      </c>
      <c r="AQ37" t="s">
        <v>373</v>
      </c>
      <c r="AR37" t="s">
        <v>401</v>
      </c>
      <c r="AS37" t="s">
        <v>373</v>
      </c>
      <c r="AT37">
        <v>22292.3</v>
      </c>
      <c r="AU37">
        <v>22292.3</v>
      </c>
      <c r="AV37">
        <v>22292.3</v>
      </c>
      <c r="AW37">
        <v>22292.3</v>
      </c>
    </row>
    <row r="38" spans="1:49" hidden="1" x14ac:dyDescent="0.25">
      <c r="A38" t="s">
        <v>205</v>
      </c>
      <c r="B38">
        <v>202602</v>
      </c>
      <c r="C38">
        <v>2100082464</v>
      </c>
      <c r="D38" t="s">
        <v>356</v>
      </c>
      <c r="E38" t="s">
        <v>206</v>
      </c>
      <c r="F38" s="105">
        <v>46048</v>
      </c>
      <c r="G38" s="105">
        <v>46055</v>
      </c>
      <c r="H38" t="s">
        <v>410</v>
      </c>
      <c r="I38">
        <v>2</v>
      </c>
      <c r="J38">
        <v>-25838</v>
      </c>
      <c r="K38" t="s">
        <v>416</v>
      </c>
      <c r="L38">
        <v>2026</v>
      </c>
      <c r="M38" s="105">
        <v>46054</v>
      </c>
      <c r="N38" t="s">
        <v>358</v>
      </c>
      <c r="O38" t="s">
        <v>392</v>
      </c>
      <c r="P38">
        <v>2321403</v>
      </c>
      <c r="Q38" t="s">
        <v>360</v>
      </c>
      <c r="R38" t="s">
        <v>361</v>
      </c>
      <c r="S38" t="s">
        <v>393</v>
      </c>
      <c r="T38" t="s">
        <v>363</v>
      </c>
      <c r="U38" t="s">
        <v>364</v>
      </c>
      <c r="V38" t="s">
        <v>365</v>
      </c>
      <c r="W38" t="s">
        <v>366</v>
      </c>
      <c r="X38" t="s">
        <v>394</v>
      </c>
      <c r="Y38">
        <v>890</v>
      </c>
      <c r="Z38">
        <v>923</v>
      </c>
      <c r="AA38" t="s">
        <v>368</v>
      </c>
      <c r="AB38" t="s">
        <v>368</v>
      </c>
      <c r="AC38">
        <v>41500000</v>
      </c>
      <c r="AD38">
        <v>86</v>
      </c>
      <c r="AE38">
        <v>8011</v>
      </c>
      <c r="AF38">
        <v>10</v>
      </c>
      <c r="AG38" t="s">
        <v>369</v>
      </c>
      <c r="AH38">
        <v>1400</v>
      </c>
      <c r="AI38" t="s">
        <v>398</v>
      </c>
      <c r="AJ38" t="s">
        <v>399</v>
      </c>
      <c r="AK38" t="s">
        <v>206</v>
      </c>
      <c r="AL38" t="s">
        <v>411</v>
      </c>
      <c r="AM38" t="s">
        <v>410</v>
      </c>
      <c r="AN38" t="s">
        <v>406</v>
      </c>
      <c r="AO38">
        <v>210008246472</v>
      </c>
      <c r="AP38" t="s">
        <v>407</v>
      </c>
      <c r="AQ38" t="s">
        <v>373</v>
      </c>
      <c r="AR38" t="s">
        <v>401</v>
      </c>
      <c r="AS38" t="s">
        <v>373</v>
      </c>
      <c r="AT38">
        <v>-25838</v>
      </c>
      <c r="AU38">
        <v>-25838</v>
      </c>
      <c r="AV38">
        <v>-25838</v>
      </c>
      <c r="AW38">
        <v>-25838</v>
      </c>
    </row>
    <row r="39" spans="1:49" hidden="1" x14ac:dyDescent="0.25">
      <c r="A39" t="s">
        <v>205</v>
      </c>
      <c r="B39">
        <v>202602</v>
      </c>
      <c r="C39">
        <v>2100082619</v>
      </c>
      <c r="D39" t="s">
        <v>356</v>
      </c>
      <c r="E39" t="s">
        <v>206</v>
      </c>
      <c r="F39" s="105">
        <v>46076</v>
      </c>
      <c r="G39" s="105">
        <v>46068</v>
      </c>
      <c r="H39" t="s">
        <v>410</v>
      </c>
      <c r="I39">
        <v>2</v>
      </c>
      <c r="J39">
        <v>23426.38</v>
      </c>
      <c r="K39" t="s">
        <v>417</v>
      </c>
      <c r="L39">
        <v>2026</v>
      </c>
      <c r="M39" s="105">
        <v>46054</v>
      </c>
      <c r="N39" t="s">
        <v>358</v>
      </c>
      <c r="O39" t="s">
        <v>392</v>
      </c>
      <c r="P39">
        <v>2321403</v>
      </c>
      <c r="Q39" t="s">
        <v>360</v>
      </c>
      <c r="R39" t="s">
        <v>361</v>
      </c>
      <c r="S39" t="s">
        <v>393</v>
      </c>
      <c r="T39" t="s">
        <v>363</v>
      </c>
      <c r="U39" t="s">
        <v>364</v>
      </c>
      <c r="V39" t="s">
        <v>365</v>
      </c>
      <c r="W39" t="s">
        <v>366</v>
      </c>
      <c r="X39" t="s">
        <v>394</v>
      </c>
      <c r="Y39">
        <v>890</v>
      </c>
      <c r="Z39">
        <v>923</v>
      </c>
      <c r="AA39" t="s">
        <v>368</v>
      </c>
      <c r="AB39" t="s">
        <v>368</v>
      </c>
      <c r="AC39">
        <v>41500000</v>
      </c>
      <c r="AD39">
        <v>86</v>
      </c>
      <c r="AE39">
        <v>8011</v>
      </c>
      <c r="AF39">
        <v>10</v>
      </c>
      <c r="AG39" t="s">
        <v>369</v>
      </c>
      <c r="AH39">
        <v>1400</v>
      </c>
      <c r="AI39" t="s">
        <v>398</v>
      </c>
      <c r="AJ39" t="s">
        <v>399</v>
      </c>
      <c r="AK39" t="s">
        <v>206</v>
      </c>
      <c r="AL39" t="s">
        <v>411</v>
      </c>
      <c r="AM39" t="s">
        <v>410</v>
      </c>
      <c r="AN39" t="s">
        <v>406</v>
      </c>
      <c r="AO39">
        <v>210008261947</v>
      </c>
      <c r="AP39" t="s">
        <v>407</v>
      </c>
      <c r="AQ39" t="s">
        <v>373</v>
      </c>
      <c r="AR39" t="s">
        <v>401</v>
      </c>
      <c r="AS39" t="s">
        <v>373</v>
      </c>
      <c r="AT39">
        <v>23426.38</v>
      </c>
      <c r="AU39">
        <v>23426.38</v>
      </c>
      <c r="AV39">
        <v>23426.38</v>
      </c>
      <c r="AW39">
        <v>23426.38</v>
      </c>
    </row>
    <row r="40" spans="1:49" hidden="1" x14ac:dyDescent="0.25">
      <c r="A40" t="s">
        <v>205</v>
      </c>
      <c r="B40">
        <v>202602</v>
      </c>
      <c r="C40">
        <v>2100082650</v>
      </c>
      <c r="D40" t="s">
        <v>356</v>
      </c>
      <c r="E40" t="s">
        <v>206</v>
      </c>
      <c r="F40" s="105">
        <v>46077</v>
      </c>
      <c r="G40" s="105">
        <v>46068</v>
      </c>
      <c r="H40" t="s">
        <v>444</v>
      </c>
      <c r="I40">
        <v>2</v>
      </c>
      <c r="J40">
        <v>7934</v>
      </c>
      <c r="K40" t="s">
        <v>417</v>
      </c>
      <c r="L40">
        <v>2026</v>
      </c>
      <c r="M40" s="105">
        <v>46054</v>
      </c>
      <c r="N40" t="s">
        <v>358</v>
      </c>
      <c r="O40" t="s">
        <v>392</v>
      </c>
      <c r="P40">
        <v>2321403</v>
      </c>
      <c r="Q40" t="s">
        <v>360</v>
      </c>
      <c r="R40" t="s">
        <v>361</v>
      </c>
      <c r="S40" t="s">
        <v>393</v>
      </c>
      <c r="T40" t="s">
        <v>363</v>
      </c>
      <c r="U40" t="s">
        <v>364</v>
      </c>
      <c r="V40" t="s">
        <v>365</v>
      </c>
      <c r="W40" t="s">
        <v>366</v>
      </c>
      <c r="X40" t="s">
        <v>394</v>
      </c>
      <c r="Y40">
        <v>890</v>
      </c>
      <c r="Z40">
        <v>923</v>
      </c>
      <c r="AA40" t="s">
        <v>368</v>
      </c>
      <c r="AB40" t="s">
        <v>368</v>
      </c>
      <c r="AC40">
        <v>41500000</v>
      </c>
      <c r="AD40">
        <v>86</v>
      </c>
      <c r="AE40">
        <v>8011</v>
      </c>
      <c r="AF40">
        <v>10</v>
      </c>
      <c r="AG40" t="s">
        <v>369</v>
      </c>
      <c r="AH40">
        <v>1400</v>
      </c>
      <c r="AI40" t="s">
        <v>398</v>
      </c>
      <c r="AJ40" t="s">
        <v>399</v>
      </c>
      <c r="AK40" t="s">
        <v>206</v>
      </c>
      <c r="AL40" t="s">
        <v>411</v>
      </c>
      <c r="AM40" t="s">
        <v>444</v>
      </c>
      <c r="AN40" t="s">
        <v>406</v>
      </c>
      <c r="AO40">
        <v>2100082650133</v>
      </c>
      <c r="AP40" t="s">
        <v>442</v>
      </c>
      <c r="AQ40" t="s">
        <v>373</v>
      </c>
      <c r="AR40" t="s">
        <v>401</v>
      </c>
      <c r="AS40" t="s">
        <v>373</v>
      </c>
      <c r="AT40">
        <v>7934</v>
      </c>
      <c r="AU40">
        <v>7934</v>
      </c>
      <c r="AV40">
        <v>7934</v>
      </c>
      <c r="AW40">
        <v>7934</v>
      </c>
    </row>
    <row r="41" spans="1:49" hidden="1" x14ac:dyDescent="0.25">
      <c r="A41" t="s">
        <v>202</v>
      </c>
      <c r="B41">
        <v>202602</v>
      </c>
      <c r="C41">
        <v>2100082619</v>
      </c>
      <c r="D41" t="s">
        <v>356</v>
      </c>
      <c r="E41" t="s">
        <v>203</v>
      </c>
      <c r="F41" s="105">
        <v>46076</v>
      </c>
      <c r="G41" s="105">
        <v>46068</v>
      </c>
      <c r="H41" t="s">
        <v>445</v>
      </c>
      <c r="I41">
        <v>2</v>
      </c>
      <c r="J41">
        <v>48909.1</v>
      </c>
      <c r="K41" t="s">
        <v>417</v>
      </c>
      <c r="L41">
        <v>2026</v>
      </c>
      <c r="M41" s="105">
        <v>46054</v>
      </c>
      <c r="N41" t="s">
        <v>358</v>
      </c>
      <c r="O41" t="s">
        <v>392</v>
      </c>
      <c r="P41">
        <v>2321403</v>
      </c>
      <c r="Q41" t="s">
        <v>360</v>
      </c>
      <c r="R41" t="s">
        <v>361</v>
      </c>
      <c r="S41" t="s">
        <v>393</v>
      </c>
      <c r="T41" t="s">
        <v>363</v>
      </c>
      <c r="U41" t="s">
        <v>364</v>
      </c>
      <c r="V41" t="s">
        <v>365</v>
      </c>
      <c r="W41" t="s">
        <v>366</v>
      </c>
      <c r="X41" t="s">
        <v>394</v>
      </c>
      <c r="Y41">
        <v>890</v>
      </c>
      <c r="Z41">
        <v>923</v>
      </c>
      <c r="AA41" t="s">
        <v>368</v>
      </c>
      <c r="AB41" t="s">
        <v>368</v>
      </c>
      <c r="AC41">
        <v>41500000</v>
      </c>
      <c r="AD41">
        <v>86</v>
      </c>
      <c r="AE41">
        <v>8011</v>
      </c>
      <c r="AF41">
        <v>10</v>
      </c>
      <c r="AG41" t="s">
        <v>369</v>
      </c>
      <c r="AH41">
        <v>1400</v>
      </c>
      <c r="AI41" t="s">
        <v>398</v>
      </c>
      <c r="AJ41" t="s">
        <v>399</v>
      </c>
      <c r="AK41" t="s">
        <v>203</v>
      </c>
      <c r="AL41" t="s">
        <v>446</v>
      </c>
      <c r="AM41" t="s">
        <v>445</v>
      </c>
      <c r="AO41">
        <v>210008261943</v>
      </c>
      <c r="AP41" t="s">
        <v>407</v>
      </c>
      <c r="AQ41" t="s">
        <v>373</v>
      </c>
      <c r="AR41" t="s">
        <v>401</v>
      </c>
      <c r="AS41" t="s">
        <v>373</v>
      </c>
      <c r="AT41">
        <v>48909.1</v>
      </c>
      <c r="AU41">
        <v>48909.1</v>
      </c>
      <c r="AV41">
        <v>48909.1</v>
      </c>
      <c r="AW41">
        <v>48909.1</v>
      </c>
    </row>
    <row r="42" spans="1:49" hidden="1" x14ac:dyDescent="0.25">
      <c r="A42" t="s">
        <v>202</v>
      </c>
      <c r="B42">
        <v>202602</v>
      </c>
      <c r="C42">
        <v>2100082650</v>
      </c>
      <c r="D42" t="s">
        <v>356</v>
      </c>
      <c r="E42" t="s">
        <v>203</v>
      </c>
      <c r="F42" s="105">
        <v>46077</v>
      </c>
      <c r="G42" s="105">
        <v>46068</v>
      </c>
      <c r="H42" t="s">
        <v>447</v>
      </c>
      <c r="I42">
        <v>2</v>
      </c>
      <c r="J42">
        <v>7075</v>
      </c>
      <c r="K42" t="s">
        <v>417</v>
      </c>
      <c r="L42">
        <v>2026</v>
      </c>
      <c r="M42" s="105">
        <v>46054</v>
      </c>
      <c r="N42" t="s">
        <v>358</v>
      </c>
      <c r="O42" t="s">
        <v>392</v>
      </c>
      <c r="P42">
        <v>2321403</v>
      </c>
      <c r="Q42" t="s">
        <v>360</v>
      </c>
      <c r="R42" t="s">
        <v>361</v>
      </c>
      <c r="S42" t="s">
        <v>393</v>
      </c>
      <c r="T42" t="s">
        <v>363</v>
      </c>
      <c r="U42" t="s">
        <v>364</v>
      </c>
      <c r="V42" t="s">
        <v>365</v>
      </c>
      <c r="W42" t="s">
        <v>366</v>
      </c>
      <c r="X42" t="s">
        <v>394</v>
      </c>
      <c r="Y42">
        <v>890</v>
      </c>
      <c r="Z42">
        <v>923</v>
      </c>
      <c r="AA42" t="s">
        <v>368</v>
      </c>
      <c r="AB42" t="s">
        <v>368</v>
      </c>
      <c r="AC42">
        <v>41500000</v>
      </c>
      <c r="AD42">
        <v>86</v>
      </c>
      <c r="AE42">
        <v>8011</v>
      </c>
      <c r="AF42">
        <v>10</v>
      </c>
      <c r="AG42" t="s">
        <v>369</v>
      </c>
      <c r="AH42">
        <v>1400</v>
      </c>
      <c r="AI42" t="s">
        <v>398</v>
      </c>
      <c r="AJ42" t="s">
        <v>399</v>
      </c>
      <c r="AK42" t="s">
        <v>203</v>
      </c>
      <c r="AL42" t="s">
        <v>446</v>
      </c>
      <c r="AM42" t="s">
        <v>447</v>
      </c>
      <c r="AO42">
        <v>2100082650148</v>
      </c>
      <c r="AP42" t="s">
        <v>442</v>
      </c>
      <c r="AQ42" t="s">
        <v>373</v>
      </c>
      <c r="AR42" t="s">
        <v>401</v>
      </c>
      <c r="AS42" t="s">
        <v>373</v>
      </c>
      <c r="AT42">
        <v>7075</v>
      </c>
      <c r="AU42">
        <v>7075</v>
      </c>
      <c r="AV42">
        <v>7075</v>
      </c>
      <c r="AW42">
        <v>7075</v>
      </c>
    </row>
    <row r="43" spans="1:49" hidden="1" x14ac:dyDescent="0.25">
      <c r="A43" t="s">
        <v>187</v>
      </c>
      <c r="B43">
        <v>202602</v>
      </c>
      <c r="C43">
        <v>2100082619</v>
      </c>
      <c r="D43" t="s">
        <v>356</v>
      </c>
      <c r="E43" t="s">
        <v>188</v>
      </c>
      <c r="F43" s="105">
        <v>46076</v>
      </c>
      <c r="G43" s="105">
        <v>46068</v>
      </c>
      <c r="H43" t="s">
        <v>448</v>
      </c>
      <c r="I43">
        <v>2</v>
      </c>
      <c r="J43">
        <v>5241.76</v>
      </c>
      <c r="K43" t="s">
        <v>417</v>
      </c>
      <c r="L43">
        <v>2026</v>
      </c>
      <c r="M43" s="105">
        <v>46054</v>
      </c>
      <c r="N43" t="s">
        <v>358</v>
      </c>
      <c r="O43" t="s">
        <v>392</v>
      </c>
      <c r="P43">
        <v>2321403</v>
      </c>
      <c r="Q43" t="s">
        <v>360</v>
      </c>
      <c r="R43" t="s">
        <v>361</v>
      </c>
      <c r="S43" t="s">
        <v>393</v>
      </c>
      <c r="T43" t="s">
        <v>363</v>
      </c>
      <c r="U43" t="s">
        <v>364</v>
      </c>
      <c r="V43" t="s">
        <v>365</v>
      </c>
      <c r="W43" t="s">
        <v>366</v>
      </c>
      <c r="X43" t="s">
        <v>394</v>
      </c>
      <c r="Y43">
        <v>890</v>
      </c>
      <c r="Z43">
        <v>923</v>
      </c>
      <c r="AA43" t="s">
        <v>368</v>
      </c>
      <c r="AB43" t="s">
        <v>368</v>
      </c>
      <c r="AC43">
        <v>41500000</v>
      </c>
      <c r="AD43">
        <v>86</v>
      </c>
      <c r="AE43">
        <v>8011</v>
      </c>
      <c r="AF43">
        <v>10</v>
      </c>
      <c r="AG43" t="s">
        <v>369</v>
      </c>
      <c r="AH43">
        <v>1400</v>
      </c>
      <c r="AI43" t="s">
        <v>398</v>
      </c>
      <c r="AJ43" t="s">
        <v>399</v>
      </c>
      <c r="AK43" t="s">
        <v>188</v>
      </c>
      <c r="AL43" t="s">
        <v>449</v>
      </c>
      <c r="AM43" t="s">
        <v>448</v>
      </c>
      <c r="AO43">
        <v>210008261946</v>
      </c>
      <c r="AP43" t="s">
        <v>407</v>
      </c>
      <c r="AQ43" t="s">
        <v>373</v>
      </c>
      <c r="AR43" t="s">
        <v>401</v>
      </c>
      <c r="AS43" t="s">
        <v>373</v>
      </c>
      <c r="AT43">
        <v>5241.76</v>
      </c>
      <c r="AU43">
        <v>5241.76</v>
      </c>
      <c r="AV43">
        <v>5241.76</v>
      </c>
      <c r="AW43">
        <v>5241.76</v>
      </c>
    </row>
    <row r="44" spans="1:49" hidden="1" x14ac:dyDescent="0.25">
      <c r="A44" t="s">
        <v>187</v>
      </c>
      <c r="B44">
        <v>202602</v>
      </c>
      <c r="C44">
        <v>2100082650</v>
      </c>
      <c r="D44" t="s">
        <v>356</v>
      </c>
      <c r="E44" t="s">
        <v>188</v>
      </c>
      <c r="F44" s="105">
        <v>46077</v>
      </c>
      <c r="G44" s="105">
        <v>46068</v>
      </c>
      <c r="H44" t="s">
        <v>450</v>
      </c>
      <c r="I44">
        <v>2</v>
      </c>
      <c r="J44">
        <v>758</v>
      </c>
      <c r="K44" t="s">
        <v>417</v>
      </c>
      <c r="L44">
        <v>2026</v>
      </c>
      <c r="M44" s="105">
        <v>46054</v>
      </c>
      <c r="N44" t="s">
        <v>358</v>
      </c>
      <c r="O44" t="s">
        <v>392</v>
      </c>
      <c r="P44">
        <v>2321403</v>
      </c>
      <c r="Q44" t="s">
        <v>360</v>
      </c>
      <c r="R44" t="s">
        <v>361</v>
      </c>
      <c r="S44" t="s">
        <v>393</v>
      </c>
      <c r="T44" t="s">
        <v>363</v>
      </c>
      <c r="U44" t="s">
        <v>364</v>
      </c>
      <c r="V44" t="s">
        <v>365</v>
      </c>
      <c r="W44" t="s">
        <v>366</v>
      </c>
      <c r="X44" t="s">
        <v>394</v>
      </c>
      <c r="Y44">
        <v>890</v>
      </c>
      <c r="Z44">
        <v>923</v>
      </c>
      <c r="AA44" t="s">
        <v>368</v>
      </c>
      <c r="AB44" t="s">
        <v>368</v>
      </c>
      <c r="AC44">
        <v>41500000</v>
      </c>
      <c r="AD44">
        <v>86</v>
      </c>
      <c r="AE44">
        <v>8011</v>
      </c>
      <c r="AF44">
        <v>10</v>
      </c>
      <c r="AG44" t="s">
        <v>369</v>
      </c>
      <c r="AH44">
        <v>1400</v>
      </c>
      <c r="AI44" t="s">
        <v>398</v>
      </c>
      <c r="AJ44" t="s">
        <v>399</v>
      </c>
      <c r="AK44" t="s">
        <v>188</v>
      </c>
      <c r="AL44" t="s">
        <v>449</v>
      </c>
      <c r="AM44" t="s">
        <v>450</v>
      </c>
      <c r="AO44">
        <v>2100082650140</v>
      </c>
      <c r="AP44" t="s">
        <v>442</v>
      </c>
      <c r="AQ44" t="s">
        <v>373</v>
      </c>
      <c r="AR44" t="s">
        <v>401</v>
      </c>
      <c r="AS44" t="s">
        <v>373</v>
      </c>
      <c r="AT44">
        <v>758</v>
      </c>
      <c r="AU44">
        <v>758</v>
      </c>
      <c r="AV44">
        <v>758</v>
      </c>
      <c r="AW44">
        <v>758</v>
      </c>
    </row>
  </sheetData>
  <autoFilter ref="A1:BH44" xr:uid="{00000000-0009-0000-0000-000002000000}">
    <filterColumn colId="0">
      <filters>
        <filter val="9501166164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2026-03-12T15:23:06Z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