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data/templates/"/>
    </mc:Choice>
  </mc:AlternateContent>
  <xr:revisionPtr revIDLastSave="193" documentId="8_{783183DD-73AE-4283-AD85-EEFD805851D1}" xr6:coauthVersionLast="47" xr6:coauthVersionMax="47" xr10:uidLastSave="{BB629235-3EE4-4E21-A30B-8A9198D4224A}"/>
  <x:bookViews>
    <x:workbookView xWindow="-120" yWindow="-120" windowWidth="23280" windowHeight="12480" tabRatio="590" xr2:uid="{0996C49B-04E6-42AE-AA83-2F64BE89A626}"/>
  </x:bookViews>
  <x:sheets>
    <x:sheet name="Template" sheetId="5" r:id="rId1"/>
  </x:sheets>
  <x:definedNames>
    <x:definedName name="_xlnm._FilterDatabase" localSheetId="0" hidden="1">Template!$A$16:$BY$16</x:definedName>
  </x:definedNames>
  <x:calcPr calcId="191028" fullCalcOnLoad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<x:sst xmlns:x="http://schemas.openxmlformats.org/spreadsheetml/2006/main" count="282" uniqueCount="212">
  <x:si>
    <x:t xml:space="preserve">Overall Capital </x:t>
  </x:si>
  <x:si>
    <x:t>N/A</x:t>
  </x:si>
  <x:si>
    <x:t>Overall Expense</x:t>
  </x:si>
  <x:si>
    <x:t>WBS code</x:t>
  </x:si>
  <x:si>
    <x:t xml:space="preserve">P3 ID </x:t>
  </x:si>
  <x:si>
    <x:t>[Put P3 ID here]</x:t>
  </x:si>
  <x:si>
    <x:t>Type of Spend</x:t>
  </x:si>
  <x:si>
    <x:t>Cost Center</x:t>
  </x:si>
  <x:si>
    <x:t>Open Query</x:t>
  </x:si>
  <x:si>
    <x:t>2321511/1400</x:t>
  </x:si>
  <x:si>
    <x:t>Leslie</x:t>
  </x:si>
  <x:si>
    <x:t>Contingency:</x:t>
  </x:si>
  <x:si>
    <x:t>2340691/1400</x:t>
  </x:si>
  <x:si>
    <x:t>Planful Actuals</x:t>
  </x:si>
  <x:si>
    <x:t>Total:</x:t>
  </x:si>
  <x:si>
    <x:t>2329948/1400</x:t>
  </x:si>
  <x:si>
    <x:t>PO TOTAL</x:t>
  </x:si>
  <x:si>
    <x:t xml:space="preserve">Forecast Spreadsheet Actuals: </x:t>
  </x:si>
  <x:si>
    <x:t>EXPENSE</x:t>
  </x:si>
  <x:si>
    <x:t xml:space="preserve">Month: </x:t>
  </x:si>
  <x:si>
    <x:t>January</x:t>
  </x:si>
  <x:si>
    <x:t>March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</x:si>
  <x:si>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</x:si>
  <x:si>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</x:si>
  <x:si>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</x:si>
  <x:si>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</x:si>
  <x:si>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</x:si>
  <x:si>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</x:si>
  <x:si>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</x:si>
  <x:si>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</x:si>
  <x:si>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</x:si>
  <x:si>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Contact for PO/ER</x:t>
  </x:si>
  <x:si>
    <x:t>PO Number/
ER Number</x:t>
  </x:si>
  <x:si>
    <x:t>PO Start Date</x:t>
  </x:si>
  <x:si>
    <x:t>PO end date</x:t>
  </x:si>
  <x:si>
    <x:t>Vendor Name</x:t>
  </x:si>
  <x:si>
    <x:t>WBS</x:t>
  </x:si>
  <x:si>
    <x:t>G/L Account</x:t>
  </x:si>
  <x:si>
    <x:t>LE</x:t>
  </x:si>
  <x:si>
    <x:t>Country</x:t>
  </x:si>
  <x:si>
    <x:t>Gross PO Value  (USD)</x:t>
  </x:si>
  <x:si>
    <x:t>Requisition 
Title</x:t>
  </x:si>
  <x:si>
    <x:t>PO Status</x:t>
  </x:si>
  <x:si>
    <x:t>Accrual Reversal Dec</x:t>
  </x:si>
  <x:si>
    <x:t>Forecast Jan</x:t>
  </x:si>
  <x:si>
    <x:t>Accrual Jan</x:t>
  </x:si>
  <x:si>
    <x:t>Actual   Jan</x:t>
  </x:si>
  <x:si>
    <x:t>Variance (Actuals/Accruals</x:t>
  </x:si>
  <x:si>
    <x:t>Accrual Reversal Jan</x:t>
  </x:si>
  <x:si>
    <x:t>Forecast Feb</x:t>
  </x:si>
  <x:si>
    <x:t>Accrual Feb</x:t>
  </x:si>
  <x:si>
    <x:t>Actual   Feb</x:t>
  </x:si>
  <x:si>
    <x:t>Accrual Reversal Feb</x:t>
  </x:si>
  <x:si>
    <x:t>Forecast March</x:t>
  </x:si>
  <x:si>
    <x:t>Accrual March</x:t>
  </x:si>
  <x:si>
    <x:t>Actual March</x:t>
  </x:si>
  <x:si>
    <x:t>Accrual Reversal Mar</x:t>
  </x:si>
  <x:si>
    <x:t>Forecast April</x:t>
  </x:si>
  <x:si>
    <x:t>Accrual April</x:t>
  </x:si>
  <x:si>
    <x:t>Actual April</x:t>
  </x:si>
  <x:si>
    <x:t>Accrual Reversal Apr</x:t>
  </x:si>
  <x:si>
    <x:t>Forecast May</x:t>
  </x:si>
  <x:si>
    <x:t>Accrual May</x:t>
  </x:si>
  <x:si>
    <x:t>Actual May</x:t>
  </x:si>
  <x:si>
    <x:t>Accrual Reversal May</x:t>
  </x:si>
  <x:si>
    <x:t>Forecast June</x:t>
  </x:si>
  <x:si>
    <x:t>Accrual   June</x:t>
  </x:si>
  <x:si>
    <x:t>Actual June</x:t>
  </x:si>
  <x:si>
    <x:t>Accrual Reversal Jun</x:t>
  </x:si>
  <x:si>
    <x:t>Forecast July</x:t>
  </x:si>
  <x:si>
    <x:t>Accrual July</x:t>
  </x:si>
  <x:si>
    <x:t>Actual  July</x:t>
  </x:si>
  <x:si>
    <x:t>Accrual Reversal Jul</x:t>
  </x:si>
  <x:si>
    <x:t>Forecast Aug</x:t>
  </x:si>
  <x:si>
    <x:t>Accrual Aug</x:t>
  </x:si>
  <x:si>
    <x:t>Actual Aug</x:t>
  </x:si>
  <x:si>
    <x:t>Accrual Reversal Aug</x:t>
  </x:si>
  <x:si>
    <x:t>Forecast Sept</x:t>
  </x:si>
  <x:si>
    <x:t>Accrual Sept</x:t>
  </x:si>
  <x:si>
    <x:t>Actual Sept</x:t>
  </x:si>
  <x:si>
    <x:t>Accrual Reversal Sep</x:t>
  </x:si>
  <x:si>
    <x:t>Forecast Oct</x:t>
  </x:si>
  <x:si>
    <x:t>Accrual Oct</x:t>
  </x:si>
  <x:si>
    <x:t xml:space="preserve">Actual Oct  </x:t>
  </x:si>
  <x:si>
    <x:t>Accrual Reversal Oct</x:t>
  </x:si>
  <x:si>
    <x:t>Forecast Nov</x:t>
  </x:si>
  <x:si>
    <x:t>Accrual Nov</x:t>
  </x:si>
  <x:si>
    <x:t>Actual Nov</x:t>
  </x:si>
  <x:si>
    <x:t>Accrual Reversal Nov</x:t>
  </x:si>
  <x:si>
    <x:t>Forecast Dec</x:t>
  </x:si>
  <x:si>
    <x:t xml:space="preserve">Accrual Dec </x:t>
  </x:si>
  <x:si>
    <x:t>Actual Dec</x:t>
  </x:si>
  <x:si>
    <x:t>Total 2026</x:t>
  </x:si>
  <x:si>
    <x:r>
      <x:t>CPA Budget &lt;</x:t>
    </x:r>
    <x:r>
      <x:rPr>
        <x:b/>
        <x:sz val="11"/>
        <x:color rgb="FFFF0000"/>
        <x:rFont val="Calibri"/>
        <x:family val="2"/>
        <x:scheme val="minor"/>
      </x:rPr>
      <x:t>YEAR</x:t>
    </x:r>
    <x:r>
      <x:rPr>
        <x:b/>
        <x:sz val="11"/>
        <x:color indexed="8"/>
        <x:rFont val="Calibri"/>
        <x:family val="2"/>
        <x:scheme val="minor"/>
      </x:rPr>
      <x:t>&gt;</x:t>
    </x:r>
  </x:si>
  <x:si>
    <x:t>Comments</x:t>
  </x:si>
  <x:si>
    <x:t>Previous Period Invoices</x:t>
  </x:si>
  <x:si>
    <x:t>EXPENSE END</x:t>
  </x:si>
  <x:si>
    <x:t>Ram</x:t>
  </x:si>
  <x:si>
    <x:t>Infosys</x:t>
  </x:si>
  <x:si>
    <x:t>IT-FBT0393-OG-JP-00</x:t>
  </x:si>
  <x:si>
    <x:t>JAPAN</x:t>
  </x:si>
  <x:si>
    <x:t>Tenon</x:t>
  </x:si>
  <x:si>
    <x:t>IT-FBT0638-OG-JP-00</x:t>
  </x:si>
  <x:si>
    <x:t>SHI INTERNATIONAL CORP</x:t>
  </x:si>
  <x:si>
    <x:t>IT-SFT1434-OG-US-00</x:t>
  </x:si>
  <x:si>
    <x:t>US</x:t>
  </x:si>
  <x:si>
    <x:t>ORACLE AMERICA INC</x:t>
  </x:si>
  <x:si>
    <x:t>Ram 50-50</x:t>
  </x:si>
  <x:si>
    <x:t>SAP</x:t>
  </x:si>
  <x:si>
    <x:t>IT-FBT0528-OG-US-0</x:t>
  </x:si>
  <x:si>
    <x:t>From Karla to Ram on 2/13</x:t>
  </x:si>
  <x:si>
    <x:t xml:space="preserve">IT-FBT0245-OG-US-00 </x:t>
  </x:si>
  <x:si>
    <x:t>To Do in October 2026</x:t>
  </x:si>
  <x:si>
    <x:t>IT-SFT0170-86-OG-US</x:t>
  </x:si>
  <x:si>
    <x:t>IT-SFT1441-OG-US-00</x:t>
  </x:si>
  <x:si>
    <x:t>IT-FBT0588-OG-US-00</x:t>
  </x:si>
  <x:si>
    <x:t>IT-FBT0403-OG-US-00</x:t>
  </x:si>
  <x:si>
    <x:t>IT-FBT0770-OT-US-00</x:t>
  </x:si>
  <x:si>
    <x:t>IT-FBT0665-OG-US-00</x:t>
  </x:si>
  <x:si>
    <x:t>IT-FBT0675-OG-US-00</x:t>
  </x:si>
  <x:si>
    <x:t>IT-FBT0693-OG-US-00</x:t>
  </x:si>
  <x:si>
    <x:t>IT-FBT0769-OT-US-00</x:t>
  </x:si>
  <x:si>
    <x:t>IT-FGS0298-SW-US-00</x:t>
  </x:si>
  <x:si>
    <x:t>IT-FGS0299-OG-US-00</x:t>
  </x:si>
  <x:si>
    <x:t>IT-FGS0301-OG-US-00</x:t>
  </x:si>
  <x:si>
    <x:t>IT-SFT1155-86-OG-US</x:t>
  </x:si>
  <x:si>
    <x:t>IT-SFT1194-86-OG-US</x:t>
  </x:si>
  <x:si>
    <x:t>EP&amp;SCharges001</x:t>
  </x:si>
  <x:si>
    <x:t>IT-FBT0600-OG-US-00</x:t>
  </x:si>
  <x:si>
    <x:t>2026-XFR-0008-B</x:t>
  </x:si>
  <x:si>
    <x:t>IT-FBT0074-OG-US-00</x:t>
  </x:si>
  <x:si>
    <x:t>IT-FBT0528-OG-US-00</x:t>
  </x:si>
  <x:si>
    <x:t>Old PO9501113130</x:t>
  </x:si>
  <x:si>
    <x:t>IT-SFT1023-86-OG-US</x:t>
  </x:si>
  <x:si>
    <x:t>Old PO9501113089</x:t>
  </x:si>
  <x:si>
    <x:t>IT-SFT1023-86-OG-US/PF</x:t>
  </x:si>
  <x:si>
    <x:t>IT-SFT0175-02-OG-US</x:t>
  </x:si>
  <x:si>
    <x:t>IT-SFT0234-02-OG-US</x:t>
  </x:si>
  <x:si>
    <x:t>Ram-OLD PO9500903186</x:t>
  </x:si>
  <x:si>
    <x:t>TEAM COMPUTERS PRIVATE LIMITED</x:t>
  </x:si>
  <x:si>
    <x:t>IT-FBT0066-OG-IN-00</x:t>
  </x:si>
  <x:si>
    <x:t>INDIA</x:t>
  </x:si>
  <x:si>
    <x:t>PRIME SOFTWARE SOLUTION</x:t>
  </x:si>
  <x:si>
    <x:t>IT-FBT0637-OG-IN-00</x:t>
  </x:si>
  <x:si>
    <x:t>IT FBT0587 OG US 00</x:t>
  </x:si>
  <x:si>
    <x:t>IT FBT0588 OG US 00</x:t>
  </x:si>
  <x:si>
    <x:t>IBM</x:t>
  </x:si>
  <x:si>
    <x:t>IT-FBT0281-OG-US-00</x:t>
  </x:si>
  <x:si>
    <x:t>Ram-OLD PO9500914310</x:t>
  </x:si>
  <x:si>
    <x:t>IT-FBT0282-OG-US-00</x:t>
  </x:si>
  <x:si>
    <x:t>Ram-OLD PO9500914283</x:t>
  </x:si>
  <x:si>
    <x:t>IT-MGS0204-OG-US-00</x:t>
  </x:si>
  <x:si>
    <x:t>IT-MGS0202-OG-US-00</x:t>
  </x:si>
  <x:si>
    <x:t>IT-MGS0203-OG-US-00</x:t>
  </x:si>
  <x:si>
    <x:t>12/312026</x:t>
  </x:si>
  <x:si>
    <x:t>IT-MGS0205-OG-US-00</x:t>
  </x:si>
  <x:si>
    <x:t xml:space="preserve">IT-FBT0282-OG-US-00 </x:t>
  </x:si>
  <x:si>
    <x:t>Ram-OLD PO9500913294</x:t>
  </x:si>
  <x:si>
    <x:t>IT-FBT0753-OT-US-00</x:t>
  </x:si>
  <x:si>
    <x:t>IT-FBT0700-OG-US-00</x:t>
  </x:si>
  <x:si>
    <x:t>Ram - PF</x:t>
  </x:si>
  <x:si>
    <x:t>Oracle</x:t>
  </x:si>
  <x:si>
    <x:t>IT-SFT0159-86-OG-US</x:t>
  </x:si>
  <x:si>
    <x:t>Madhu Gopinath</x:t>
  </x:si>
  <x:si>
    <x:t>IT-FBT0636-OG-IN-00</x:t>
  </x:si>
  <x:si>
    <x:t>SAP FICO L2 Support 2026H1</x:t>
  </x:si>
  <x:si>
    <x:t>OPEN</x:t>
  </x:si>
  <x:si>
    <x:t>Finance System Support FY2026</x:t>
  </x:si>
  <x:si>
    <x:t>SWC Elasticsearch (4/25/2026 – 4/24/2027) (LeslieM)</x:t>
  </x:si>
  <x:si>
    <x:t xml:space="preserve">Ariba Offshore Technical Consultant </x:t>
  </x:si>
  <x:si>
    <x:t>Enterprise Integration Hub (EIH) repository and support</x:t>
  </x:si>
  <x:si>
    <x:t>Tenon: Japan SAP BI &amp; SD Support</x:t>
  </x:si>
  <x:si>
    <x:t>IT-SFT0170-86-OG-US - Broadcom (Job Scheduler)</x:t>
  </x:si>
  <x:si>
    <x:t>IT-SFT1441-OG-US-00 - AIOps - IBM Process Automation Manager</x:t>
  </x:si>
  <x:si>
    <x:t>IT-FBT0588-OG-US-00 - Infrastructure Charges - SSL VPN - Partner Connect (SAP AG iVPN site-to-site)</x:t>
  </x:si>
  <x:si>
    <x:t>AI Center of Excellence (COE) Infrastructure Support &amp; GDO Support for Ariba Bot</x:t>
  </x:si>
  <x:si>
    <x:t>Legacy PS HR &amp; GRW Related charges</x:t>
  </x:si>
  <x:si>
    <x:t>Infrastructure Charges - SAP Backoffice - Cloud AWS</x:t>
  </x:si>
  <x:si>
    <x:t>Infrastructure Charges</x:t>
  </x:si>
  <x:si>
    <x:t>PFIZER APPS related charges (Cloud AWS, Data Protection)</x:t>
  </x:si>
  <x:si>
    <x:t>JFrog Artifactory Repository Monthly Charge</x:t>
  </x:si>
  <x:si>
    <x:t>Others (Vending, Meeting event, Devices Unreturned, Applecare, Mac-mgmt, IT Onboard, etc.)</x:t>
  </x:si>
  <x:si>
    <x:t>Desktop on Demand (VDS)</x:t>
  </x:si>
  <x:si>
    <x:t>Infrastructure Charges - BTAMS Automations</x:t>
  </x:si>
  <x:si>
    <x:t>DevSecOps</x:t>
  </x:si>
  <x:si>
    <x:t>Infrastructure Billing Charges</x:t>
  </x:si>
  <x:si>
    <x:t>Compliance FSA Chargeback</x:t>
  </x:si>
  <x:si>
    <x:t>Pfizer IBM AIOPS solution</x:t>
  </x:si>
  <x:si>
    <x:t>SAP Fieldglass Vendor Management System Implementation:  - Application/Platform support and maintenance</x:t>
  </x:si>
  <x:si>
    <x:t>Oracle E-Business Suite Archive Solutions</x:t>
  </x:si>
  <x:si>
    <x:t>2022 Buy on Demand (BOD) Application Management Services (AMS) Support Costs - Ariba/SAP Product Vendor</x:t>
  </x:si>
  <x:si>
    <x:t>Markov (Mainteannce Renewal) (Pullforward Debit)</x:t>
  </x:si>
  <x:si>
    <x:t>Markov (Mainteannce Renewal) (Pullforward Credit)</x:t>
  </x:si>
  <x:si>
    <x:t>BizTalk Kovai</x:t>
  </x:si>
  <x:si>
    <x:t>Monotype Imaging</x:t>
  </x:si>
  <x:si>
    <x:t>TCPL_SAP SOM SME CONSULTANT FROM 1ST DECEMBER 2025 TO 30TH N</x:t>
  </x:si>
  <x:si>
    <x:t>PSS_SOFTWARE MAINTENANCE SUPPORT_1ST DECEMBER 2025 TO 30TH N</x:t>
  </x:si>
  <x:si>
    <x:t>MPLS Circuit supporting Oracle EPM Cloud FastConnect</x:t>
  </x:si>
  <x:si>
    <x:t>Eliminated in LE0 (no budget) - VPN Site to Site supporting SAP AG Germany iVPN</x:t>
  </x:si>
  <x:si>
    <x:t>IBM: SAP APPLICATION MANAGED SERVICE (AMS) - CORE / IT-FBT02</x:t>
  </x:si>
  <x:si>
    <x:t>SAP Application Managed Service (AMS) - CORE- PCR-01(Collaboration360 Support)</x:t>
  </x:si>
  <x:si>
    <x:t>SAP Application Managed Service "AMS" - SAP Ariba BOD &amp; Ariba On Prem</x:t>
  </x:si>
  <x:si>
    <x:t>SAP Application Managed Service "AMS" - Additional Applications (10 Apps)</x:t>
  </x:si>
  <x:si>
    <x:t xml:space="preserve">Seagen Oracle (Annual "AMS" Order) </x:t>
  </x:si>
  <x:si>
    <x:t>Oracle EBS Software Licenses</x:t>
  </x:si>
  <x:si>
    <x:t>Oracle OCI Software Usage</x:t>
  </x:si>
  <x:si>
    <x:t>SAP GLNS AMS 2026</x:t>
  </x:si>
  <x:si>
    <x:t>IBM ISOW – Application Managed Service "AMS" (Concur PT&amp;E)</x:t>
  </x:si>
  <x:si>
    <x:t>SAP Application Managed Service "AMS" - Delta Applications - FBO Scope</x:t>
  </x:si>
  <x:si>
    <x:t>IBM: CELONIS APPLICATION MANAGED SERVICES (AMS) / IT-FBT0700</x:t>
  </x:si>
  <x:si>
    <x:t>ORACLE: ORACLE CUSTOM MANAGED CLOUD SERVICES JDE OCI / IT-SF</x:t>
  </x:si>
  <x:si>
    <x:t xml:space="preserve">India SAP Helpdesk Support (SAP L1 &amp; L1.5) for 2026-27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</x:si>
</x:sst>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8" formatCode="&quot;$&quot;#,##0.00_);[Red]\(&quot;$&quot;#,##0.00\)"/>
    <x:numFmt numFmtId="44" formatCode="_(&quot;$&quot;* #,##0.00_);_(&quot;$&quot;* \(#,##0.00\);_(&quot;$&quot;* &quot;-&quot;??_);_(@_)"/>
    <x:numFmt numFmtId="164" formatCode="&quot;$&quot;#,##0"/>
    <x:numFmt numFmtId="165" formatCode="[$-409]dd\-mmm\-yy;@"/>
    <x:numFmt numFmtId="166" formatCode="mmmm\-yyyy"/>
    <x:numFmt numFmtId="167" formatCode="&quot;$&quot;#,##0.00"/>
    <x:numFmt numFmtId="168" formatCode="00000"/>
  </x:numFmts>
  <x:fonts count="15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  <x:font>
      <x:u/>
      <x:sz val="11"/>
      <x:color theme="1"/>
      <x:name val="Calibri"/>
      <x:family val="2"/>
      <x:scheme val="minor"/>
    </x:font>
    <x:font>
      <x:sz val="11"/>
      <x:color rgb="FF4F4D4A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sz val="11"/>
      <x:color indexed="8"/>
      <x:name val="Calibri"/>
      <x:family val="2"/>
      <x:scheme val="minor"/>
    </x:font>
    <x:font>
      <x:b/>
      <x:sz val="11"/>
      <x:color indexed="8"/>
      <x:name val="Calibri"/>
      <x:family val="2"/>
      <x:scheme val="minor"/>
    </x:font>
    <x:font>
      <x:b/>
      <x:sz val="11"/>
      <x:name val="Calibri"/>
      <x:family val="2"/>
    </x:font>
    <x:font>
      <x:b/>
      <x:sz val="11"/>
      <x:color rgb="FFFF0000"/>
      <x:name val="Calibri"/>
      <x:family val="2"/>
      <x:scheme val="minor"/>
    </x:font>
    <x:font>
      <x:b/>
      <x:sz val="11"/>
      <x:color rgb="FF4F4D4A"/>
      <x:name val="Calibri"/>
      <x:family val="2"/>
      <x:scheme val="minor"/>
    </x:font>
    <x:font>
      <x:b/>
      <x:sz val="11"/>
      <x:name val="Calibri"/>
      <x:family val="2"/>
      <x:scheme val="minor"/>
    </x:font>
    <x:font>
      <x:sz val="11"/>
      <x:color rgb="FF0000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theme="3" tint="0.79998168889431442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D6DCE4"/>
        <x:bgColor rgb="FF000000"/>
      </x:patternFill>
    </x:fill>
  </x:fills>
  <x:borders count="56">
    <x:border>
      <x:left/>
      <x:right/>
      <x:top/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medium">
        <x:color rgb="FF000000"/>
      </x:top>
      <x:bottom/>
      <x:diagonal/>
    </x:border>
    <x:border>
      <x:left style="thin">
        <x:color indexed="64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rgb="FF000000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rgb="FF000000"/>
      </x:right>
      <x:top style="thin">
        <x:color indexed="64"/>
      </x:top>
      <x:bottom style="medium">
        <x:color rgb="FF000000"/>
      </x:bottom>
      <x:diagonal/>
    </x:border>
    <x:border>
      <x:left/>
      <x:right style="thin">
        <x:color indexed="64"/>
      </x:right>
      <x:top style="medium">
        <x:color rgb="FF000000"/>
      </x:top>
      <x:bottom/>
      <x:diagonal/>
    </x:border>
    <x:border>
      <x:left/>
      <x:right style="thin">
        <x:color indexed="64"/>
      </x:right>
      <x:top style="thin">
        <x:color indexed="64"/>
      </x:top>
      <x:bottom style="medium">
        <x:color rgb="FF000000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thin">
        <x:color indexed="64"/>
      </x:right>
      <x:top style="medium">
        <x:color rgb="FF000000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rgb="FF000000"/>
      </x:top>
      <x:bottom/>
      <x:diagonal/>
    </x:border>
    <x:border>
      <x:left style="thin">
        <x:color indexed="64"/>
      </x:left>
      <x:right/>
      <x:top style="medium">
        <x:color rgb="FF000000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rgb="FF000000"/>
      </x:top>
      <x:bottom/>
      <x:diagonal/>
    </x:border>
    <x:border>
      <x:left style="medium">
        <x:color rgb="FF000000"/>
      </x:left>
      <x:right style="thin">
        <x:color indexed="64"/>
      </x:right>
      <x:top/>
      <x:bottom style="medium">
        <x:color rgb="FF000000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rgb="FF000000"/>
      </x:bottom>
      <x:diagonal/>
    </x:border>
    <x:border>
      <x:left style="thin">
        <x:color indexed="64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thin">
        <x:color indexed="64"/>
      </x:right>
      <x:top/>
      <x:bottom style="medium">
        <x:color rgb="FF000000"/>
      </x:bottom>
      <x:diagonal/>
    </x:border>
    <x:border>
      <x:left style="thin">
        <x:color indexed="64"/>
      </x:left>
      <x:right/>
      <x:top/>
      <x:bottom style="medium">
        <x:color rgb="FF000000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rgb="FF000000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</x:borders>
  <x:cellStyleXfs count="4">
    <x:xf numFmtId="0" fontId="0" fillId="0" borderId="0"/>
    <x:xf numFmtId="0" fontId="4" fillId="0" borderId="0" applyNumberFormat="0" applyFill="0" applyBorder="0" applyAlignment="0" applyProtection="0"/>
    <x:xf numFmtId="44" fontId="1" fillId="0" borderId="0" applyFont="0" applyFill="0" applyBorder="0" applyAlignment="0" applyProtection="0"/>
    <x:xf numFmtId="0" fontId="8" fillId="0" borderId="0"/>
  </x:cellStyleXfs>
  <x:cellXfs count="120">
    <x:xf numFmtId="0" fontId="0" fillId="0" borderId="0" xfId="0"/>
    <x:xf numFmtId="2" fontId="0" fillId="0" borderId="0" xfId="0" applyNumberFormat="1"/>
    <x:xf numFmtId="14" fontId="0" fillId="0" borderId="0" xfId="0" applyNumberFormat="1"/>
    <x:xf numFmtId="3" fontId="0" fillId="0" borderId="0" xfId="0" applyNumberFormat="1"/>
    <x:xf numFmtId="0" fontId="0" fillId="4" borderId="0" xfId="0" applyFill="1"/>
    <x:xf numFmtId="3" fontId="0" fillId="3" borderId="0" xfId="0" applyNumberFormat="1" applyFill="1" applyAlignment="1">
      <x:alignment horizontal="left"/>
    </x:xf>
    <x:xf numFmtId="0" fontId="3" fillId="0" borderId="0" xfId="0" applyFont="1"/>
    <x:xf numFmtId="3" fontId="7" fillId="4" borderId="0" xfId="0" applyNumberFormat="1" applyFont="1" applyFill="1" applyAlignment="1">
      <x:alignment horizontal="left"/>
    </x:xf>
    <x:xf numFmtId="3" fontId="7" fillId="0" borderId="0" xfId="0" applyNumberFormat="1" applyFont="1"/>
    <x:xf numFmtId="0" fontId="0" fillId="3" borderId="0" xfId="0" applyFill="1"/>
    <x:xf numFmtId="4" fontId="12" fillId="0" borderId="0" xfId="0" applyNumberFormat="1" applyFont="1" applyAlignment="1">
      <x:alignment horizontal="center"/>
    </x:xf>
    <x:xf numFmtId="4" fontId="12" fillId="0" borderId="0" xfId="0" applyNumberFormat="1" applyFont="1"/>
    <x:xf numFmtId="3" fontId="6" fillId="0" borderId="0" xfId="0" applyNumberFormat="1" applyFont="1" applyAlignment="1">
      <x:alignment horizontal="center"/>
    </x:xf>
    <x:xf numFmtId="0" fontId="0" fillId="2" borderId="14" xfId="0" applyFill="1" applyBorder="1"/>
    <x:xf numFmtId="0" fontId="0" fillId="2" borderId="15" xfId="0" applyFill="1" applyBorder="1"/>
    <x:xf numFmtId="0" fontId="5" fillId="2" borderId="16" xfId="0" applyFont="1" applyFill="1" applyBorder="1"/>
    <x:xf numFmtId="0" fontId="0" fillId="2" borderId="16" xfId="0" applyFill="1" applyBorder="1"/>
    <x:xf numFmtId="0" fontId="0" fillId="2" borderId="17" xfId="0" applyFill="1" applyBorder="1"/>
    <x:xf numFmtId="0" fontId="0" fillId="2" borderId="18" xfId="0" applyFill="1" applyBorder="1"/>
    <x:xf numFmtId="164" fontId="0" fillId="2" borderId="19" xfId="0" applyNumberFormat="1" applyFill="1" applyBorder="1" applyAlignment="1">
      <x:alignment horizontal="right"/>
    </x:xf>
    <x:xf numFmtId="164" fontId="3" fillId="2" borderId="19" xfId="0" applyNumberFormat="1" applyFont="1" applyFill="1" applyBorder="1" applyAlignment="1">
      <x:alignment horizontal="center"/>
    </x:xf>
    <x:xf numFmtId="0" fontId="0" fillId="2" borderId="19" xfId="0" applyFill="1" applyBorder="1"/>
    <x:xf numFmtId="0" fontId="0" fillId="2" borderId="20" xfId="0" applyFill="1" applyBorder="1"/>
    <x:xf numFmtId="0" fontId="13" fillId="0" borderId="24" xfId="0" applyFont="1" applyBorder="1" applyAlignment="1">
      <x:alignment horizontal="left" vertical="center"/>
    </x:xf>
    <x:xf numFmtId="0" fontId="13" fillId="0" borderId="26" xfId="0" applyFont="1" applyBorder="1" applyAlignment="1">
      <x:alignment horizontal="left" vertical="center"/>
    </x:xf>
    <x:xf numFmtId="0" fontId="13" fillId="0" borderId="23" xfId="0" applyFont="1" applyBorder="1" applyAlignment="1">
      <x:alignment horizontal="left"/>
    </x:xf>
    <x:xf numFmtId="168" fontId="13" fillId="0" borderId="23" xfId="0" applyNumberFormat="1" applyFont="1" applyBorder="1" applyAlignment="1">
      <x:alignment horizontal="left" vertical="center"/>
    </x:xf>
    <x:xf numFmtId="168" fontId="13" fillId="0" borderId="25" xfId="0" applyNumberFormat="1" applyFont="1" applyBorder="1" applyAlignment="1">
      <x:alignment horizontal="left" vertical="center"/>
    </x:xf>
    <x:xf numFmtId="0" fontId="0" fillId="0" borderId="0" xfId="0" applyAlignment="1">
      <x:alignment horizontal="right"/>
    </x:xf>
    <x:xf numFmtId="0" fontId="0" fillId="2" borderId="15" xfId="0" applyFill="1" applyBorder="1" applyAlignment="1">
      <x:alignment horizontal="right"/>
    </x:xf>
    <x:xf numFmtId="0" fontId="4" fillId="2" borderId="0" xfId="1" applyFill="1" applyBorder="1" applyAlignment="1">
      <x:alignment horizontal="right"/>
    </x:xf>
    <x:xf numFmtId="0" fontId="0" fillId="2" borderId="28" xfId="0" applyFill="1" applyBorder="1"/>
    <x:xf numFmtId="0" fontId="0" fillId="2" borderId="0" xfId="0" applyFill="1" applyAlignment="1">
      <x:alignment horizontal="right" wrapText="1"/>
    </x:xf>
    <x:xf numFmtId="4" fontId="6" fillId="2" borderId="0" xfId="0" applyNumberFormat="1" applyFont="1" applyFill="1"/>
    <x:xf numFmtId="0" fontId="5" fillId="2" borderId="0" xfId="0" applyFont="1" applyFill="1"/>
    <x:xf numFmtId="3" fontId="2" fillId="2" borderId="17" xfId="0" applyNumberFormat="1" applyFont="1" applyFill="1" applyBorder="1"/>
    <x:xf numFmtId="0" fontId="0" fillId="2" borderId="0" xfId="0" applyFill="1" applyAlignment="1">
      <x:alignment horizontal="right"/>
    </x:xf>
    <x:xf numFmtId="0" fontId="0" fillId="2" borderId="0" xfId="0" applyFill="1"/>
    <x:xf numFmtId="3" fontId="0" fillId="2" borderId="17" xfId="0" applyNumberFormat="1" applyFill="1" applyBorder="1"/>
    <x:xf numFmtId="4" fontId="6" fillId="2" borderId="0" xfId="0" applyNumberFormat="1" applyFont="1" applyFill="1" applyAlignment="1">
      <x:alignment horizontal="right"/>
    </x:xf>
    <x:xf numFmtId="0" fontId="3" fillId="2" borderId="0" xfId="0" applyFont="1" applyFill="1"/>
    <x:xf numFmtId="167" fontId="0" fillId="0" borderId="0" xfId="0" applyNumberFormat="1" applyAlignment="1">
      <x:alignment horizontal="left"/>
    </x:xf>
    <x:xf numFmtId="167" fontId="3" fillId="0" borderId="0" xfId="0" applyNumberFormat="1" applyFont="1" applyAlignment="1">
      <x:alignment horizontal="left"/>
    </x:xf>
    <x:xf numFmtId="167" fontId="12" fillId="0" borderId="0" xfId="0" applyNumberFormat="1" applyFont="1" applyAlignment="1">
      <x:alignment horizontal="left"/>
    </x:xf>
    <x:xf numFmtId="167" fontId="6" fillId="0" borderId="0" xfId="0" applyNumberFormat="1" applyFont="1" applyAlignment="1">
      <x:alignment horizontal="left"/>
    </x:xf>
    <x:xf numFmtId="0" fontId="3" fillId="6" borderId="29" xfId="0" applyFont="1" applyFill="1" applyBorder="1"/>
    <x:xf numFmtId="3" fontId="2" fillId="2" borderId="0" xfId="0" applyNumberFormat="1" applyFont="1" applyFill="1"/>
    <x:xf numFmtId="3" fontId="0" fillId="2" borderId="0" xfId="0" applyNumberFormat="1" applyFill="1"/>
    <x:xf numFmtId="0" fontId="9" fillId="2" borderId="31" xfId="3" applyFont="1" applyFill="1" applyBorder="1" applyAlignment="1">
      <x:alignment wrapText="1"/>
    </x:xf>
    <x:xf numFmtId="0" fontId="0" fillId="3" borderId="34" xfId="0" applyFill="1" applyBorder="1"/>
    <x:xf numFmtId="164" fontId="9" fillId="2" borderId="15" xfId="3" applyNumberFormat="1" applyFont="1" applyFill="1" applyBorder="1" applyAlignment="1">
      <x:alignment horizontal="center" wrapText="1"/>
    </x:xf>
    <x:xf numFmtId="164" fontId="9" fillId="2" borderId="35" xfId="3" applyNumberFormat="1" applyFont="1" applyFill="1" applyBorder="1" applyAlignment="1">
      <x:alignment horizontal="center" wrapText="1"/>
    </x:xf>
    <x:xf numFmtId="164" fontId="9" fillId="2" borderId="30" xfId="3" applyNumberFormat="1" applyFont="1" applyFill="1" applyBorder="1" applyAlignment="1">
      <x:alignment horizontal="center" wrapText="1"/>
    </x:xf>
    <x:xf numFmtId="3" fontId="0" fillId="3" borderId="36" xfId="0" applyNumberFormat="1" applyFill="1" applyBorder="1"/>
    <x:xf numFmtId="167" fontId="3" fillId="6" borderId="41" xfId="0" applyNumberFormat="1" applyFont="1" applyFill="1" applyBorder="1" applyAlignment="1">
      <x:alignment horizontal="left"/>
    </x:xf>
    <x:xf numFmtId="4" fontId="6" fillId="7" borderId="0" xfId="0" applyNumberFormat="1" applyFont="1" applyFill="1"/>
    <x:xf numFmtId="0" fontId="9" fillId="2" borderId="42" xfId="3" applyFont="1" applyFill="1" applyBorder="1" applyAlignment="1">
      <x:alignment horizontal="left" wrapText="1"/>
    </x:xf>
    <x:xf numFmtId="1" fontId="10" fillId="2" borderId="30" xfId="3" applyNumberFormat="1" applyFont="1" applyFill="1" applyBorder="1" applyAlignment="1">
      <x:alignment horizontal="right" wrapText="1"/>
    </x:xf>
    <x:xf numFmtId="1" fontId="10" fillId="2" borderId="30" xfId="3" applyNumberFormat="1" applyFont="1" applyFill="1" applyBorder="1" applyAlignment="1">
      <x:alignment horizontal="center" wrapText="1"/>
    </x:xf>
    <x:xf numFmtId="165" fontId="10" fillId="2" borderId="30" xfId="3" applyNumberFormat="1" applyFont="1" applyFill="1" applyBorder="1" applyAlignment="1">
      <x:alignment horizontal="center" wrapText="1"/>
    </x:xf>
    <x:xf numFmtId="0" fontId="10" fillId="2" borderId="30" xfId="3" applyFont="1" applyFill="1" applyBorder="1" applyAlignment="1">
      <x:alignment horizontal="center" wrapText="1"/>
    </x:xf>
    <x:xf numFmtId="167" fontId="9" fillId="2" borderId="30" xfId="3" applyNumberFormat="1" applyFont="1" applyFill="1" applyBorder="1" applyAlignment="1">
      <x:alignment horizontal="left" wrapText="1"/>
    </x:xf>
    <x:xf numFmtId="0" fontId="3" fillId="2" borderId="15" xfId="0" applyFont="1" applyFill="1" applyBorder="1" applyAlignment="1">
      <x:alignment wrapText="1"/>
    </x:xf>
    <x:xf numFmtId="164" fontId="9" fillId="2" borderId="43" xfId="3" applyNumberFormat="1" applyFont="1" applyFill="1" applyBorder="1" applyAlignment="1">
      <x:alignment horizontal="center" wrapText="1"/>
    </x:xf>
    <x:xf numFmtId="164" fontId="9" fillId="2" borderId="44" xfId="3" applyNumberFormat="1" applyFont="1" applyFill="1" applyBorder="1" applyAlignment="1">
      <x:alignment horizontal="center" wrapText="1"/>
    </x:xf>
    <x:xf numFmtId="164" fontId="9" fillId="2" borderId="45" xfId="3" applyNumberFormat="1" applyFont="1" applyFill="1" applyBorder="1" applyAlignment="1">
      <x:alignment horizontal="center" wrapText="1"/>
    </x:xf>
    <x:xf numFmtId="0" fontId="0" fillId="3" borderId="46" xfId="0" applyFill="1" applyBorder="1"/>
    <x:xf numFmtId="0" fontId="0" fillId="3" borderId="47" xfId="0" applyFill="1" applyBorder="1" applyAlignment="1">
      <x:alignment horizontal="right"/>
    </x:xf>
    <x:xf numFmtId="14" fontId="0" fillId="3" borderId="47" xfId="0" applyNumberFormat="1" applyFill="1" applyBorder="1"/>
    <x:xf numFmtId="0" fontId="0" fillId="3" borderId="47" xfId="0" applyFill="1" applyBorder="1"/>
    <x:xf numFmtId="167" fontId="0" fillId="3" borderId="47" xfId="0" applyNumberFormat="1" applyFill="1" applyBorder="1" applyAlignment="1">
      <x:alignment horizontal="left"/>
    </x:xf>
    <x:xf numFmtId="0" fontId="0" fillId="3" borderId="48" xfId="0" applyFill="1" applyBorder="1"/>
    <x:xf numFmtId="3" fontId="0" fillId="3" borderId="49" xfId="0" applyNumberFormat="1" applyFill="1" applyBorder="1"/>
    <x:xf numFmtId="3" fontId="0" fillId="3" borderId="47" xfId="0" applyNumberFormat="1" applyFill="1" applyBorder="1"/>
    <x:xf numFmtId="3" fontId="0" fillId="3" borderId="50" xfId="0" applyNumberFormat="1" applyFill="1" applyBorder="1"/>
    <x:xf numFmtId="3" fontId="0" fillId="3" borderId="51" xfId="0" applyNumberFormat="1" applyFill="1" applyBorder="1"/>
    <x:xf numFmtId="3" fontId="0" fillId="3" borderId="52" xfId="0" applyNumberFormat="1" applyFill="1" applyBorder="1"/>
    <x:xf numFmtId="3" fontId="0" fillId="3" borderId="19" xfId="0" applyNumberFormat="1" applyFill="1" applyBorder="1"/>
    <x:xf numFmtId="0" fontId="14" fillId="0" borderId="0" xfId="0" applyFont="1"/>
    <x:xf numFmtId="0" fontId="14" fillId="0" borderId="23" xfId="0" applyFont="1" applyBorder="1"/>
    <x:xf numFmtId="0" fontId="14" fillId="0" borderId="27" xfId="0" applyFont="1" applyBorder="1"/>
    <x:xf numFmtId="0" fontId="14" fillId="0" borderId="39" xfId="0" applyFont="1" applyBorder="1"/>
    <x:xf numFmtId="0" fontId="14" fillId="0" borderId="10" xfId="0" applyFont="1" applyBorder="1"/>
    <x:xf numFmtId="0" fontId="14" fillId="0" borderId="8" xfId="0" applyFont="1" applyBorder="1"/>
    <x:xf numFmtId="0" fontId="14" fillId="0" borderId="9" xfId="0" applyFont="1" applyBorder="1"/>
    <x:xf numFmtId="0" fontId="14" fillId="0" borderId="7" xfId="0" applyFont="1" applyBorder="1"/>
    <x:xf numFmtId="0" fontId="14" fillId="0" borderId="11" xfId="0" applyFont="1" applyBorder="1"/>
    <x:xf numFmtId="0" fontId="14" fillId="0" borderId="12" xfId="0" applyFont="1" applyBorder="1"/>
    <x:xf numFmtId="0" fontId="14" fillId="0" borderId="3" xfId="0" applyFont="1" applyBorder="1"/>
    <x:xf numFmtId="0" fontId="14" fillId="8" borderId="10" xfId="0" applyFont="1" applyFill="1" applyBorder="1"/>
    <x:xf numFmtId="0" fontId="14" fillId="0" borderId="33" xfId="0" applyFont="1" applyBorder="1"/>
    <x:xf numFmtId="0" fontId="14" fillId="0" borderId="32" xfId="0" applyFont="1" applyBorder="1"/>
    <x:xf numFmtId="0" fontId="14" fillId="0" borderId="13" xfId="0" applyFont="1" applyBorder="1"/>
    <x:xf numFmtId="0" fontId="14" fillId="0" borderId="13" xfId="0" applyFont="1" applyBorder="1" applyAlignment="1">
      <x:alignment horizontal="left"/>
    </x:xf>
    <x:xf numFmtId="0" fontId="14" fillId="0" borderId="53" xfId="0" applyFont="1" applyBorder="1"/>
    <x:xf numFmtId="0" fontId="14" fillId="0" borderId="54" xfId="0" applyFont="1" applyBorder="1"/>
    <x:xf numFmtId="14" fontId="14" fillId="0" borderId="27" xfId="0" applyNumberFormat="1" applyFont="1" applyBorder="1"/>
    <x:xf numFmtId="8" fontId="14" fillId="0" borderId="27" xfId="0" applyNumberFormat="1" applyFont="1" applyBorder="1" applyAlignment="1">
      <x:alignment horizontal="left"/>
    </x:xf>
    <x:xf numFmtId="14" fontId="14" fillId="0" borderId="13" xfId="0" applyNumberFormat="1" applyFont="1" applyBorder="1"/>
    <x:xf numFmtId="8" fontId="14" fillId="0" borderId="13" xfId="0" applyNumberFormat="1" applyFont="1" applyBorder="1" applyAlignment="1">
      <x:alignment horizontal="left"/>
    </x:xf>
    <x:xf numFmtId="0" fontId="14" fillId="0" borderId="55" xfId="0" applyFont="1" applyBorder="1" applyAlignment="1">
      <x:alignment wrapText="1"/>
    </x:xf>
    <x:xf numFmtId="0" fontId="14" fillId="0" borderId="22" xfId="0" applyFont="1" applyBorder="1"/>
    <x:xf numFmtId="0" fontId="14" fillId="0" borderId="27" xfId="0" applyFont="1" applyBorder="1" applyAlignment="1">
      <x:alignment wrapText="1"/>
    </x:xf>
    <x:xf numFmtId="0" fontId="14" fillId="0" borderId="24" xfId="0" applyFont="1" applyBorder="1"/>
    <x:xf numFmtId="0" fontId="14" fillId="0" borderId="40" xfId="0" applyFont="1" applyBorder="1" applyAlignment="1">
      <x:alignment wrapText="1"/>
    </x:xf>
    <x:xf numFmtId="0" fontId="3" fillId="5" borderId="21" xfId="0" applyFont="1" applyFill="1" applyBorder="1" applyAlignment="1">
      <x:alignment horizontal="center" vertical="center" wrapText="1"/>
    </x:xf>
    <x:xf numFmtId="0" fontId="3" fillId="5" borderId="22" xfId="0" applyFont="1" applyFill="1" applyBorder="1" applyAlignment="1">
      <x:alignment horizontal="center" vertical="center" wrapText="1"/>
    </x:xf>
    <x:xf numFmtId="3" fontId="3" fillId="2" borderId="4" xfId="0" applyNumberFormat="1" applyFont="1" applyFill="1" applyBorder="1" applyAlignment="1">
      <x:alignment horizontal="center"/>
    </x:xf>
    <x:xf numFmtId="3" fontId="3" fillId="2" borderId="5" xfId="0" applyNumberFormat="1" applyFont="1" applyFill="1" applyBorder="1" applyAlignment="1">
      <x:alignment horizontal="center"/>
    </x:xf>
    <x:xf numFmtId="3" fontId="3" fillId="2" borderId="6" xfId="0" applyNumberFormat="1" applyFont="1" applyFill="1" applyBorder="1" applyAlignment="1">
      <x:alignment horizontal="center"/>
    </x:xf>
    <x:xf numFmtId="0" fontId="7" fillId="0" borderId="0" xfId="0" applyFont="1" applyAlignment="1">
      <x:alignment horizontal="right"/>
    </x:xf>
    <x:xf numFmtId="0" fontId="7" fillId="0" borderId="2" xfId="0" applyFont="1" applyBorder="1" applyAlignment="1">
      <x:alignment horizontal="right"/>
    </x:xf>
    <x:xf numFmtId="0" fontId="3" fillId="0" borderId="16" xfId="0" applyFont="1" applyBorder="1" applyAlignment="1">
      <x:alignment horizontal="right"/>
    </x:xf>
    <x:xf numFmtId="0" fontId="3" fillId="0" borderId="2" xfId="0" applyFont="1" applyBorder="1" applyAlignment="1">
      <x:alignment horizontal="right"/>
    </x:xf>
    <x:xf numFmtId="0" fontId="3" fillId="0" borderId="0" xfId="0" applyFont="1" applyAlignment="1">
      <x:alignment horizontal="right"/>
    </x:xf>
    <x:xf numFmtId="166" fontId="3" fillId="2" borderId="37" xfId="0" applyNumberFormat="1" applyFont="1" applyFill="1" applyBorder="1" applyAlignment="1">
      <x:alignment horizontal="center"/>
    </x:xf>
    <x:xf numFmtId="166" fontId="3" fillId="2" borderId="1" xfId="0" applyNumberFormat="1" applyFont="1" applyFill="1" applyBorder="1" applyAlignment="1">
      <x:alignment horizontal="center"/>
    </x:xf>
    <x:xf numFmtId="166" fontId="3" fillId="2" borderId="38" xfId="0" applyNumberFormat="1" applyFont="1" applyFill="1" applyBorder="1" applyAlignment="1">
      <x:alignment horizontal="center"/>
    </x:xf>
    <x:xf numFmtId="168" fontId="13" fillId="0" borderId="0" xfId="0" applyNumberFormat="1" applyFont="1" applyBorder="1" applyAlignment="1">
      <x:alignment horizontal="left" vertical="center"/>
    </x:xf>
    <x:xf numFmtId="0" fontId="13" fillId="0" borderId="0" xfId="0" applyFont="1" applyBorder="1" applyAlignment="1">
      <x:alignment horizontal="left" vertical="center"/>
    </x:xf>
  </x:cellXfs>
  <x:cellStyles count="4">
    <x:cellStyle name="Currency 2" xfId="2" xr:uid="{C819F491-96B6-415F-B3EE-ED5A59A1E95E}"/>
    <x:cellStyle name="Hyperlink 2" xfId="1" xr:uid="{CC325EF1-D419-4C9C-9B2E-E53FF65CE885}"/>
    <x:cellStyle name="Normal" xfId="0" builtinId="0"/>
    <x:cellStyle name="Normal 2 2" xfId="3" xr:uid="{EFDA3BDD-7E2C-4F3B-BEB7-091BB23895D4}"/>
  </x:cellStyles>
  <x:dxfs count="3">
    <x:dxf>
      <x:fill>
        <x:patternFill>
          <x:bgColor rgb="FFFFFF00"/>
        </x:patternFill>
      </x:fill>
    </x:dxf>
    <x:dxf>
      <x:fill>
        <x:patternFill>
          <x:bgColor rgb="FFFF7C80"/>
        </x:patternFill>
      </x:fill>
    </x:dxf>
    <x:dxf>
      <x:fill>
        <x:patternFill>
          <x:bgColor rgb="FFFF7C8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styles" Target="styles.xml" Id="rId3" /><Relationship Type="http://schemas.openxmlformats.org/officeDocument/2006/relationships/customXml" Target="../customXml/item1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eetMetadata" Target="metadata.xml" Id="rId5" /><Relationship Type="http://schemas.openxmlformats.org/officeDocument/2006/relationships/sharedStrings" Target="sharedStrings.xml" Id="rId4" /><Relationship Type="http://schemas.openxmlformats.org/officeDocument/2006/relationships/customXml" Target="../customXml/item3.xml" Id="rId9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77F1DEB-197D-49C6-A2E3-152C1AC7B373}" mc:Ignorable="x14ac xr xr2 xr3">
  <x:dimension ref="A1:EI68"/>
  <x:sheetViews>
    <x:sheetView showGridLines="0" tabSelected="1" zoomScale="80" zoomScaleNormal="80" workbookViewId="0">
      <x:selection activeCell="E15" sqref="E15"/>
    </x:sheetView>
  </x:sheetViews>
  <x:sheetFormatPr defaultRowHeight="15" x14ac:dyDescent="0.25"/>
  <x:cols>
    <x:col min="1" max="1" width="22.7109375" bestFit="1" customWidth="1"/>
    <x:col min="2" max="2" width="14.7109375" style="28" bestFit="1" customWidth="1"/>
    <x:col min="3" max="3" width="12.28515625" customWidth="1"/>
    <x:col min="4" max="4" width="11.5703125" customWidth="1"/>
    <x:col min="5" max="5" width="14.28515625" customWidth="1"/>
    <x:col min="6" max="6" width="24.42578125" bestFit="1" customWidth="1"/>
    <x:col min="7" max="7" width="13.85546875" bestFit="1" customWidth="1"/>
    <x:col min="8" max="10" width="10.85546875" customWidth="1"/>
    <x:col min="11" max="11" width="15.5703125" style="41" bestFit="1" customWidth="1"/>
    <x:col min="12" max="12" width="37.140625" customWidth="1"/>
    <x:col min="13" max="13" width="12.42578125" customWidth="1"/>
    <x:col min="14" max="73" width="8.85546875" customWidth="1"/>
    <x:col min="74" max="74" width="10.85546875" customWidth="1"/>
    <x:col min="75" max="75" width="15.5703125" customWidth="1"/>
    <x:col min="76" max="76" width="16.7109375" customWidth="1"/>
  </x:cols>
  <x:sheetData>
    <x:row r="1" spans="1:77" x14ac:dyDescent="0.25">
      <x:c r="A1" s="13"/>
      <x:c r="B1" s="29"/>
      <x:c r="C1" s="14"/>
      <x:c r="D1" s="14"/>
      <x:c r="E1" s="14"/>
      <x:c r="F1" s="14"/>
      <x:c r="G1" s="31"/>
      <x:c r="H1" s="37"/>
      <x:c r="I1" s="37"/>
      <x:c r="J1" s="37"/>
    </x:row>
    <x:row r="2" spans="1:77" x14ac:dyDescent="0.25">
      <x:c r="A2" s="15" t="s">
        <x:v>0</x:v>
      </x:c>
      <x:c r="B2" s="32"/>
      <x:c r="C2" s="33"/>
      <x:c r="D2" s="34" t="s">
        <x:v>1</x:v>
      </x:c>
      <x:c r="E2" s="34">
        <x:v>2026</x:v>
      </x:c>
      <x:c r="F2" s="34"/>
      <x:c r="G2" s="35">
        <x:f>C2</x:f>
        <x:v>0</x:v>
      </x:c>
      <x:c r="H2" s="46"/>
      <x:c r="I2" s="46"/>
      <x:c r="J2" s="46"/>
    </x:row>
    <x:row r="3" spans="1:77" x14ac:dyDescent="0.25">
      <x:c r="A3" s="15" t="s">
        <x:v>2</x:v>
      </x:c>
      <x:c r="B3" s="36" t="s">
        <x:v>3</x:v>
      </x:c>
      <x:c r="C3" s="33">
        <x:v>0</x:v>
      </x:c>
      <x:c r="D3" s="34">
        <x:v>2321511</x:v>
      </x:c>
      <x:c r="E3" s="34">
        <x:v>2026</x:v>
      </x:c>
      <x:c r="F3" s="34"/>
      <x:c r="G3" s="35">
        <x:v>0</x:v>
      </x:c>
      <x:c r="H3" s="46"/>
      <x:c r="I3" s="46"/>
      <x:c r="J3" s="46"/>
    </x:row>
    <x:row r="4" spans="1:77" x14ac:dyDescent="0.25">
      <x:c r="A4" s="16" t="s">
        <x:v>4</x:v>
      </x:c>
      <x:c r="B4" s="30"/>
      <x:c r="C4" s="37"/>
      <x:c r="D4" s="37"/>
      <x:c r="E4" s="37"/>
      <x:c r="F4" s="37"/>
      <x:c r="G4" s="38"/>
      <x:c r="H4" s="47"/>
      <x:c r="I4" s="47"/>
      <x:c r="J4" s="47"/>
      <x:c r="S4" s="1"/>
      <x:c r="T4" s="1"/>
      <x:c r="U4" s="1"/>
    </x:row>
    <x:row r="5" spans="1:77" x14ac:dyDescent="0.25">
      <x:c r="A5" s="16" t="s">
        <x:v>5</x:v>
      </x:c>
      <x:c r="B5" s="39" t="s">
        <x:v>6</x:v>
      </x:c>
      <x:c r="C5" s="37"/>
      <x:c r="D5" s="37"/>
      <x:c r="E5" s="40" t="str">
        <x:f>IF(SUMIFS(BV:BV,A:A,"Contingency")&gt;0,"Contingency is "&amp;TEXT(SUMIFS(BV:BV,A:A,"Contingency"),"$#,##"),IF(SUMIFS(BV:BV,A:A,"Contingency")&lt;0,"Overspent by "&amp;TEXT(SUMIFS(BV:BV,A:A,"Contingency"),"$#,##"),"No contingency"))</x:f>
        <x:v>No contingency</x:v>
      </x:c>
      <x:c r="F5" s="40"/>
      <x:c r="G5" s="17"/>
      <x:c r="H5" s="37"/>
      <x:c r="I5" s="37"/>
      <x:c r="J5" s="37"/>
    </x:row>
    <x:row r="6" spans="1:77" ht="15.75" thickBot="1" x14ac:dyDescent="0.3">
      <x:c r="A6" s="18"/>
      <x:c r="B6" s="19"/>
      <x:c r="C6" s="20"/>
      <x:c r="D6" s="20"/>
      <x:c r="E6" s="21"/>
      <x:c r="F6" s="21"/>
      <x:c r="G6" s="22"/>
      <x:c r="H6" s="37"/>
      <x:c r="I6" s="37"/>
      <x:c r="J6" s="37"/>
    </x:row>
    <x:row r="7" spans="1:77" ht="15.75" thickBot="1" x14ac:dyDescent="0.3">
      <x:c r="K7" s="42"/>
      <x:c r="L7" s="6"/>
    </x:row>
    <x:row r="8" spans="1:77" x14ac:dyDescent="0.25">
      <x:c r="A8" s="105" t="s">
        <x:v>7</x:v>
      </x:c>
      <x:c r="B8" s="106"/>
      <x:c r="D8" s="55" t="s">
        <x:v>8</x:v>
      </x:c>
      <x:c r="E8" s="10"/>
      <x:c r="F8" s="10"/>
      <x:c r="G8" s="10"/>
      <x:c r="H8" s="10"/>
      <x:c r="I8" s="10"/>
      <x:c r="J8" s="10"/>
      <x:c r="S8" s="2"/>
      <x:c r="T8" s="2"/>
      <x:c r="U8" s="2"/>
    </x:row>
    <x:row r="9" spans="1:77" x14ac:dyDescent="0.25">
      <x:c r="A9" s="25" t="s">
        <x:v>9</x:v>
      </x:c>
      <x:c r="B9" s="23" t="s">
        <x:v>10</x:v>
      </x:c>
      <x:c r="D9" s="11"/>
      <x:c r="E9" s="12"/>
      <x:c r="F9" s="12"/>
      <x:c r="G9" s="12"/>
      <x:c r="H9" s="12"/>
      <x:c r="I9" s="12"/>
      <x:c r="J9" s="12"/>
    </x:row>
    <x:row r="10" spans="1:77" x14ac:dyDescent="0.25">
      <x:c r="A10" s="26" t="s">
        <x:v>12</x:v>
      </x:c>
      <x:c r="B10" s="23" t="s">
        <x:v>10</x:v>
      </x:c>
      <x:c r="D10" s="11"/>
      <x:c r="E10" s="12"/>
      <x:c r="F10" s="12"/>
      <x:c r="G10" s="12"/>
      <x:c r="H10" s="12"/>
      <x:c r="I10" s="12"/>
      <x:c r="J10" s="12"/>
      <x:c r="K10" s="43"/>
    </x:row>
    <x:row r="11" spans="1:77" ht="15.75" thickBot="1" x14ac:dyDescent="0.3">
      <x:c r="A11" s="27" t="s">
        <x:v>15</x:v>
      </x:c>
      <x:c r="B11" s="24" t="s">
        <x:v>10</x:v>
      </x:c>
      <x:c r="D11" s="11"/>
      <x:c r="E11" s="12"/>
      <x:c r="F11" s="12"/>
      <x:c r="G11" s="12"/>
      <x:c r="H11" s="12"/>
      <x:c r="I11" s="12"/>
      <x:c r="J11" s="12"/>
      <x:c r="K11" s="44"/>
      <x:c r="BW11" s="9" t="s">
        <x:v>11</x:v>
      </x:c>
    </x:row>
    <x:row r="12" spans="1:77" ht="15.75" thickBot="1" x14ac:dyDescent="0.3">
      <x:c r="A12" s="118"/>
      <x:c r="B12" s="119"/>
      <x:c r="D12" s="11"/>
      <x:c r="E12" s="12"/>
      <x:c r="F12" s="12"/>
      <x:c r="G12" s="12"/>
      <x:c r="H12" s="12"/>
      <x:c r="I12" s="12"/>
      <x:c r="J12" s="12"/>
      <x:c r="K12" s="44"/>
      <x:c r="BW12" s="9"/>
    </x:row>
    <x:row r="13" spans="1:77" ht="16.5" thickBot="1" x14ac:dyDescent="0.3">
      <x:c r="K13" s="44"/>
      <x:c r="L13" s="110" t="s">
        <x:v>13</x:v>
      </x:c>
      <x:c r="M13" s="111"/>
      <x:c r="N13" s="107" cm="1">
        <x:f t="array" ref="N13">SUM(Q17:Q67)+SUM(_xlfn._xlws.FILTER(P17:P67,Q17:Q67=""))+SUM(_xlfn._xlws.FILTER(O17:O67,(P17:P67="")*(Q17:Q67="")))+SUMIFS(R17:R67,Q17:Q67,"&lt;&gt;"&amp;"",$P$17:$P$67,"&lt;&gt;"&amp;"")+SUM(N17:N67)</x:f>
        <x:v>0</x:v>
      </x:c>
      <x:c r="O13" s="108"/>
      <x:c r="P13" s="108"/>
      <x:c r="Q13" s="108"/>
      <x:c r="R13" s="109"/>
      <x:c r="S13" s="107" cm="1">
        <x:f t="array" ref="S13">SUM(V17:V67)+SUM(_xlfn._xlws.FILTER(U17:U67,V17:V67=""))+SUM(_xlfn._xlws.FILTER(T17:T67,(U17:U67="")*(V17:V67="")))+SUMIFS(W17:W67,V17:V67,"&lt;&gt;"&amp;"",$P$17:$P$67,"&lt;&gt;"&amp;"")+SUM(S17:S67)</x:f>
        <x:v>0</x:v>
      </x:c>
      <x:c r="T13" s="108"/>
      <x:c r="U13" s="108"/>
      <x:c r="V13" s="108"/>
      <x:c r="W13" s="109"/>
      <x:c r="X13" s="107" cm="1">
        <x:f t="array" ref="X13">SUM(AA17:AA67)+SUM(_xlfn._xlws.FILTER(Z17:Z67,AA17:AA67=""))+SUM(_xlfn._xlws.FILTER(Y17:Y67,(Z17:Z67="")*(AA17:AA67="")))+SUMIFS(AB17:AB67,AA17:AA67,"&lt;&gt;"&amp;"",$P$17:$P$67,"&lt;&gt;"&amp;"")+SUM(X17:X67)</x:f>
        <x:v>0</x:v>
      </x:c>
      <x:c r="Y13" s="108"/>
      <x:c r="Z13" s="108"/>
      <x:c r="AA13" s="108"/>
      <x:c r="AB13" s="109"/>
      <x:c r="AC13" s="107" cm="1">
        <x:f t="array" ref="AC13">SUM(AF17:AF67)+SUM(_xlfn._xlws.FILTER(AE17:AE67,AF17:AF67=""))+SUM(_xlfn._xlws.FILTER(AD17:AD67,(AE17:AE67="")*(AF17:AF67="")))+SUMIFS(AG17:AG67,AF17:AF67,"&lt;&gt;"&amp;"",$P$17:$P$67,"&lt;&gt;"&amp;"")+SUM(AC17:AC67)</x:f>
        <x:v>0</x:v>
      </x:c>
      <x:c r="AD13" s="108"/>
      <x:c r="AE13" s="108"/>
      <x:c r="AF13" s="108"/>
      <x:c r="AG13" s="109"/>
      <x:c r="AH13" s="107" cm="1">
        <x:f t="array" ref="AH13">SUM(AK17:AK67)+SUM(_xlfn._xlws.FILTER(AJ17:AJ67,AK17:AK67=""))+SUM(_xlfn._xlws.FILTER(AI17:AI67,(AJ17:AJ67="")*(AK17:AK67="")))+SUMIFS(AL17:AL67,AK17:AK67,"&lt;&gt;"&amp;"",$P$17:$P$67,"&lt;&gt;"&amp;"")+SUM(AH17:AH67)</x:f>
        <x:v>0</x:v>
      </x:c>
      <x:c r="AI13" s="108"/>
      <x:c r="AJ13" s="108"/>
      <x:c r="AK13" s="108"/>
      <x:c r="AL13" s="109"/>
      <x:c r="AM13" s="107" cm="1">
        <x:f t="array" ref="AM13">SUM(AP17:AP67)+SUM(_xlfn._xlws.FILTER(AO17:AO67,AP17:AP67=""))+SUM(_xlfn._xlws.FILTER(AN17:AN67,(AO17:AO67="")*(AP17:AP67="")))+SUMIFS(AQ17:AQ67,AP17:AP67,"&lt;&gt;"&amp;"",$P$17:$P$67,"&lt;&gt;"&amp;"")+SUM(AM17:AM67)</x:f>
        <x:v>0</x:v>
      </x:c>
      <x:c r="AN13" s="108"/>
      <x:c r="AO13" s="108"/>
      <x:c r="AP13" s="108"/>
      <x:c r="AQ13" s="109"/>
      <x:c r="AR13" s="107" cm="1">
        <x:f t="array" ref="AR13">SUM(AU17:AU67)+SUM(_xlfn._xlws.FILTER(AT17:AT67,AU17:AU67=""))+SUM(_xlfn._xlws.FILTER(AS17:AS67,(AT17:AT67="")*(AU17:AU67="")))+SUMIFS(AV17:AV67,AU17:AU67,"&lt;&gt;"&amp;"",$P$17:$P$67,"&lt;&gt;"&amp;"")+SUM(AR17:AR67)</x:f>
        <x:v>0</x:v>
      </x:c>
      <x:c r="AS13" s="108"/>
      <x:c r="AT13" s="108"/>
      <x:c r="AU13" s="108"/>
      <x:c r="AV13" s="109"/>
      <x:c r="AW13" s="107" cm="1">
        <x:f t="array" ref="AW13">SUM(AZ17:AZ67)+SUM(_xlfn._xlws.FILTER(AY17:AY67,AZ17:AZ67=""))+SUM(_xlfn._xlws.FILTER(AX17:AX67,(AY17:AY67="")*(AZ17:AZ67="")))+SUMIFS(BA17:BA67,AZ17:AZ67,"&lt;&gt;"&amp;"",$P$17:$P$67,"&lt;&gt;"&amp;"")+SUM(AW17:AW67)</x:f>
        <x:v>0</x:v>
      </x:c>
      <x:c r="AX13" s="108"/>
      <x:c r="AY13" s="108"/>
      <x:c r="AZ13" s="108"/>
      <x:c r="BA13" s="109"/>
      <x:c r="BB13" s="107" cm="1">
        <x:f t="array" ref="BB13">SUM(BE17:BE67)+SUM(_xlfn._xlws.FILTER(BD17:BD67,BE17:BE67=""))+SUM(_xlfn._xlws.FILTER(BC17:BC67,(BD17:BD67="")*(BE17:BE67="")))+SUMIFS(BF17:BF67,BE17:BE67,"&lt;&gt;"&amp;"",$P$17:$P$67,"&lt;&gt;"&amp;"")+SUM(BB17:BB67)</x:f>
        <x:v>0</x:v>
      </x:c>
      <x:c r="BC13" s="108"/>
      <x:c r="BD13" s="108"/>
      <x:c r="BE13" s="108"/>
      <x:c r="BF13" s="109"/>
      <x:c r="BG13" s="107" cm="1">
        <x:f t="array" ref="BG13">SUM(BJ17:BJ67)+SUM(_xlfn._xlws.FILTER(BI17:BI67,BJ17:BJ67=""))+SUM(_xlfn._xlws.FILTER(BH17:BH67,(BI17:BI67="")*(BJ17:BJ67="")))+SUMIFS(BK17:BK67,BJ17:BJ67,"&lt;&gt;"&amp;"",$P$17:$P$67,"&lt;&gt;"&amp;"")+SUM(BG17:BG67)</x:f>
        <x:v>0</x:v>
      </x:c>
      <x:c r="BH13" s="108"/>
      <x:c r="BI13" s="108"/>
      <x:c r="BJ13" s="108"/>
      <x:c r="BK13" s="109"/>
      <x:c r="BL13" s="107" cm="1">
        <x:f t="array" ref="BL13">SUM(BO17:BO67)+SUM(_xlfn._xlws.FILTER(BN17:BN67,BO17:BO67=""))+SUM(_xlfn._xlws.FILTER(BM17:BM67,(BN17:BN67="")*(BO17:BO67="")))+SUMIFS(BP17:BP67,BO17:BO67,"&lt;&gt;"&amp;"",$P$17:$P$67,"&lt;&gt;"&amp;"")+SUM(BL17:BL67)</x:f>
        <x:v>0</x:v>
      </x:c>
      <x:c r="BM13" s="108"/>
      <x:c r="BN13" s="108"/>
      <x:c r="BO13" s="108"/>
      <x:c r="BP13" s="109"/>
      <x:c r="BQ13" s="107" cm="1">
        <x:f t="array" ref="BQ13">SUM(BT17:BT67)+SUM(_xlfn._xlws.FILTER(BS17:BS67,BT17:BT67=""))+SUM(_xlfn._xlws.FILTER(BR17:BR67,(BS17:BS67="")*(BT17:BT67="")))+SUMIFS(BU17:BU67,BT17:BT67,"&lt;&gt;"&amp;"",$P$17:$P$67,"&lt;&gt;"&amp;"")+SUM(BQ17:BQ67)</x:f>
        <x:v>0</x:v>
      </x:c>
      <x:c r="BR13" s="108"/>
      <x:c r="BS13" s="108"/>
      <x:c r="BT13" s="108"/>
      <x:c r="BU13" s="109"/>
      <x:c r="BV13" s="4" t="s">
        <x:v>14</x:v>
      </x:c>
      <x:c r="BW13" s="5">
        <x:f>BW15-BV15</x:f>
        <x:v>0</x:v>
      </x:c>
    </x:row>
    <x:row r="14" spans="1:77" ht="15.75" thickBot="1" x14ac:dyDescent="0.3">
      <x:c r="K14" s="45" t="s">
        <x:v>16</x:v>
      </x:c>
      <x:c r="L14" s="112" t="s">
        <x:v>17</x:v>
      </x:c>
      <x:c r="M14" s="113"/>
      <x:c r="N14" s="107" cm="1">
        <x:f t="array" ref="N14">SUM(Q17:Q67)+SUM(_xlfn._xlws.FILTER(P17:P67,Q17:Q67=""))+SUM(_xlfn._xlws.FILTER(O17:O67,(P17:P67="")*(Q17:Q67="")))</x:f>
        <x:v>0</x:v>
      </x:c>
      <x:c r="O14" s="108"/>
      <x:c r="P14" s="108"/>
      <x:c r="Q14" s="108"/>
      <x:c r="R14" s="109"/>
      <x:c r="S14" s="107" cm="1">
        <x:f t="array" ref="S14">SUM(V17:V67)+SUM(_xlfn._xlws.FILTER(U17:U67,V17:V67=""))+SUM(_xlfn._xlws.FILTER(T17:T67,(U17:U67="")*(V17:V67="")))</x:f>
        <x:v>0</x:v>
      </x:c>
      <x:c r="T14" s="108"/>
      <x:c r="U14" s="108"/>
      <x:c r="V14" s="108"/>
      <x:c r="W14" s="109"/>
      <x:c r="X14" s="107" cm="1">
        <x:f t="array" ref="X14">SUM(AA17:AA67)+SUM(_xlfn._xlws.FILTER(Z17:Z67,AA17:AA67=""))+SUM(_xlfn._xlws.FILTER(Y17:Y67,(Z17:Z67="")*(AA17:AA67="")))</x:f>
        <x:v>0</x:v>
      </x:c>
      <x:c r="Y14" s="108"/>
      <x:c r="Z14" s="108"/>
      <x:c r="AA14" s="108"/>
      <x:c r="AB14" s="109"/>
      <x:c r="AC14" s="107" cm="1">
        <x:f t="array" ref="AC14">SUM(AF17:AF67)+SUM(_xlfn._xlws.FILTER(AE17:AE67,AF17:AF67=""))+SUM(_xlfn._xlws.FILTER(AD17:AD67,(AE17:AE67="")*(AF17:AF67="")))</x:f>
        <x:v>0</x:v>
      </x:c>
      <x:c r="AD14" s="108"/>
      <x:c r="AE14" s="108"/>
      <x:c r="AF14" s="108"/>
      <x:c r="AG14" s="109"/>
      <x:c r="AH14" s="107" cm="1">
        <x:f t="array" ref="AH14">SUM(AK17:AK67)+SUM(_xlfn._xlws.FILTER(AJ17:AJ67,AK17:AK67=""))+SUM(_xlfn._xlws.FILTER(AI17:AI67,(AJ17:AJ67="")*(AK17:AK67="")))</x:f>
        <x:v>0</x:v>
      </x:c>
      <x:c r="AI14" s="108"/>
      <x:c r="AJ14" s="108"/>
      <x:c r="AK14" s="108"/>
      <x:c r="AL14" s="109"/>
      <x:c r="AM14" s="107" cm="1">
        <x:f t="array" ref="AM14">SUM(AP17:AP67)+SUM(_xlfn._xlws.FILTER(AO17:AO67,AP17:AP67=""))+SUM(_xlfn._xlws.FILTER(AN17:AN67,(AO17:AO67="")*(AP17:AP67="")))</x:f>
        <x:v>0</x:v>
      </x:c>
      <x:c r="AN14" s="108"/>
      <x:c r="AO14" s="108"/>
      <x:c r="AP14" s="108"/>
      <x:c r="AQ14" s="109"/>
      <x:c r="AR14" s="107" cm="1">
        <x:f t="array" ref="AR14">SUM(AU17:AU67)+SUM(_xlfn._xlws.FILTER(AT17:AT67,AU17:AU67=""))+SUM(_xlfn._xlws.FILTER(AS17:AS67,(AT17:AT67="")*(AU17:AU67="")))</x:f>
        <x:v>0</x:v>
      </x:c>
      <x:c r="AS14" s="108"/>
      <x:c r="AT14" s="108"/>
      <x:c r="AU14" s="108"/>
      <x:c r="AV14" s="109"/>
      <x:c r="AW14" s="107" cm="1">
        <x:f t="array" ref="AW14">SUM(AZ17:AZ67)+SUM(_xlfn._xlws.FILTER(AY17:AY67,AZ17:AZ67=""))+SUM(_xlfn._xlws.FILTER(AX17:AX67,(AY17:AY67="")*(AZ17:AZ67="")))</x:f>
        <x:v>0</x:v>
      </x:c>
      <x:c r="AX14" s="108"/>
      <x:c r="AY14" s="108"/>
      <x:c r="AZ14" s="108"/>
      <x:c r="BA14" s="109"/>
      <x:c r="BB14" s="107" cm="1">
        <x:f t="array" ref="BB14">SUM(BE17:BE67)+SUM(_xlfn._xlws.FILTER(BD17:BD67,BE17:BE67=""))+SUM(_xlfn._xlws.FILTER(BC17:BC67,(BD17:BD67="")*(BE17:BE67="")))</x:f>
        <x:v>0</x:v>
      </x:c>
      <x:c r="BC14" s="108"/>
      <x:c r="BD14" s="108"/>
      <x:c r="BE14" s="108"/>
      <x:c r="BF14" s="109"/>
      <x:c r="BG14" s="107" cm="1">
        <x:f t="array" ref="BG14">SUM(BJ17:BJ67)+SUM(_xlfn._xlws.FILTER(BI17:BI67,BJ17:BJ67=""))+SUM(_xlfn._xlws.FILTER(BH17:BH67,(BI17:BI67="")*(BJ17:BJ67="")))</x:f>
        <x:v>0</x:v>
      </x:c>
      <x:c r="BH14" s="108"/>
      <x:c r="BI14" s="108"/>
      <x:c r="BJ14" s="108"/>
      <x:c r="BK14" s="109"/>
      <x:c r="BL14" s="107" cm="1">
        <x:f t="array" ref="BL14">SUM(BO17:BO67)+SUM(_xlfn._xlws.FILTER(BN17:BN67,BO17:BO67=""))+SUM(_xlfn._xlws.FILTER(BM17:BM67,(BN17:BN67="")*(BO17:BO67="")))</x:f>
        <x:v>0</x:v>
      </x:c>
      <x:c r="BM14" s="108"/>
      <x:c r="BN14" s="108"/>
      <x:c r="BO14" s="108"/>
      <x:c r="BP14" s="109"/>
      <x:c r="BQ14" s="107" cm="1">
        <x:f t="array" ref="BQ14">SUM(BT17:BT67)+SUM(_xlfn._xlws.FILTER(BS17:BS67,BT17:BT67=""))+SUM(_xlfn._xlws.FILTER(BR17:BR67,(BS17:BS67="")*(BT17:BT67="")))</x:f>
        <x:v>0</x:v>
      </x:c>
      <x:c r="BR14" s="108"/>
      <x:c r="BS14" s="108"/>
      <x:c r="BT14" s="108"/>
      <x:c r="BU14" s="109"/>
      <x:c r="BV14" s="4"/>
      <x:c r="BW14" s="5"/>
    </x:row>
    <x:row r="15" spans="1:77" ht="16.5" thickBot="1" x14ac:dyDescent="0.3">
      <x:c r="A15" s="6" t="s">
        <x:v>18</x:v>
      </x:c>
      <x:c r="H15" s="6"/>
      <x:c r="I15" s="6"/>
      <x:c r="J15" s="6"/>
      <x:c r="K15" s="54">
        <x:f>SUBTOTAL(9,K17:K18)</x:f>
        <x:v>190781</x:v>
      </x:c>
      <x:c r="L15" s="114" t="s">
        <x:v>19</x:v>
      </x:c>
      <x:c r="M15" s="113"/>
      <x:c r="N15" s="115">
        <x:v>46053</x:v>
      </x:c>
      <x:c r="O15" s="116" t="s">
        <x:v>20</x:v>
      </x:c>
      <x:c r="P15" s="116"/>
      <x:c r="Q15" s="116"/>
      <x:c r="R15" s="116"/>
      <x:c r="S15" s="115">
        <x:v>46054</x:v>
      </x:c>
      <x:c r="T15" s="116"/>
      <x:c r="U15" s="116"/>
      <x:c r="V15" s="116"/>
      <x:c r="W15" s="117"/>
      <x:c r="X15" s="115">
        <x:v>46112</x:v>
      </x:c>
      <x:c r="Y15" s="116" t="s">
        <x:v>21</x:v>
      </x:c>
      <x:c r="Z15" s="116"/>
      <x:c r="AA15" s="116"/>
      <x:c r="AB15" s="117"/>
      <x:c r="AC15" s="115">
        <x:v>46142</x:v>
      </x:c>
      <x:c r="AD15" s="116" t="s">
        <x:v>22</x:v>
      </x:c>
      <x:c r="AE15" s="116"/>
      <x:c r="AF15" s="116"/>
      <x:c r="AG15" s="117"/>
      <x:c r="AH15" s="115">
        <x:v>46173</x:v>
      </x:c>
      <x:c r="AI15" s="116" t="s">
        <x:v>23</x:v>
      </x:c>
      <x:c r="AJ15" s="116"/>
      <x:c r="AK15" s="116"/>
      <x:c r="AL15" s="117"/>
      <x:c r="AM15" s="115">
        <x:v>46203</x:v>
      </x:c>
      <x:c r="AN15" s="116" t="s">
        <x:v>24</x:v>
      </x:c>
      <x:c r="AO15" s="116"/>
      <x:c r="AP15" s="116"/>
      <x:c r="AQ15" s="117"/>
      <x:c r="AR15" s="115">
        <x:v>46234</x:v>
      </x:c>
      <x:c r="AS15" s="116" t="s">
        <x:v>25</x:v>
      </x:c>
      <x:c r="AT15" s="116"/>
      <x:c r="AU15" s="116"/>
      <x:c r="AV15" s="117"/>
      <x:c r="AW15" s="115">
        <x:v>46265</x:v>
      </x:c>
      <x:c r="AX15" s="116" t="s">
        <x:v>26</x:v>
      </x:c>
      <x:c r="AY15" s="116"/>
      <x:c r="AZ15" s="116"/>
      <x:c r="BA15" s="117"/>
      <x:c r="BB15" s="115">
        <x:v>46295</x:v>
      </x:c>
      <x:c r="BC15" s="116" t="s">
        <x:v>27</x:v>
      </x:c>
      <x:c r="BD15" s="116"/>
      <x:c r="BE15" s="116"/>
      <x:c r="BF15" s="117"/>
      <x:c r="BG15" s="115">
        <x:v>46326</x:v>
      </x:c>
      <x:c r="BH15" s="116" t="s">
        <x:v>28</x:v>
      </x:c>
      <x:c r="BI15" s="116"/>
      <x:c r="BJ15" s="116"/>
      <x:c r="BK15" s="117"/>
      <x:c r="BL15" s="115">
        <x:v>46356</x:v>
      </x:c>
      <x:c r="BM15" s="116" t="s">
        <x:v>29</x:v>
      </x:c>
      <x:c r="BN15" s="116"/>
      <x:c r="BO15" s="116"/>
      <x:c r="BP15" s="117"/>
      <x:c r="BQ15" s="115">
        <x:v>46387</x:v>
      </x:c>
      <x:c r="BR15" s="116" t="s">
        <x:v>30</x:v>
      </x:c>
      <x:c r="BS15" s="116"/>
      <x:c r="BT15" s="116"/>
      <x:c r="BU15" s="117"/>
      <x:c r="BV15" s="7">
        <x:f>SUM(BV17:BV67)</x:f>
        <x:v>0</x:v>
      </x:c>
      <x:c r="BW15" s="8"/>
      <x:c r="BY15" s="3"/>
    </x:row>
    <x:row r="16" spans="1:77" ht="60.75" thickBot="1" x14ac:dyDescent="0.3">
      <x:c r="A16" s="56" t="s">
        <x:v>31</x:v>
      </x:c>
      <x:c r="B16" s="57" t="s">
        <x:v>32</x:v>
      </x:c>
      <x:c r="C16" s="58" t="s">
        <x:v>33</x:v>
      </x:c>
      <x:c r="D16" s="59" t="s">
        <x:v>34</x:v>
      </x:c>
      <x:c r="E16" s="60" t="s">
        <x:v>35</x:v>
      </x:c>
      <x:c r="F16" s="60" t="s">
        <x:v>36</x:v>
      </x:c>
      <x:c r="G16" s="58" t="s">
        <x:v>37</x:v>
      </x:c>
      <x:c r="H16" s="58" t="s">
        <x:v>38</x:v>
      </x:c>
      <x:c r="I16" s="58" t="s">
        <x:v>39</x:v>
      </x:c>
      <x:c r="J16" s="58" t="s">
        <x:v>7</x:v>
      </x:c>
      <x:c r="K16" s="61" t="s">
        <x:v>40</x:v>
      </x:c>
      <x:c r="L16" s="62" t="s">
        <x:v>41</x:v>
      </x:c>
      <x:c r="M16" s="48" t="s">
        <x:v>42</x:v>
      </x:c>
      <x:c r="N16" s="51" t="str">
        <x:v>Accrual Reversal Dec (25)</x:v>
      </x:c>
      <x:c r="O16" s="52" t="s">
        <x:v>44</x:v>
      </x:c>
      <x:c r="P16" s="52" t="s">
        <x:v>45</x:v>
      </x:c>
      <x:c r="Q16" s="52" t="s">
        <x:v>46</x:v>
      </x:c>
      <x:c r="R16" s="50" t="s">
        <x:v>47</x:v>
      </x:c>
      <x:c r="S16" s="63" t="s">
        <x:v>48</x:v>
      </x:c>
      <x:c r="T16" s="52" t="s">
        <x:v>49</x:v>
      </x:c>
      <x:c r="U16" s="52" t="s">
        <x:v>50</x:v>
      </x:c>
      <x:c r="V16" s="64" t="s">
        <x:v>51</x:v>
      </x:c>
      <x:c r="W16" s="65" t="s">
        <x:v>47</x:v>
      </x:c>
      <x:c r="X16" s="63" t="s">
        <x:v>52</x:v>
      </x:c>
      <x:c r="Y16" s="52" t="s">
        <x:v>53</x:v>
      </x:c>
      <x:c r="Z16" s="52" t="s">
        <x:v>54</x:v>
      </x:c>
      <x:c r="AA16" s="64" t="s">
        <x:v>55</x:v>
      </x:c>
      <x:c r="AB16" s="65" t="s">
        <x:v>47</x:v>
      </x:c>
      <x:c r="AC16" s="63" t="s">
        <x:v>56</x:v>
      </x:c>
      <x:c r="AD16" s="52" t="s">
        <x:v>57</x:v>
      </x:c>
      <x:c r="AE16" s="52" t="s">
        <x:v>58</x:v>
      </x:c>
      <x:c r="AF16" s="64" t="s">
        <x:v>59</x:v>
      </x:c>
      <x:c r="AG16" s="65" t="s">
        <x:v>47</x:v>
      </x:c>
      <x:c r="AH16" s="63" t="s">
        <x:v>60</x:v>
      </x:c>
      <x:c r="AI16" s="52" t="s">
        <x:v>61</x:v>
      </x:c>
      <x:c r="AJ16" s="52" t="s">
        <x:v>62</x:v>
      </x:c>
      <x:c r="AK16" s="64" t="s">
        <x:v>63</x:v>
      </x:c>
      <x:c r="AL16" s="65" t="s">
        <x:v>47</x:v>
      </x:c>
      <x:c r="AM16" s="63" t="s">
        <x:v>64</x:v>
      </x:c>
      <x:c r="AN16" s="52" t="s">
        <x:v>65</x:v>
      </x:c>
      <x:c r="AO16" s="52" t="s">
        <x:v>66</x:v>
      </x:c>
      <x:c r="AP16" s="64" t="s">
        <x:v>67</x:v>
      </x:c>
      <x:c r="AQ16" s="65" t="s">
        <x:v>47</x:v>
      </x:c>
      <x:c r="AR16" s="63" t="s">
        <x:v>68</x:v>
      </x:c>
      <x:c r="AS16" s="52" t="s">
        <x:v>69</x:v>
      </x:c>
      <x:c r="AT16" s="52" t="s">
        <x:v>70</x:v>
      </x:c>
      <x:c r="AU16" s="64" t="s">
        <x:v>71</x:v>
      </x:c>
      <x:c r="AV16" s="65" t="s">
        <x:v>47</x:v>
      </x:c>
      <x:c r="AW16" s="63" t="s">
        <x:v>72</x:v>
      </x:c>
      <x:c r="AX16" s="52" t="s">
        <x:v>73</x:v>
      </x:c>
      <x:c r="AY16" s="52" t="s">
        <x:v>74</x:v>
      </x:c>
      <x:c r="AZ16" s="64" t="s">
        <x:v>75</x:v>
      </x:c>
      <x:c r="BA16" s="65" t="s">
        <x:v>47</x:v>
      </x:c>
      <x:c r="BB16" s="63" t="s">
        <x:v>76</x:v>
      </x:c>
      <x:c r="BC16" s="52" t="s">
        <x:v>77</x:v>
      </x:c>
      <x:c r="BD16" s="52" t="s">
        <x:v>78</x:v>
      </x:c>
      <x:c r="BE16" s="64" t="s">
        <x:v>79</x:v>
      </x:c>
      <x:c r="BF16" s="65" t="s">
        <x:v>47</x:v>
      </x:c>
      <x:c r="BG16" s="63" t="s">
        <x:v>80</x:v>
      </x:c>
      <x:c r="BH16" s="52" t="s">
        <x:v>81</x:v>
      </x:c>
      <x:c r="BI16" s="52" t="s">
        <x:v>82</x:v>
      </x:c>
      <x:c r="BJ16" s="64" t="s">
        <x:v>83</x:v>
      </x:c>
      <x:c r="BK16" s="65" t="s">
        <x:v>47</x:v>
      </x:c>
      <x:c r="BL16" s="63" t="s">
        <x:v>84</x:v>
      </x:c>
      <x:c r="BM16" s="52" t="str">
        <x:v>Forecast Nov (25)</x:v>
      </x:c>
      <x:c r="BN16" s="52" t="str">
        <x:v>Accrual Nov (25)</x:v>
      </x:c>
      <x:c r="BO16" s="64" t="str">
        <x:v>Actual Nov (25)</x:v>
      </x:c>
      <x:c r="BP16" s="65" t="s">
        <x:v>47</x:v>
      </x:c>
      <x:c r="BQ16" s="63" t="str">
        <x:v>Accrual Reversal Nov (25)</x:v>
      </x:c>
      <x:c r="BR16" s="52" t="s">
        <x:v>89</x:v>
      </x:c>
      <x:c r="BS16" s="52" t="s">
        <x:v>90</x:v>
      </x:c>
      <x:c r="BT16" s="64" t="s">
        <x:v>91</x:v>
      </x:c>
      <x:c r="BU16" s="65" t="s">
        <x:v>47</x:v>
      </x:c>
      <x:c r="BV16" s="51" t="s">
        <x:v>92</x:v>
      </x:c>
      <x:c r="BW16" s="52" t="s">
        <x:v>93</x:v>
      </x:c>
      <x:c r="BX16" s="48" t="s">
        <x:v>94</x:v>
      </x:c>
    </x:row>
    <x:row r="17" spans="1:139" x14ac:dyDescent="0.25">
      <x:c r="A17" s="79" t="s">
        <x:v>97</x:v>
      </x:c>
      <x:c r="B17" s="94">
        <x:v>9501133449</x:v>
      </x:c>
      <x:c r="C17" s="96">
        <x:v>45993</x:v>
      </x:c>
      <x:c r="D17" s="96">
        <x:v>46173</x:v>
      </x:c>
      <x:c r="E17" s="81" t="s">
        <x:v>98</x:v>
      </x:c>
      <x:c r="F17" s="80" t="s">
        <x:v>99</x:v>
      </x:c>
      <x:c r="G17" s="80">
        <x:v>41500000</x:v>
      </x:c>
      <x:c r="H17" s="80">
        <x:v>3840</x:v>
      </x:c>
      <x:c r="I17" s="80" t="s">
        <x:v>100</x:v>
      </x:c>
      <x:c r="J17" s="80">
        <x:v>2430238</x:v>
      </x:c>
      <x:c r="K17" s="97">
        <x:v>66363</x:v>
      </x:c>
      <x:c r="L17" s="100" t="s">
        <x:v>165</x:v>
      </x:c>
      <x:c r="M17" s="101" t="s">
        <x:v>166</x:v>
      </x:c>
      <x:c r="N17" s="82"/>
      <x:c r="O17" s="83"/>
      <x:c r="P17" s="83"/>
      <x:c r="Q17" s="84"/>
      <x:c r="R17" s="84">
        <x:f>P17-Q17</x:f>
        <x:v>0</x:v>
      </x:c>
      <x:c r="S17" s="85"/>
      <x:c r="T17" s="83"/>
      <x:c r="U17" s="83"/>
      <x:c r="V17" s="84"/>
      <x:c r="W17" s="86">
        <x:f>U17-V17</x:f>
        <x:v>0</x:v>
      </x:c>
      <x:c r="X17" s="87"/>
      <x:c r="Y17" s="83"/>
      <x:c r="Z17" s="83"/>
      <x:c r="AA17" s="84"/>
      <x:c r="AB17" s="86">
        <x:f>Z17-AA17</x:f>
        <x:v>0</x:v>
      </x:c>
      <x:c r="AC17" s="87"/>
      <x:c r="AD17" s="83"/>
      <x:c r="AE17" s="83"/>
      <x:c r="AF17" s="83"/>
      <x:c r="AG17" s="86">
        <x:f>AE17-AF17</x:f>
        <x:v>0</x:v>
      </x:c>
      <x:c r="AH17" s="87"/>
      <x:c r="AI17" s="83"/>
      <x:c r="AJ17" s="83"/>
      <x:c r="AK17" s="83"/>
      <x:c r="AL17" s="86">
        <x:f>AJ17-AK17</x:f>
        <x:v>0</x:v>
      </x:c>
      <x:c r="AM17" s="87"/>
      <x:c r="AN17" s="83"/>
      <x:c r="AO17" s="83"/>
      <x:c r="AP17" s="83"/>
      <x:c r="AQ17" s="86">
        <x:f>AO17-AP17</x:f>
        <x:v>0</x:v>
      </x:c>
      <x:c r="AR17" s="87"/>
      <x:c r="AS17" s="83"/>
      <x:c r="AT17" s="83"/>
      <x:c r="AU17" s="83"/>
      <x:c r="AV17" s="86">
        <x:f>AT17-AU17</x:f>
        <x:v>0</x:v>
      </x:c>
      <x:c r="AW17" s="87"/>
      <x:c r="AX17" s="83"/>
      <x:c r="AY17" s="83"/>
      <x:c r="AZ17" s="83"/>
      <x:c r="BA17" s="86">
        <x:f>AY17-AZ17</x:f>
        <x:v>0</x:v>
      </x:c>
      <x:c r="BB17" s="87"/>
      <x:c r="BC17" s="83"/>
      <x:c r="BD17" s="83"/>
      <x:c r="BE17" s="83"/>
      <x:c r="BF17" s="86">
        <x:f>BD17-BE17</x:f>
        <x:v>0</x:v>
      </x:c>
      <x:c r="BG17" s="87"/>
      <x:c r="BH17" s="83"/>
      <x:c r="BI17" s="83"/>
      <x:c r="BJ17" s="83"/>
      <x:c r="BK17" s="86">
        <x:f>BI17-BJ17</x:f>
        <x:v>0</x:v>
      </x:c>
      <x:c r="BL17" s="87"/>
      <x:c r="BM17" s="83"/>
      <x:c r="BN17" s="83"/>
      <x:c r="BO17" s="83"/>
      <x:c r="BP17" s="86">
        <x:f>BN17-BO17</x:f>
        <x:v>0</x:v>
      </x:c>
      <x:c r="BQ17" s="87"/>
      <x:c r="BR17" s="83"/>
      <x:c r="BS17" s="83"/>
      <x:c r="BT17" s="83"/>
      <x:c r="BU17" s="86">
        <x:f>BS17-BT17</x:f>
        <x:v>0</x:v>
      </x:c>
      <x:c r="BV17" s="88">
        <x:v>0</x:v>
      </x:c>
      <x:c r="BW17" s="89"/>
      <x:c r="BX17" s="90"/>
      <x:c r="BY17" s="78"/>
      <x:c r="BZ17" s="78"/>
      <x:c r="CA17" s="78"/>
      <x:c r="CB17" s="78"/>
      <x:c r="CC17" s="78"/>
      <x:c r="CD17" s="78"/>
      <x:c r="CE17" s="78"/>
      <x:c r="CF17" s="78"/>
      <x:c r="CG17" s="78"/>
      <x:c r="CH17" s="78"/>
      <x:c r="CI17" s="78"/>
      <x:c r="CJ17" s="78"/>
      <x:c r="CK17" s="78"/>
      <x:c r="CL17" s="78"/>
      <x:c r="CM17" s="78"/>
      <x:c r="CN17" s="78"/>
      <x:c r="CO17" s="78"/>
      <x:c r="CP17" s="78"/>
      <x:c r="CQ17" s="78"/>
      <x:c r="CR17" s="78"/>
      <x:c r="CS17" s="78"/>
      <x:c r="CT17" s="78"/>
      <x:c r="CU17" s="78"/>
      <x:c r="CV17" s="78"/>
      <x:c r="CW17" s="78"/>
      <x:c r="CX17" s="78"/>
      <x:c r="CY17" s="78"/>
      <x:c r="CZ17" s="78"/>
      <x:c r="DA17" s="78"/>
      <x:c r="DB17" s="78"/>
      <x:c r="DC17" s="78"/>
      <x:c r="DD17" s="78"/>
      <x:c r="DE17" s="78"/>
      <x:c r="DF17" s="78"/>
      <x:c r="DG17" s="78"/>
      <x:c r="DH17" s="78"/>
      <x:c r="DI17" s="78"/>
      <x:c r="DJ17" s="78"/>
      <x:c r="DK17" s="78"/>
      <x:c r="DL17" s="78"/>
      <x:c r="DM17" s="78"/>
      <x:c r="DN17" s="78"/>
      <x:c r="DO17" s="78"/>
      <x:c r="DP17" s="78"/>
      <x:c r="DQ17" s="78"/>
      <x:c r="DR17" s="78"/>
      <x:c r="DS17" s="78"/>
      <x:c r="DT17" s="78"/>
      <x:c r="DU17" s="78"/>
      <x:c r="DV17" s="78"/>
      <x:c r="DW17" s="78"/>
      <x:c r="DX17" s="78"/>
      <x:c r="DY17" s="78"/>
      <x:c r="DZ17" s="78"/>
      <x:c r="EA17" s="78"/>
      <x:c r="EB17" s="78"/>
      <x:c r="EC17" s="78"/>
      <x:c r="ED17" s="78"/>
      <x:c r="EE17" s="78"/>
      <x:c r="EF17" s="78"/>
      <x:c r="EG17" s="78"/>
      <x:c r="EH17" s="78"/>
      <x:c r="EI17" s="78"/>
    </x:row>
    <x:row r="18" spans="1:139" x14ac:dyDescent="0.25">
      <x:c r="A18" s="91" t="s">
        <x:v>97</x:v>
      </x:c>
      <x:c r="B18" s="83">
        <x:v>9501133442</x:v>
      </x:c>
      <x:c r="C18" s="98">
        <x:v>45993</x:v>
      </x:c>
      <x:c r="D18" s="98">
        <x:v>46356</x:v>
      </x:c>
      <x:c r="E18" s="92" t="s">
        <x:v>101</x:v>
      </x:c>
      <x:c r="F18" s="92" t="s">
        <x:v>102</x:v>
      </x:c>
      <x:c r="G18" s="92">
        <x:v>41500000</x:v>
      </x:c>
      <x:c r="H18" s="92">
        <x:v>3840</x:v>
      </x:c>
      <x:c r="I18" s="92" t="s">
        <x:v>100</x:v>
      </x:c>
      <x:c r="J18" s="92">
        <x:v>2430238</x:v>
      </x:c>
      <x:c r="K18" s="99">
        <x:v>124418</x:v>
      </x:c>
      <x:c r="L18" s="102" t="s">
        <x:v>167</x:v>
      </x:c>
      <x:c r="M18" s="103" t="s">
        <x:v>166</x:v>
      </x:c>
      <x:c r="N18" s="82"/>
      <x:c r="O18" s="83"/>
      <x:c r="P18" s="83"/>
      <x:c r="Q18" s="84"/>
      <x:c r="R18" s="84">
        <x:f>P18-Q18</x:f>
        <x:v>0</x:v>
      </x:c>
      <x:c r="S18" s="85"/>
      <x:c r="T18" s="83"/>
      <x:c r="U18" s="83"/>
      <x:c r="V18" s="84"/>
      <x:c r="W18" s="86">
        <x:f>U18-V18</x:f>
        <x:v>0</x:v>
      </x:c>
      <x:c r="X18" s="87"/>
      <x:c r="Y18" s="83"/>
      <x:c r="Z18" s="83"/>
      <x:c r="AA18" s="84"/>
      <x:c r="AB18" s="86">
        <x:f>Z18-AA18</x:f>
        <x:v>0</x:v>
      </x:c>
      <x:c r="AC18" s="87"/>
      <x:c r="AD18" s="83"/>
      <x:c r="AE18" s="83"/>
      <x:c r="AF18" s="84"/>
      <x:c r="AG18" s="86">
        <x:f>AE18-AF18</x:f>
        <x:v>0</x:v>
      </x:c>
      <x:c r="AH18" s="87"/>
      <x:c r="AI18" s="83"/>
      <x:c r="AJ18" s="83"/>
      <x:c r="AK18" s="84"/>
      <x:c r="AL18" s="86">
        <x:f>AJ18-AK18</x:f>
        <x:v>0</x:v>
      </x:c>
      <x:c r="AM18" s="87"/>
      <x:c r="AN18" s="83"/>
      <x:c r="AO18" s="83"/>
      <x:c r="AP18" s="84"/>
      <x:c r="AQ18" s="86">
        <x:f>AO18-AP18</x:f>
        <x:v>0</x:v>
      </x:c>
      <x:c r="AR18" s="87"/>
      <x:c r="AS18" s="83"/>
      <x:c r="AT18" s="83"/>
      <x:c r="AU18" s="84"/>
      <x:c r="AV18" s="86">
        <x:f>AT18-AU18</x:f>
        <x:v>0</x:v>
      </x:c>
      <x:c r="AW18" s="87"/>
      <x:c r="AX18" s="83"/>
      <x:c r="AY18" s="83"/>
      <x:c r="AZ18" s="84"/>
      <x:c r="BA18" s="86">
        <x:f>AY18-AZ18</x:f>
        <x:v>0</x:v>
      </x:c>
      <x:c r="BB18" s="87"/>
      <x:c r="BC18" s="83"/>
      <x:c r="BD18" s="83"/>
      <x:c r="BE18" s="84"/>
      <x:c r="BF18" s="86">
        <x:f>BD18-BE18</x:f>
        <x:v>0</x:v>
      </x:c>
      <x:c r="BG18" s="87"/>
      <x:c r="BH18" s="83"/>
      <x:c r="BI18" s="83"/>
      <x:c r="BJ18" s="84"/>
      <x:c r="BK18" s="86">
        <x:f>BI18-BJ18</x:f>
        <x:v>0</x:v>
      </x:c>
      <x:c r="BL18" s="87"/>
      <x:c r="BM18" s="83"/>
      <x:c r="BN18" s="83"/>
      <x:c r="BO18" s="84"/>
      <x:c r="BP18" s="86">
        <x:f>BN18-BO18</x:f>
        <x:v>0</x:v>
      </x:c>
      <x:c r="BQ18" s="87"/>
      <x:c r="BR18" s="83"/>
      <x:c r="BS18" s="83"/>
      <x:c r="BT18" s="84"/>
      <x:c r="BU18" s="86">
        <x:f>BS18-BT18</x:f>
        <x:v>0</x:v>
      </x:c>
      <x:c r="BV18" s="85">
        <x:v>0</x:v>
      </x:c>
      <x:c r="BW18" s="89"/>
      <x:c r="BX18" s="90"/>
      <x:c r="BY18" s="78"/>
      <x:c r="BZ18" s="78"/>
      <x:c r="CA18" s="78"/>
      <x:c r="CB18" s="78"/>
      <x:c r="CC18" s="78"/>
      <x:c r="CD18" s="78"/>
      <x:c r="CE18" s="78"/>
      <x:c r="CF18" s="78"/>
      <x:c r="CG18" s="78"/>
      <x:c r="CH18" s="78"/>
      <x:c r="CI18" s="78"/>
      <x:c r="CJ18" s="78"/>
      <x:c r="CK18" s="78"/>
      <x:c r="CL18" s="78"/>
      <x:c r="CM18" s="78"/>
      <x:c r="CN18" s="78"/>
      <x:c r="CO18" s="78"/>
      <x:c r="CP18" s="78"/>
      <x:c r="CQ18" s="78"/>
      <x:c r="CR18" s="78"/>
      <x:c r="CS18" s="78"/>
      <x:c r="CT18" s="78"/>
      <x:c r="CU18" s="78"/>
      <x:c r="CV18" s="78"/>
      <x:c r="CW18" s="78"/>
      <x:c r="CX18" s="78"/>
      <x:c r="CY18" s="78"/>
      <x:c r="CZ18" s="78"/>
      <x:c r="DA18" s="78"/>
      <x:c r="DB18" s="78"/>
      <x:c r="DC18" s="78"/>
      <x:c r="DD18" s="78"/>
      <x:c r="DE18" s="78"/>
      <x:c r="DF18" s="78"/>
      <x:c r="DG18" s="78"/>
      <x:c r="DH18" s="78"/>
      <x:c r="DI18" s="78"/>
      <x:c r="DJ18" s="78"/>
      <x:c r="DK18" s="78"/>
      <x:c r="DL18" s="78"/>
      <x:c r="DM18" s="78"/>
      <x:c r="DN18" s="78"/>
      <x:c r="DO18" s="78"/>
      <x:c r="DP18" s="78"/>
      <x:c r="DQ18" s="78"/>
      <x:c r="DR18" s="78"/>
      <x:c r="DS18" s="78"/>
      <x:c r="DT18" s="78"/>
      <x:c r="DU18" s="78"/>
      <x:c r="DV18" s="78"/>
      <x:c r="DW18" s="78"/>
      <x:c r="DX18" s="78"/>
      <x:c r="DY18" s="78"/>
      <x:c r="DZ18" s="78"/>
      <x:c r="EA18" s="78"/>
      <x:c r="EB18" s="78"/>
      <x:c r="EC18" s="78"/>
      <x:c r="ED18" s="78"/>
      <x:c r="EE18" s="78"/>
      <x:c r="EF18" s="78"/>
      <x:c r="EG18" s="78"/>
      <x:c r="EH18" s="78"/>
      <x:c r="EI18" s="78"/>
    </x:row>
    <x:row r="19" spans="1:139" ht="30" x14ac:dyDescent="0.25">
      <x:c r="A19" s="91" t="s">
        <x:v>97</x:v>
      </x:c>
      <x:c r="B19" s="83">
        <x:v>9100561560</x:v>
      </x:c>
      <x:c r="C19" s="98">
        <x:v>46137</x:v>
      </x:c>
      <x:c r="D19" s="98">
        <x:v>46501</x:v>
      </x:c>
      <x:c r="E19" s="92" t="s">
        <x:v>103</x:v>
      </x:c>
      <x:c r="F19" s="92" t="s">
        <x:v>104</x:v>
      </x:c>
      <x:c r="G19" s="92">
        <x:v>61010000</x:v>
      </x:c>
      <x:c r="H19" s="92">
        <x:v>1400</x:v>
      </x:c>
      <x:c r="I19" s="92" t="s">
        <x:v>105</x:v>
      </x:c>
      <x:c r="J19" s="92">
        <x:v>2321403</x:v>
      </x:c>
      <x:c r="K19" s="99">
        <x:v>21098.22</x:v>
      </x:c>
      <x:c r="L19" s="104" t="s">
        <x:v>168</x:v>
      </x:c>
      <x:c r="M19" s="103" t="s">
        <x:v>166</x:v>
      </x:c>
      <x:c r="N19" s="82"/>
      <x:c r="O19" s="83"/>
      <x:c r="P19" s="83"/>
      <x:c r="Q19" s="84"/>
      <x:c r="R19" s="84">
        <x:f t="shared" ref="R19:R26" si="0">P19-Q19</x:f>
        <x:v>0</x:v>
      </x:c>
      <x:c r="S19" s="85"/>
      <x:c r="T19" s="83"/>
      <x:c r="U19" s="83"/>
      <x:c r="V19" s="84"/>
      <x:c r="W19" s="86">
        <x:f t="shared" ref="W19:W26" si="1">U19-V19</x:f>
        <x:v>0</x:v>
      </x:c>
      <x:c r="X19" s="87"/>
      <x:c r="Y19" s="83"/>
      <x:c r="Z19" s="83"/>
      <x:c r="AA19" s="84"/>
      <x:c r="AB19" s="86">
        <x:f t="shared" ref="AB19:AB26" si="2">Z19-AA19</x:f>
        <x:v>0</x:v>
      </x:c>
      <x:c r="AC19" s="87"/>
      <x:c r="AD19" s="83"/>
      <x:c r="AE19" s="83"/>
      <x:c r="AF19" s="84"/>
      <x:c r="AG19" s="86">
        <x:f t="shared" ref="AG19:AG26" si="3">AE19-AF19</x:f>
        <x:v>0</x:v>
      </x:c>
      <x:c r="AH19" s="87"/>
      <x:c r="AI19" s="83"/>
      <x:c r="AJ19" s="83"/>
      <x:c r="AK19" s="84"/>
      <x:c r="AL19" s="86">
        <x:f t="shared" ref="AL19:AL26" si="4">AJ19-AK19</x:f>
        <x:v>0</x:v>
      </x:c>
      <x:c r="AM19" s="87"/>
      <x:c r="AN19" s="83"/>
      <x:c r="AO19" s="83"/>
      <x:c r="AP19" s="84"/>
      <x:c r="AQ19" s="86">
        <x:f t="shared" ref="AQ19:AQ26" si="5">AO19-AP19</x:f>
        <x:v>0</x:v>
      </x:c>
      <x:c r="AR19" s="87"/>
      <x:c r="AS19" s="83"/>
      <x:c r="AT19" s="83"/>
      <x:c r="AU19" s="84"/>
      <x:c r="AV19" s="86">
        <x:f t="shared" ref="AV19:AV26" si="6">AT19-AU19</x:f>
        <x:v>0</x:v>
      </x:c>
      <x:c r="AW19" s="87"/>
      <x:c r="AX19" s="83"/>
      <x:c r="AY19" s="83"/>
      <x:c r="AZ19" s="84"/>
      <x:c r="BA19" s="86">
        <x:f t="shared" ref="BA19:BA26" si="7">AY19-AZ19</x:f>
        <x:v>0</x:v>
      </x:c>
      <x:c r="BB19" s="87"/>
      <x:c r="BC19" s="83"/>
      <x:c r="BD19" s="83"/>
      <x:c r="BE19" s="84"/>
      <x:c r="BF19" s="86">
        <x:f t="shared" ref="BF19:BF26" si="8">BD19-BE19</x:f>
        <x:v>0</x:v>
      </x:c>
      <x:c r="BG19" s="87"/>
      <x:c r="BH19" s="83"/>
      <x:c r="BI19" s="83"/>
      <x:c r="BJ19" s="84"/>
      <x:c r="BK19" s="86">
        <x:f t="shared" ref="BK19:BK26" si="9">BI19-BJ19</x:f>
        <x:v>0</x:v>
      </x:c>
      <x:c r="BL19" s="87"/>
      <x:c r="BM19" s="83"/>
      <x:c r="BN19" s="83"/>
      <x:c r="BO19" s="84"/>
      <x:c r="BP19" s="86">
        <x:f t="shared" ref="BP19:BP26" si="10">BN19-BO19</x:f>
        <x:v>0</x:v>
      </x:c>
      <x:c r="BQ19" s="87"/>
      <x:c r="BR19" s="83"/>
      <x:c r="BS19" s="83"/>
      <x:c r="BT19" s="84"/>
      <x:c r="BU19" s="86">
        <x:f t="shared" ref="BU19:BU26" si="11">BS19-BT19</x:f>
        <x:v>0</x:v>
      </x:c>
      <x:c r="BV19" s="85">
        <x:v>0</x:v>
      </x:c>
      <x:c r="BW19" s="89"/>
      <x:c r="BX19" s="90"/>
    </x:row>
    <x:row r="20" spans="1:139" x14ac:dyDescent="0.25">
      <x:c r="A20" s="91" t="s">
        <x:v>97</x:v>
      </x:c>
      <x:c r="B20" s="83">
        <x:v>9501079958</x:v>
      </x:c>
      <x:c r="C20" s="98">
        <x:v>45931</x:v>
      </x:c>
      <x:c r="D20" s="98">
        <x:v>46265</x:v>
      </x:c>
      <x:c r="E20" s="92" t="s">
        <x:v>106</x:v>
      </x:c>
      <x:c r="F20" s="92"/>
      <x:c r="G20" s="92"/>
      <x:c r="H20" s="92"/>
      <x:c r="I20" s="92"/>
      <x:c r="J20" s="92"/>
      <x:c r="K20" s="93"/>
      <x:c r="L20" s="104"/>
      <x:c r="M20" s="103"/>
      <x:c r="N20" s="82"/>
      <x:c r="O20" s="83"/>
      <x:c r="P20" s="83"/>
      <x:c r="Q20" s="84"/>
      <x:c r="R20" s="84">
        <x:f t="shared" si="0"/>
        <x:v>0</x:v>
      </x:c>
      <x:c r="S20" s="85"/>
      <x:c r="T20" s="83"/>
      <x:c r="U20" s="83"/>
      <x:c r="V20" s="84"/>
      <x:c r="W20" s="86">
        <x:f t="shared" si="1"/>
        <x:v>0</x:v>
      </x:c>
      <x:c r="X20" s="87"/>
      <x:c r="Y20" s="83"/>
      <x:c r="Z20" s="83"/>
      <x:c r="AA20" s="84"/>
      <x:c r="AB20" s="86">
        <x:f t="shared" si="2"/>
        <x:v>0</x:v>
      </x:c>
      <x:c r="AC20" s="87"/>
      <x:c r="AD20" s="83"/>
      <x:c r="AE20" s="83"/>
      <x:c r="AF20" s="84"/>
      <x:c r="AG20" s="86">
        <x:f t="shared" si="3"/>
        <x:v>0</x:v>
      </x:c>
      <x:c r="AH20" s="87"/>
      <x:c r="AI20" s="83"/>
      <x:c r="AJ20" s="83"/>
      <x:c r="AK20" s="84"/>
      <x:c r="AL20" s="86">
        <x:f t="shared" si="4"/>
        <x:v>0</x:v>
      </x:c>
      <x:c r="AM20" s="87"/>
      <x:c r="AN20" s="83"/>
      <x:c r="AO20" s="83"/>
      <x:c r="AP20" s="84"/>
      <x:c r="AQ20" s="86">
        <x:f t="shared" si="5"/>
        <x:v>0</x:v>
      </x:c>
      <x:c r="AR20" s="87"/>
      <x:c r="AS20" s="83"/>
      <x:c r="AT20" s="83"/>
      <x:c r="AU20" s="84"/>
      <x:c r="AV20" s="86">
        <x:f t="shared" si="6"/>
        <x:v>0</x:v>
      </x:c>
      <x:c r="AW20" s="87"/>
      <x:c r="AX20" s="83"/>
      <x:c r="AY20" s="83"/>
      <x:c r="AZ20" s="84"/>
      <x:c r="BA20" s="86">
        <x:f t="shared" si="7"/>
        <x:v>0</x:v>
      </x:c>
      <x:c r="BB20" s="87"/>
      <x:c r="BC20" s="83"/>
      <x:c r="BD20" s="83"/>
      <x:c r="BE20" s="84"/>
      <x:c r="BF20" s="86">
        <x:f t="shared" si="8"/>
        <x:v>0</x:v>
      </x:c>
      <x:c r="BG20" s="87"/>
      <x:c r="BH20" s="83"/>
      <x:c r="BI20" s="83"/>
      <x:c r="BJ20" s="84"/>
      <x:c r="BK20" s="86">
        <x:f t="shared" si="9"/>
        <x:v>0</x:v>
      </x:c>
      <x:c r="BL20" s="87"/>
      <x:c r="BM20" s="83"/>
      <x:c r="BN20" s="83"/>
      <x:c r="BO20" s="84"/>
      <x:c r="BP20" s="86">
        <x:f t="shared" si="10"/>
        <x:v>0</x:v>
      </x:c>
      <x:c r="BQ20" s="87"/>
      <x:c r="BR20" s="83"/>
      <x:c r="BS20" s="83"/>
      <x:c r="BT20" s="84"/>
      <x:c r="BU20" s="86">
        <x:f t="shared" si="11"/>
        <x:v>0</x:v>
      </x:c>
      <x:c r="BV20" s="85">
        <x:v>0</x:v>
      </x:c>
      <x:c r="BW20" s="89"/>
      <x:c r="BX20" s="90"/>
    </x:row>
    <x:row r="21" spans="1:139" x14ac:dyDescent="0.25">
      <x:c r="A21" s="91" t="s">
        <x:v>107</x:v>
      </x:c>
      <x:c r="B21" s="83">
        <x:v>9501215650</x:v>
      </x:c>
      <x:c r="C21" s="98">
        <x:v>46065</x:v>
      </x:c>
      <x:c r="D21" s="98">
        <x:v>46387</x:v>
      </x:c>
      <x:c r="E21" s="92" t="s">
        <x:v>108</x:v>
      </x:c>
      <x:c r="F21" s="92" t="s">
        <x:v>109</x:v>
      </x:c>
      <x:c r="G21" s="92">
        <x:v>41500000</x:v>
      </x:c>
      <x:c r="H21" s="92">
        <x:v>1400</x:v>
      </x:c>
      <x:c r="I21" s="92" t="s">
        <x:v>105</x:v>
      </x:c>
      <x:c r="J21" s="92">
        <x:v>2340693</x:v>
      </x:c>
      <x:c r="K21" s="99">
        <x:v>54880</x:v>
      </x:c>
      <x:c r="L21" s="104" t="s">
        <x:v>169</x:v>
      </x:c>
      <x:c r="M21" s="103" t="s">
        <x:v>166</x:v>
      </x:c>
      <x:c r="N21" s="82"/>
      <x:c r="O21" s="83"/>
      <x:c r="P21" s="83"/>
      <x:c r="Q21" s="84"/>
      <x:c r="R21" s="84">
        <x:f t="shared" si="0"/>
        <x:v>0</x:v>
      </x:c>
      <x:c r="S21" s="85"/>
      <x:c r="T21" s="83"/>
      <x:c r="U21" s="83"/>
      <x:c r="V21" s="84"/>
      <x:c r="W21" s="86">
        <x:f t="shared" si="1"/>
        <x:v>0</x:v>
      </x:c>
      <x:c r="X21" s="87"/>
      <x:c r="Y21" s="83"/>
      <x:c r="Z21" s="83"/>
      <x:c r="AA21" s="84"/>
      <x:c r="AB21" s="86">
        <x:f t="shared" si="2"/>
        <x:v>0</x:v>
      </x:c>
      <x:c r="AC21" s="87"/>
      <x:c r="AD21" s="83"/>
      <x:c r="AE21" s="83"/>
      <x:c r="AF21" s="84"/>
      <x:c r="AG21" s="86">
        <x:f t="shared" si="3"/>
        <x:v>0</x:v>
      </x:c>
      <x:c r="AH21" s="87"/>
      <x:c r="AI21" s="83"/>
      <x:c r="AJ21" s="83"/>
      <x:c r="AK21" s="84"/>
      <x:c r="AL21" s="86">
        <x:f t="shared" si="4"/>
        <x:v>0</x:v>
      </x:c>
      <x:c r="AM21" s="87"/>
      <x:c r="AN21" s="83"/>
      <x:c r="AO21" s="83"/>
      <x:c r="AP21" s="84"/>
      <x:c r="AQ21" s="86">
        <x:f t="shared" si="5"/>
        <x:v>0</x:v>
      </x:c>
      <x:c r="AR21" s="87"/>
      <x:c r="AS21" s="83"/>
      <x:c r="AT21" s="83"/>
      <x:c r="AU21" s="84"/>
      <x:c r="AV21" s="86">
        <x:f t="shared" si="6"/>
        <x:v>0</x:v>
      </x:c>
      <x:c r="AW21" s="87"/>
      <x:c r="AX21" s="83"/>
      <x:c r="AY21" s="83"/>
      <x:c r="AZ21" s="84"/>
      <x:c r="BA21" s="86">
        <x:f t="shared" si="7"/>
        <x:v>0</x:v>
      </x:c>
      <x:c r="BB21" s="87"/>
      <x:c r="BC21" s="83"/>
      <x:c r="BD21" s="83"/>
      <x:c r="BE21" s="84"/>
      <x:c r="BF21" s="86">
        <x:f t="shared" si="8"/>
        <x:v>0</x:v>
      </x:c>
      <x:c r="BG21" s="87"/>
      <x:c r="BH21" s="83"/>
      <x:c r="BI21" s="83"/>
      <x:c r="BJ21" s="84"/>
      <x:c r="BK21" s="86">
        <x:f t="shared" si="9"/>
        <x:v>0</x:v>
      </x:c>
      <x:c r="BL21" s="87"/>
      <x:c r="BM21" s="83"/>
      <x:c r="BN21" s="83"/>
      <x:c r="BO21" s="84"/>
      <x:c r="BP21" s="86">
        <x:f t="shared" si="10"/>
        <x:v>0</x:v>
      </x:c>
      <x:c r="BQ21" s="87"/>
      <x:c r="BR21" s="83"/>
      <x:c r="BS21" s="83"/>
      <x:c r="BT21" s="84"/>
      <x:c r="BU21" s="86">
        <x:f t="shared" si="11"/>
        <x:v>0</x:v>
      </x:c>
      <x:c r="BV21" s="85">
        <x:v>0</x:v>
      </x:c>
      <x:c r="BW21" s="89"/>
      <x:c r="BX21" s="90"/>
    </x:row>
    <x:row r="22" spans="1:139" ht="30" x14ac:dyDescent="0.25">
      <x:c r="A22" s="91"/>
      <x:c r="B22" s="83" t="s">
        <x:v>110</x:v>
      </x:c>
      <x:c r="C22" s="92"/>
      <x:c r="D22" s="92"/>
      <x:c r="E22" s="92"/>
      <x:c r="F22" s="92" t="s">
        <x:v>111</x:v>
      </x:c>
      <x:c r="G22" s="92"/>
      <x:c r="H22" s="92"/>
      <x:c r="I22" s="92"/>
      <x:c r="J22" s="92"/>
      <x:c r="K22" s="99">
        <x:v>150000</x:v>
      </x:c>
      <x:c r="L22" s="102" t="s">
        <x:v>170</x:v>
      </x:c>
      <x:c r="M22" s="103"/>
      <x:c r="N22" s="82"/>
      <x:c r="O22" s="83"/>
      <x:c r="P22" s="83"/>
      <x:c r="Q22" s="84"/>
      <x:c r="R22" s="84">
        <x:f t="shared" si="0"/>
        <x:v>0</x:v>
      </x:c>
      <x:c r="S22" s="85"/>
      <x:c r="T22" s="83"/>
      <x:c r="U22" s="83"/>
      <x:c r="V22" s="84"/>
      <x:c r="W22" s="86">
        <x:f t="shared" si="1"/>
        <x:v>0</x:v>
      </x:c>
      <x:c r="X22" s="87"/>
      <x:c r="Y22" s="83"/>
      <x:c r="Z22" s="83"/>
      <x:c r="AA22" s="84"/>
      <x:c r="AB22" s="86">
        <x:f t="shared" si="2"/>
        <x:v>0</x:v>
      </x:c>
      <x:c r="AC22" s="87"/>
      <x:c r="AD22" s="83"/>
      <x:c r="AE22" s="83"/>
      <x:c r="AF22" s="84"/>
      <x:c r="AG22" s="86">
        <x:f t="shared" si="3"/>
        <x:v>0</x:v>
      </x:c>
      <x:c r="AH22" s="87"/>
      <x:c r="AI22" s="83"/>
      <x:c r="AJ22" s="83"/>
      <x:c r="AK22" s="84"/>
      <x:c r="AL22" s="86">
        <x:f t="shared" si="4"/>
        <x:v>0</x:v>
      </x:c>
      <x:c r="AM22" s="87"/>
      <x:c r="AN22" s="83"/>
      <x:c r="AO22" s="83"/>
      <x:c r="AP22" s="84"/>
      <x:c r="AQ22" s="86">
        <x:f t="shared" si="5"/>
        <x:v>0</x:v>
      </x:c>
      <x:c r="AR22" s="87"/>
      <x:c r="AS22" s="83"/>
      <x:c r="AT22" s="83"/>
      <x:c r="AU22" s="84"/>
      <x:c r="AV22" s="86">
        <x:f t="shared" si="6"/>
        <x:v>0</x:v>
      </x:c>
      <x:c r="AW22" s="87"/>
      <x:c r="AX22" s="83"/>
      <x:c r="AY22" s="83"/>
      <x:c r="AZ22" s="84"/>
      <x:c r="BA22" s="86">
        <x:f t="shared" si="7"/>
        <x:v>0</x:v>
      </x:c>
      <x:c r="BB22" s="87"/>
      <x:c r="BC22" s="83"/>
      <x:c r="BD22" s="83"/>
      <x:c r="BE22" s="84"/>
      <x:c r="BF22" s="86">
        <x:f t="shared" si="8"/>
        <x:v>0</x:v>
      </x:c>
      <x:c r="BG22" s="87"/>
      <x:c r="BH22" s="83"/>
      <x:c r="BI22" s="83"/>
      <x:c r="BJ22" s="84"/>
      <x:c r="BK22" s="86">
        <x:f t="shared" si="9"/>
        <x:v>0</x:v>
      </x:c>
      <x:c r="BL22" s="87"/>
      <x:c r="BM22" s="83"/>
      <x:c r="BN22" s="83"/>
      <x:c r="BO22" s="84"/>
      <x:c r="BP22" s="86">
        <x:f t="shared" si="10"/>
        <x:v>0</x:v>
      </x:c>
      <x:c r="BQ22" s="87"/>
      <x:c r="BR22" s="83"/>
      <x:c r="BS22" s="83"/>
      <x:c r="BT22" s="84"/>
      <x:c r="BU22" s="86">
        <x:f t="shared" si="11"/>
        <x:v>0</x:v>
      </x:c>
      <x:c r="BV22" s="85">
        <x:v>0</x:v>
      </x:c>
      <x:c r="BW22" s="89"/>
      <x:c r="BX22" s="90"/>
    </x:row>
    <x:row r="23" spans="1:139" x14ac:dyDescent="0.25">
      <x:c r="A23" s="91" t="s">
        <x:v>112</x:v>
      </x:c>
      <x:c r="B23" s="83"/>
      <x:c r="C23" s="92"/>
      <x:c r="D23" s="92"/>
      <x:c r="E23" s="92" t="s">
        <x:v>101</x:v>
      </x:c>
      <x:c r="F23" s="92" t="s">
        <x:v>102</x:v>
      </x:c>
      <x:c r="G23" s="92">
        <x:v>41500000</x:v>
      </x:c>
      <x:c r="H23" s="92">
        <x:v>1400</x:v>
      </x:c>
      <x:c r="I23" s="92" t="s">
        <x:v>105</x:v>
      </x:c>
      <x:c r="J23" s="92">
        <x:v>2321403</x:v>
      </x:c>
      <x:c r="K23" s="93"/>
      <x:c r="L23" s="102" t="s">
        <x:v>171</x:v>
      </x:c>
      <x:c r="M23" s="103"/>
      <x:c r="N23" s="82"/>
      <x:c r="O23" s="83"/>
      <x:c r="P23" s="83"/>
      <x:c r="Q23" s="84"/>
      <x:c r="R23" s="84">
        <x:f t="shared" si="0"/>
        <x:v>0</x:v>
      </x:c>
      <x:c r="S23" s="85"/>
      <x:c r="T23" s="83"/>
      <x:c r="U23" s="83"/>
      <x:c r="V23" s="84"/>
      <x:c r="W23" s="86">
        <x:f t="shared" si="1"/>
        <x:v>0</x:v>
      </x:c>
      <x:c r="X23" s="87"/>
      <x:c r="Y23" s="83"/>
      <x:c r="Z23" s="83"/>
      <x:c r="AA23" s="84"/>
      <x:c r="AB23" s="86">
        <x:f t="shared" si="2"/>
        <x:v>0</x:v>
      </x:c>
      <x:c r="AC23" s="87"/>
      <x:c r="AD23" s="83"/>
      <x:c r="AE23" s="83"/>
      <x:c r="AF23" s="84"/>
      <x:c r="AG23" s="86">
        <x:f t="shared" si="3"/>
        <x:v>0</x:v>
      </x:c>
      <x:c r="AH23" s="87"/>
      <x:c r="AI23" s="83"/>
      <x:c r="AJ23" s="83"/>
      <x:c r="AK23" s="84"/>
      <x:c r="AL23" s="86">
        <x:f t="shared" si="4"/>
        <x:v>0</x:v>
      </x:c>
      <x:c r="AM23" s="87"/>
      <x:c r="AN23" s="83"/>
      <x:c r="AO23" s="83"/>
      <x:c r="AP23" s="84"/>
      <x:c r="AQ23" s="86">
        <x:f t="shared" si="5"/>
        <x:v>0</x:v>
      </x:c>
      <x:c r="AR23" s="87"/>
      <x:c r="AS23" s="83"/>
      <x:c r="AT23" s="83"/>
      <x:c r="AU23" s="84"/>
      <x:c r="AV23" s="86">
        <x:f t="shared" si="6"/>
        <x:v>0</x:v>
      </x:c>
      <x:c r="AW23" s="87"/>
      <x:c r="AX23" s="83"/>
      <x:c r="AY23" s="83"/>
      <x:c r="AZ23" s="84"/>
      <x:c r="BA23" s="86">
        <x:f t="shared" si="7"/>
        <x:v>0</x:v>
      </x:c>
      <x:c r="BB23" s="87"/>
      <x:c r="BC23" s="83"/>
      <x:c r="BD23" s="83"/>
      <x:c r="BE23" s="84"/>
      <x:c r="BF23" s="86">
        <x:f t="shared" si="8"/>
        <x:v>0</x:v>
      </x:c>
      <x:c r="BG23" s="87"/>
      <x:c r="BH23" s="83"/>
      <x:c r="BI23" s="83"/>
      <x:c r="BJ23" s="84"/>
      <x:c r="BK23" s="86">
        <x:f t="shared" si="9"/>
        <x:v>0</x:v>
      </x:c>
      <x:c r="BL23" s="87"/>
      <x:c r="BM23" s="83"/>
      <x:c r="BN23" s="83"/>
      <x:c r="BO23" s="84"/>
      <x:c r="BP23" s="86">
        <x:f t="shared" si="10"/>
        <x:v>0</x:v>
      </x:c>
      <x:c r="BQ23" s="87"/>
      <x:c r="BR23" s="83"/>
      <x:c r="BS23" s="83"/>
      <x:c r="BT23" s="84"/>
      <x:c r="BU23" s="86">
        <x:f t="shared" si="11"/>
        <x:v>0</x:v>
      </x:c>
      <x:c r="BV23" s="85">
        <x:v>0</x:v>
      </x:c>
      <x:c r="BW23" s="89"/>
      <x:c r="BX23" s="90"/>
    </x:row>
    <x:row r="24" spans="1:139" ht="30" x14ac:dyDescent="0.25">
      <x:c r="A24" s="91"/>
      <x:c r="B24" s="83"/>
      <x:c r="C24" s="92"/>
      <x:c r="D24" s="92"/>
      <x:c r="E24" s="92"/>
      <x:c r="F24" s="92" t="s">
        <x:v>113</x:v>
      </x:c>
      <x:c r="G24" s="92"/>
      <x:c r="H24" s="92"/>
      <x:c r="I24" s="92"/>
      <x:c r="J24" s="92"/>
      <x:c r="K24" s="93"/>
      <x:c r="L24" s="102" t="s">
        <x:v>172</x:v>
      </x:c>
      <x:c r="M24" s="103"/>
      <x:c r="N24" s="82"/>
      <x:c r="O24" s="83"/>
      <x:c r="P24" s="83"/>
      <x:c r="Q24" s="84"/>
      <x:c r="R24" s="84">
        <x:f t="shared" si="0"/>
        <x:v>0</x:v>
      </x:c>
      <x:c r="S24" s="85"/>
      <x:c r="T24" s="83"/>
      <x:c r="U24" s="83"/>
      <x:c r="V24" s="84"/>
      <x:c r="W24" s="86">
        <x:f t="shared" si="1"/>
        <x:v>0</x:v>
      </x:c>
      <x:c r="X24" s="87"/>
      <x:c r="Y24" s="83"/>
      <x:c r="Z24" s="83"/>
      <x:c r="AA24" s="84"/>
      <x:c r="AB24" s="86">
        <x:f t="shared" si="2"/>
        <x:v>0</x:v>
      </x:c>
      <x:c r="AC24" s="87"/>
      <x:c r="AD24" s="83"/>
      <x:c r="AE24" s="83"/>
      <x:c r="AF24" s="84"/>
      <x:c r="AG24" s="86">
        <x:f t="shared" si="3"/>
        <x:v>0</x:v>
      </x:c>
      <x:c r="AH24" s="87"/>
      <x:c r="AI24" s="83"/>
      <x:c r="AJ24" s="83"/>
      <x:c r="AK24" s="84"/>
      <x:c r="AL24" s="86">
        <x:f t="shared" si="4"/>
        <x:v>0</x:v>
      </x:c>
      <x:c r="AM24" s="87"/>
      <x:c r="AN24" s="83"/>
      <x:c r="AO24" s="83"/>
      <x:c r="AP24" s="84"/>
      <x:c r="AQ24" s="86">
        <x:f t="shared" si="5"/>
        <x:v>0</x:v>
      </x:c>
      <x:c r="AR24" s="87"/>
      <x:c r="AS24" s="83"/>
      <x:c r="AT24" s="83"/>
      <x:c r="AU24" s="84"/>
      <x:c r="AV24" s="86">
        <x:f t="shared" si="6"/>
        <x:v>0</x:v>
      </x:c>
      <x:c r="AW24" s="87"/>
      <x:c r="AX24" s="83"/>
      <x:c r="AY24" s="83"/>
      <x:c r="AZ24" s="84"/>
      <x:c r="BA24" s="86">
        <x:f t="shared" si="7"/>
        <x:v>0</x:v>
      </x:c>
      <x:c r="BB24" s="87"/>
      <x:c r="BC24" s="83"/>
      <x:c r="BD24" s="83"/>
      <x:c r="BE24" s="84"/>
      <x:c r="BF24" s="86">
        <x:f t="shared" si="8"/>
        <x:v>0</x:v>
      </x:c>
      <x:c r="BG24" s="87"/>
      <x:c r="BH24" s="83"/>
      <x:c r="BI24" s="83"/>
      <x:c r="BJ24" s="84"/>
      <x:c r="BK24" s="86">
        <x:f t="shared" si="9"/>
        <x:v>0</x:v>
      </x:c>
      <x:c r="BL24" s="87"/>
      <x:c r="BM24" s="83"/>
      <x:c r="BN24" s="83"/>
      <x:c r="BO24" s="84"/>
      <x:c r="BP24" s="86">
        <x:f t="shared" si="10"/>
        <x:v>0</x:v>
      </x:c>
      <x:c r="BQ24" s="87"/>
      <x:c r="BR24" s="83"/>
      <x:c r="BS24" s="83"/>
      <x:c r="BT24" s="84"/>
      <x:c r="BU24" s="86">
        <x:f t="shared" si="11"/>
        <x:v>0</x:v>
      </x:c>
      <x:c r="BV24" s="85">
        <x:v>0</x:v>
      </x:c>
      <x:c r="BW24" s="89"/>
      <x:c r="BX24" s="90"/>
    </x:row>
    <x:row r="25" spans="1:139" ht="30" x14ac:dyDescent="0.25">
      <x:c r="A25" s="91"/>
      <x:c r="B25" s="83"/>
      <x:c r="C25" s="92"/>
      <x:c r="D25" s="92"/>
      <x:c r="E25" s="92"/>
      <x:c r="F25" s="92" t="s">
        <x:v>114</x:v>
      </x:c>
      <x:c r="G25" s="92"/>
      <x:c r="H25" s="92"/>
      <x:c r="I25" s="92"/>
      <x:c r="J25" s="92"/>
      <x:c r="K25" s="93"/>
      <x:c r="L25" s="102" t="s">
        <x:v>173</x:v>
      </x:c>
      <x:c r="M25" s="103"/>
      <x:c r="N25" s="82"/>
      <x:c r="O25" s="83"/>
      <x:c r="P25" s="83"/>
      <x:c r="Q25" s="84"/>
      <x:c r="R25" s="84">
        <x:f t="shared" si="0"/>
        <x:v>0</x:v>
      </x:c>
      <x:c r="S25" s="85"/>
      <x:c r="T25" s="83"/>
      <x:c r="U25" s="83"/>
      <x:c r="V25" s="84"/>
      <x:c r="W25" s="86">
        <x:f t="shared" si="1"/>
        <x:v>0</x:v>
      </x:c>
      <x:c r="X25" s="87"/>
      <x:c r="Y25" s="83"/>
      <x:c r="Z25" s="83"/>
      <x:c r="AA25" s="84"/>
      <x:c r="AB25" s="86">
        <x:f t="shared" si="2"/>
        <x:v>0</x:v>
      </x:c>
      <x:c r="AC25" s="87"/>
      <x:c r="AD25" s="83"/>
      <x:c r="AE25" s="83"/>
      <x:c r="AF25" s="84"/>
      <x:c r="AG25" s="86">
        <x:f t="shared" si="3"/>
        <x:v>0</x:v>
      </x:c>
      <x:c r="AH25" s="87"/>
      <x:c r="AI25" s="83"/>
      <x:c r="AJ25" s="83"/>
      <x:c r="AK25" s="84"/>
      <x:c r="AL25" s="86">
        <x:f t="shared" si="4"/>
        <x:v>0</x:v>
      </x:c>
      <x:c r="AM25" s="87"/>
      <x:c r="AN25" s="83"/>
      <x:c r="AO25" s="83"/>
      <x:c r="AP25" s="84"/>
      <x:c r="AQ25" s="86">
        <x:f t="shared" si="5"/>
        <x:v>0</x:v>
      </x:c>
      <x:c r="AR25" s="87"/>
      <x:c r="AS25" s="83"/>
      <x:c r="AT25" s="83"/>
      <x:c r="AU25" s="84"/>
      <x:c r="AV25" s="86">
        <x:f t="shared" si="6"/>
        <x:v>0</x:v>
      </x:c>
      <x:c r="AW25" s="87"/>
      <x:c r="AX25" s="83"/>
      <x:c r="AY25" s="83"/>
      <x:c r="AZ25" s="84"/>
      <x:c r="BA25" s="86">
        <x:f t="shared" si="7"/>
        <x:v>0</x:v>
      </x:c>
      <x:c r="BB25" s="87"/>
      <x:c r="BC25" s="83"/>
      <x:c r="BD25" s="83"/>
      <x:c r="BE25" s="84"/>
      <x:c r="BF25" s="86">
        <x:f t="shared" si="8"/>
        <x:v>0</x:v>
      </x:c>
      <x:c r="BG25" s="87"/>
      <x:c r="BH25" s="83"/>
      <x:c r="BI25" s="83"/>
      <x:c r="BJ25" s="84"/>
      <x:c r="BK25" s="86">
        <x:f t="shared" si="9"/>
        <x:v>0</x:v>
      </x:c>
      <x:c r="BL25" s="87"/>
      <x:c r="BM25" s="83"/>
      <x:c r="BN25" s="83"/>
      <x:c r="BO25" s="84"/>
      <x:c r="BP25" s="86">
        <x:f t="shared" si="10"/>
        <x:v>0</x:v>
      </x:c>
      <x:c r="BQ25" s="87"/>
      <x:c r="BR25" s="83"/>
      <x:c r="BS25" s="83"/>
      <x:c r="BT25" s="84"/>
      <x:c r="BU25" s="86">
        <x:f t="shared" si="11"/>
        <x:v>0</x:v>
      </x:c>
      <x:c r="BV25" s="85">
        <x:v>0</x:v>
      </x:c>
      <x:c r="BW25" s="89"/>
      <x:c r="BX25" s="90"/>
    </x:row>
    <x:row r="26" spans="1:139" ht="45" x14ac:dyDescent="0.25">
      <x:c r="A26" s="91"/>
      <x:c r="B26" s="83"/>
      <x:c r="C26" s="92"/>
      <x:c r="D26" s="92"/>
      <x:c r="E26" s="92"/>
      <x:c r="F26" s="92" t="s">
        <x:v>115</x:v>
      </x:c>
      <x:c r="G26" s="92"/>
      <x:c r="H26" s="92"/>
      <x:c r="I26" s="92"/>
      <x:c r="J26" s="92"/>
      <x:c r="K26" s="93"/>
      <x:c r="L26" s="102" t="s">
        <x:v>174</x:v>
      </x:c>
      <x:c r="M26" s="103"/>
      <x:c r="N26" s="82"/>
      <x:c r="O26" s="83"/>
      <x:c r="P26" s="83"/>
      <x:c r="Q26" s="84"/>
      <x:c r="R26" s="84">
        <x:f t="shared" si="0"/>
        <x:v>0</x:v>
      </x:c>
      <x:c r="S26" s="85"/>
      <x:c r="T26" s="83"/>
      <x:c r="U26" s="83"/>
      <x:c r="V26" s="84"/>
      <x:c r="W26" s="86">
        <x:f t="shared" si="1"/>
        <x:v>0</x:v>
      </x:c>
      <x:c r="X26" s="87"/>
      <x:c r="Y26" s="83"/>
      <x:c r="Z26" s="83"/>
      <x:c r="AA26" s="84"/>
      <x:c r="AB26" s="86">
        <x:f t="shared" si="2"/>
        <x:v>0</x:v>
      </x:c>
      <x:c r="AC26" s="87"/>
      <x:c r="AD26" s="83"/>
      <x:c r="AE26" s="83"/>
      <x:c r="AF26" s="84"/>
      <x:c r="AG26" s="86">
        <x:f t="shared" si="3"/>
        <x:v>0</x:v>
      </x:c>
      <x:c r="AH26" s="87"/>
      <x:c r="AI26" s="83"/>
      <x:c r="AJ26" s="83"/>
      <x:c r="AK26" s="84"/>
      <x:c r="AL26" s="86">
        <x:f t="shared" si="4"/>
        <x:v>0</x:v>
      </x:c>
      <x:c r="AM26" s="87"/>
      <x:c r="AN26" s="83"/>
      <x:c r="AO26" s="83"/>
      <x:c r="AP26" s="84"/>
      <x:c r="AQ26" s="86">
        <x:f t="shared" si="5"/>
        <x:v>0</x:v>
      </x:c>
      <x:c r="AR26" s="87"/>
      <x:c r="AS26" s="83"/>
      <x:c r="AT26" s="83"/>
      <x:c r="AU26" s="84"/>
      <x:c r="AV26" s="86">
        <x:f t="shared" si="6"/>
        <x:v>0</x:v>
      </x:c>
      <x:c r="AW26" s="87"/>
      <x:c r="AX26" s="83"/>
      <x:c r="AY26" s="83"/>
      <x:c r="AZ26" s="84"/>
      <x:c r="BA26" s="86">
        <x:f t="shared" si="7"/>
        <x:v>0</x:v>
      </x:c>
      <x:c r="BB26" s="87"/>
      <x:c r="BC26" s="83"/>
      <x:c r="BD26" s="83"/>
      <x:c r="BE26" s="84"/>
      <x:c r="BF26" s="86">
        <x:f t="shared" si="8"/>
        <x:v>0</x:v>
      </x:c>
      <x:c r="BG26" s="87"/>
      <x:c r="BH26" s="83"/>
      <x:c r="BI26" s="83"/>
      <x:c r="BJ26" s="84"/>
      <x:c r="BK26" s="86">
        <x:f t="shared" si="9"/>
        <x:v>0</x:v>
      </x:c>
      <x:c r="BL26" s="87"/>
      <x:c r="BM26" s="83"/>
      <x:c r="BN26" s="83"/>
      <x:c r="BO26" s="84"/>
      <x:c r="BP26" s="86">
        <x:f t="shared" si="10"/>
        <x:v>0</x:v>
      </x:c>
      <x:c r="BQ26" s="87"/>
      <x:c r="BR26" s="83"/>
      <x:c r="BS26" s="83"/>
      <x:c r="BT26" s="84"/>
      <x:c r="BU26" s="86">
        <x:f t="shared" si="11"/>
        <x:v>0</x:v>
      </x:c>
      <x:c r="BV26" s="85">
        <x:v>0</x:v>
      </x:c>
      <x:c r="BW26" s="89"/>
      <x:c r="BX26" s="90"/>
    </x:row>
    <x:row r="27" spans="1:139" ht="45" x14ac:dyDescent="0.25">
      <x:c r="A27" s="91"/>
      <x:c r="B27" s="83"/>
      <x:c r="C27" s="92"/>
      <x:c r="D27" s="92"/>
      <x:c r="E27" s="92"/>
      <x:c r="F27" s="92" t="s">
        <x:v>116</x:v>
      </x:c>
      <x:c r="G27" s="92"/>
      <x:c r="H27" s="92"/>
      <x:c r="I27" s="92"/>
      <x:c r="J27" s="92"/>
      <x:c r="K27" s="93"/>
      <x:c r="L27" s="102" t="s">
        <x:v>175</x:v>
      </x:c>
      <x:c r="M27" s="103"/>
      <x:c r="N27" s="82"/>
      <x:c r="O27" s="83"/>
      <x:c r="P27" s="83"/>
      <x:c r="Q27" s="84"/>
      <x:c r="R27" s="84">
        <x:f t="shared" ref="R27:R31" si="12">P27-Q27</x:f>
        <x:v>0</x:v>
      </x:c>
      <x:c r="S27" s="85"/>
      <x:c r="T27" s="83"/>
      <x:c r="U27" s="83"/>
      <x:c r="V27" s="84"/>
      <x:c r="W27" s="86">
        <x:f t="shared" ref="W27:W31" si="13">U27-V27</x:f>
        <x:v>0</x:v>
      </x:c>
      <x:c r="X27" s="87"/>
      <x:c r="Y27" s="83"/>
      <x:c r="Z27" s="83"/>
      <x:c r="AA27" s="84"/>
      <x:c r="AB27" s="86">
        <x:f t="shared" ref="AB27:AB31" si="14">Z27-AA27</x:f>
        <x:v>0</x:v>
      </x:c>
      <x:c r="AC27" s="87"/>
      <x:c r="AD27" s="83"/>
      <x:c r="AE27" s="83"/>
      <x:c r="AF27" s="84"/>
      <x:c r="AG27" s="86">
        <x:f t="shared" ref="AG27:AG31" si="15">AE27-AF27</x:f>
        <x:v>0</x:v>
      </x:c>
      <x:c r="AH27" s="87"/>
      <x:c r="AI27" s="83"/>
      <x:c r="AJ27" s="83"/>
      <x:c r="AK27" s="84"/>
      <x:c r="AL27" s="86">
        <x:f t="shared" ref="AL27:AL31" si="16">AJ27-AK27</x:f>
        <x:v>0</x:v>
      </x:c>
      <x:c r="AM27" s="87"/>
      <x:c r="AN27" s="83"/>
      <x:c r="AO27" s="83"/>
      <x:c r="AP27" s="84"/>
      <x:c r="AQ27" s="86">
        <x:f t="shared" ref="AQ27:AQ31" si="17">AO27-AP27</x:f>
        <x:v>0</x:v>
      </x:c>
      <x:c r="AR27" s="87"/>
      <x:c r="AS27" s="83"/>
      <x:c r="AT27" s="83"/>
      <x:c r="AU27" s="84"/>
      <x:c r="AV27" s="86">
        <x:f t="shared" ref="AV27:AV31" si="18">AT27-AU27</x:f>
        <x:v>0</x:v>
      </x:c>
      <x:c r="AW27" s="87"/>
      <x:c r="AX27" s="83"/>
      <x:c r="AY27" s="83"/>
      <x:c r="AZ27" s="84"/>
      <x:c r="BA27" s="86">
        <x:f t="shared" ref="BA27:BA31" si="19">AY27-AZ27</x:f>
        <x:v>0</x:v>
      </x:c>
      <x:c r="BB27" s="87"/>
      <x:c r="BC27" s="83"/>
      <x:c r="BD27" s="83"/>
      <x:c r="BE27" s="84"/>
      <x:c r="BF27" s="86">
        <x:f t="shared" ref="BF27:BF31" si="20">BD27-BE27</x:f>
        <x:v>0</x:v>
      </x:c>
      <x:c r="BG27" s="87"/>
      <x:c r="BH27" s="83"/>
      <x:c r="BI27" s="83"/>
      <x:c r="BJ27" s="84"/>
      <x:c r="BK27" s="86">
        <x:f t="shared" ref="BK27:BK31" si="21">BI27-BJ27</x:f>
        <x:v>0</x:v>
      </x:c>
      <x:c r="BL27" s="87"/>
      <x:c r="BM27" s="83"/>
      <x:c r="BN27" s="83"/>
      <x:c r="BO27" s="84"/>
      <x:c r="BP27" s="86">
        <x:f t="shared" ref="BP27:BP31" si="22">BN27-BO27</x:f>
        <x:v>0</x:v>
      </x:c>
      <x:c r="BQ27" s="87"/>
      <x:c r="BR27" s="83"/>
      <x:c r="BS27" s="83"/>
      <x:c r="BT27" s="84"/>
      <x:c r="BU27" s="86">
        <x:f t="shared" ref="BU27:BU31" si="23">BS27-BT27</x:f>
        <x:v>0</x:v>
      </x:c>
      <x:c r="BV27" s="85">
        <x:v>0</x:v>
      </x:c>
      <x:c r="BW27" s="89"/>
      <x:c r="BX27" s="90"/>
    </x:row>
    <x:row r="28" spans="1:139" x14ac:dyDescent="0.25">
      <x:c r="A28" s="91"/>
      <x:c r="B28" s="83"/>
      <x:c r="C28" s="92"/>
      <x:c r="D28" s="92"/>
      <x:c r="E28" s="92"/>
      <x:c r="F28" s="92" t="s">
        <x:v>117</x:v>
      </x:c>
      <x:c r="G28" s="92"/>
      <x:c r="H28" s="92"/>
      <x:c r="I28" s="92"/>
      <x:c r="J28" s="92"/>
      <x:c r="K28" s="93"/>
      <x:c r="L28" s="102" t="s">
        <x:v>176</x:v>
      </x:c>
      <x:c r="M28" s="103"/>
      <x:c r="N28" s="82"/>
      <x:c r="O28" s="83"/>
      <x:c r="P28" s="83"/>
      <x:c r="Q28" s="84"/>
      <x:c r="R28" s="84">
        <x:f t="shared" si="12"/>
        <x:v>0</x:v>
      </x:c>
      <x:c r="S28" s="85"/>
      <x:c r="T28" s="83"/>
      <x:c r="U28" s="83"/>
      <x:c r="V28" s="84"/>
      <x:c r="W28" s="86">
        <x:f t="shared" si="13"/>
        <x:v>0</x:v>
      </x:c>
      <x:c r="X28" s="87"/>
      <x:c r="Y28" s="83"/>
      <x:c r="Z28" s="83"/>
      <x:c r="AA28" s="84"/>
      <x:c r="AB28" s="86">
        <x:f t="shared" si="14"/>
        <x:v>0</x:v>
      </x:c>
      <x:c r="AC28" s="87"/>
      <x:c r="AD28" s="83"/>
      <x:c r="AE28" s="83"/>
      <x:c r="AF28" s="84"/>
      <x:c r="AG28" s="86">
        <x:f t="shared" si="15"/>
        <x:v>0</x:v>
      </x:c>
      <x:c r="AH28" s="87"/>
      <x:c r="AI28" s="83"/>
      <x:c r="AJ28" s="83"/>
      <x:c r="AK28" s="84"/>
      <x:c r="AL28" s="86">
        <x:f t="shared" si="16"/>
        <x:v>0</x:v>
      </x:c>
      <x:c r="AM28" s="87"/>
      <x:c r="AN28" s="83"/>
      <x:c r="AO28" s="83"/>
      <x:c r="AP28" s="84"/>
      <x:c r="AQ28" s="86">
        <x:f t="shared" si="17"/>
        <x:v>0</x:v>
      </x:c>
      <x:c r="AR28" s="87"/>
      <x:c r="AS28" s="83"/>
      <x:c r="AT28" s="83"/>
      <x:c r="AU28" s="84"/>
      <x:c r="AV28" s="86">
        <x:f t="shared" si="18"/>
        <x:v>0</x:v>
      </x:c>
      <x:c r="AW28" s="87"/>
      <x:c r="AX28" s="83"/>
      <x:c r="AY28" s="83"/>
      <x:c r="AZ28" s="84"/>
      <x:c r="BA28" s="86">
        <x:f t="shared" si="19"/>
        <x:v>0</x:v>
      </x:c>
      <x:c r="BB28" s="87"/>
      <x:c r="BC28" s="83"/>
      <x:c r="BD28" s="83"/>
      <x:c r="BE28" s="84"/>
      <x:c r="BF28" s="86">
        <x:f t="shared" si="20"/>
        <x:v>0</x:v>
      </x:c>
      <x:c r="BG28" s="87"/>
      <x:c r="BH28" s="83"/>
      <x:c r="BI28" s="83"/>
      <x:c r="BJ28" s="84"/>
      <x:c r="BK28" s="86">
        <x:f t="shared" si="21"/>
        <x:v>0</x:v>
      </x:c>
      <x:c r="BL28" s="87"/>
      <x:c r="BM28" s="83"/>
      <x:c r="BN28" s="83"/>
      <x:c r="BO28" s="84"/>
      <x:c r="BP28" s="86">
        <x:f t="shared" si="22"/>
        <x:v>0</x:v>
      </x:c>
      <x:c r="BQ28" s="87"/>
      <x:c r="BR28" s="83"/>
      <x:c r="BS28" s="83"/>
      <x:c r="BT28" s="84"/>
      <x:c r="BU28" s="86">
        <x:f t="shared" si="23"/>
        <x:v>0</x:v>
      </x:c>
      <x:c r="BV28" s="85">
        <x:v>0</x:v>
      </x:c>
      <x:c r="BW28" s="89"/>
      <x:c r="BX28" s="90"/>
    </x:row>
    <x:row r="29" spans="1:139" ht="30" x14ac:dyDescent="0.25">
      <x:c r="A29" s="91"/>
      <x:c r="B29" s="83"/>
      <x:c r="C29" s="92"/>
      <x:c r="D29" s="92"/>
      <x:c r="E29" s="92"/>
      <x:c r="F29" s="92" t="s">
        <x:v>118</x:v>
      </x:c>
      <x:c r="G29" s="92"/>
      <x:c r="H29" s="92"/>
      <x:c r="I29" s="92"/>
      <x:c r="J29" s="92"/>
      <x:c r="K29" s="93"/>
      <x:c r="L29" s="102" t="s">
        <x:v>177</x:v>
      </x:c>
      <x:c r="M29" s="103"/>
      <x:c r="N29" s="82"/>
      <x:c r="O29" s="83"/>
      <x:c r="P29" s="83"/>
      <x:c r="Q29" s="84"/>
      <x:c r="R29" s="84">
        <x:f t="shared" si="12"/>
        <x:v>0</x:v>
      </x:c>
      <x:c r="S29" s="85"/>
      <x:c r="T29" s="83"/>
      <x:c r="U29" s="83"/>
      <x:c r="V29" s="84"/>
      <x:c r="W29" s="86">
        <x:f t="shared" si="13"/>
        <x:v>0</x:v>
      </x:c>
      <x:c r="X29" s="87"/>
      <x:c r="Y29" s="83"/>
      <x:c r="Z29" s="83"/>
      <x:c r="AA29" s="84"/>
      <x:c r="AB29" s="86">
        <x:f t="shared" si="14"/>
        <x:v>0</x:v>
      </x:c>
      <x:c r="AC29" s="87"/>
      <x:c r="AD29" s="83"/>
      <x:c r="AE29" s="83"/>
      <x:c r="AF29" s="84"/>
      <x:c r="AG29" s="86">
        <x:f t="shared" si="15"/>
        <x:v>0</x:v>
      </x:c>
      <x:c r="AH29" s="87"/>
      <x:c r="AI29" s="83"/>
      <x:c r="AJ29" s="83"/>
      <x:c r="AK29" s="84"/>
      <x:c r="AL29" s="86">
        <x:f t="shared" si="16"/>
        <x:v>0</x:v>
      </x:c>
      <x:c r="AM29" s="87"/>
      <x:c r="AN29" s="83"/>
      <x:c r="AO29" s="83"/>
      <x:c r="AP29" s="84"/>
      <x:c r="AQ29" s="86">
        <x:f t="shared" si="17"/>
        <x:v>0</x:v>
      </x:c>
      <x:c r="AR29" s="87"/>
      <x:c r="AS29" s="83"/>
      <x:c r="AT29" s="83"/>
      <x:c r="AU29" s="84"/>
      <x:c r="AV29" s="86">
        <x:f t="shared" si="18"/>
        <x:v>0</x:v>
      </x:c>
      <x:c r="AW29" s="87"/>
      <x:c r="AX29" s="83"/>
      <x:c r="AY29" s="83"/>
      <x:c r="AZ29" s="84"/>
      <x:c r="BA29" s="86">
        <x:f t="shared" si="19"/>
        <x:v>0</x:v>
      </x:c>
      <x:c r="BB29" s="87"/>
      <x:c r="BC29" s="83"/>
      <x:c r="BD29" s="83"/>
      <x:c r="BE29" s="84"/>
      <x:c r="BF29" s="86">
        <x:f t="shared" si="20"/>
        <x:v>0</x:v>
      </x:c>
      <x:c r="BG29" s="87"/>
      <x:c r="BH29" s="83"/>
      <x:c r="BI29" s="83"/>
      <x:c r="BJ29" s="84"/>
      <x:c r="BK29" s="86">
        <x:f t="shared" si="21"/>
        <x:v>0</x:v>
      </x:c>
      <x:c r="BL29" s="87"/>
      <x:c r="BM29" s="83"/>
      <x:c r="BN29" s="83"/>
      <x:c r="BO29" s="84"/>
      <x:c r="BP29" s="86">
        <x:f t="shared" si="22"/>
        <x:v>0</x:v>
      </x:c>
      <x:c r="BQ29" s="87"/>
      <x:c r="BR29" s="83"/>
      <x:c r="BS29" s="83"/>
      <x:c r="BT29" s="84"/>
      <x:c r="BU29" s="86">
        <x:f t="shared" si="23"/>
        <x:v>0</x:v>
      </x:c>
      <x:c r="BV29" s="85">
        <x:v>0</x:v>
      </x:c>
      <x:c r="BW29" s="89"/>
      <x:c r="BX29" s="90"/>
    </x:row>
    <x:row r="30" spans="1:139" x14ac:dyDescent="0.25">
      <x:c r="A30" s="91"/>
      <x:c r="B30" s="83"/>
      <x:c r="C30" s="92"/>
      <x:c r="D30" s="92"/>
      <x:c r="E30" s="92"/>
      <x:c r="F30" s="92" t="s">
        <x:v>119</x:v>
      </x:c>
      <x:c r="G30" s="92"/>
      <x:c r="H30" s="92"/>
      <x:c r="I30" s="92"/>
      <x:c r="J30" s="92"/>
      <x:c r="K30" s="93"/>
      <x:c r="L30" s="102" t="s">
        <x:v>178</x:v>
      </x:c>
      <x:c r="M30" s="103"/>
      <x:c r="N30" s="82"/>
      <x:c r="O30" s="83"/>
      <x:c r="P30" s="83"/>
      <x:c r="Q30" s="84"/>
      <x:c r="R30" s="84">
        <x:f t="shared" si="12"/>
        <x:v>0</x:v>
      </x:c>
      <x:c r="S30" s="85"/>
      <x:c r="T30" s="83"/>
      <x:c r="U30" s="83"/>
      <x:c r="V30" s="84"/>
      <x:c r="W30" s="86">
        <x:f t="shared" si="13"/>
        <x:v>0</x:v>
      </x:c>
      <x:c r="X30" s="87"/>
      <x:c r="Y30" s="83"/>
      <x:c r="Z30" s="83"/>
      <x:c r="AA30" s="84"/>
      <x:c r="AB30" s="86">
        <x:f t="shared" si="14"/>
        <x:v>0</x:v>
      </x:c>
      <x:c r="AC30" s="87"/>
      <x:c r="AD30" s="83"/>
      <x:c r="AE30" s="83"/>
      <x:c r="AF30" s="84"/>
      <x:c r="AG30" s="86">
        <x:f t="shared" si="15"/>
        <x:v>0</x:v>
      </x:c>
      <x:c r="AH30" s="87"/>
      <x:c r="AI30" s="83"/>
      <x:c r="AJ30" s="83"/>
      <x:c r="AK30" s="84"/>
      <x:c r="AL30" s="86">
        <x:f t="shared" si="16"/>
        <x:v>0</x:v>
      </x:c>
      <x:c r="AM30" s="87"/>
      <x:c r="AN30" s="83"/>
      <x:c r="AO30" s="83"/>
      <x:c r="AP30" s="84"/>
      <x:c r="AQ30" s="86">
        <x:f t="shared" si="17"/>
        <x:v>0</x:v>
      </x:c>
      <x:c r="AR30" s="87"/>
      <x:c r="AS30" s="83"/>
      <x:c r="AT30" s="83"/>
      <x:c r="AU30" s="84"/>
      <x:c r="AV30" s="86">
        <x:f t="shared" si="18"/>
        <x:v>0</x:v>
      </x:c>
      <x:c r="AW30" s="87"/>
      <x:c r="AX30" s="83"/>
      <x:c r="AY30" s="83"/>
      <x:c r="AZ30" s="84"/>
      <x:c r="BA30" s="86">
        <x:f t="shared" si="19"/>
        <x:v>0</x:v>
      </x:c>
      <x:c r="BB30" s="87"/>
      <x:c r="BC30" s="83"/>
      <x:c r="BD30" s="83"/>
      <x:c r="BE30" s="84"/>
      <x:c r="BF30" s="86">
        <x:f t="shared" si="20"/>
        <x:v>0</x:v>
      </x:c>
      <x:c r="BG30" s="87"/>
      <x:c r="BH30" s="83"/>
      <x:c r="BI30" s="83"/>
      <x:c r="BJ30" s="84"/>
      <x:c r="BK30" s="86">
        <x:f t="shared" si="21"/>
        <x:v>0</x:v>
      </x:c>
      <x:c r="BL30" s="87"/>
      <x:c r="BM30" s="83"/>
      <x:c r="BN30" s="83"/>
      <x:c r="BO30" s="84"/>
      <x:c r="BP30" s="86">
        <x:f t="shared" si="22"/>
        <x:v>0</x:v>
      </x:c>
      <x:c r="BQ30" s="87"/>
      <x:c r="BR30" s="83"/>
      <x:c r="BS30" s="83"/>
      <x:c r="BT30" s="84"/>
      <x:c r="BU30" s="86">
        <x:f t="shared" si="23"/>
        <x:v>0</x:v>
      </x:c>
      <x:c r="BV30" s="85">
        <x:v>0</x:v>
      </x:c>
      <x:c r="BW30" s="89"/>
      <x:c r="BX30" s="90"/>
    </x:row>
    <x:row r="31" spans="1:139" x14ac:dyDescent="0.25">
      <x:c r="A31" s="91"/>
      <x:c r="B31" s="83"/>
      <x:c r="C31" s="92"/>
      <x:c r="D31" s="92"/>
      <x:c r="E31" s="92"/>
      <x:c r="F31" s="92" t="s">
        <x:v>120</x:v>
      </x:c>
      <x:c r="G31" s="92"/>
      <x:c r="H31" s="92"/>
      <x:c r="I31" s="92"/>
      <x:c r="J31" s="92"/>
      <x:c r="K31" s="93"/>
      <x:c r="L31" s="102" t="s">
        <x:v>178</x:v>
      </x:c>
      <x:c r="M31" s="103"/>
      <x:c r="N31" s="82"/>
      <x:c r="O31" s="83"/>
      <x:c r="P31" s="83"/>
      <x:c r="Q31" s="84"/>
      <x:c r="R31" s="84">
        <x:f t="shared" si="12"/>
        <x:v>0</x:v>
      </x:c>
      <x:c r="S31" s="85"/>
      <x:c r="T31" s="83"/>
      <x:c r="U31" s="83"/>
      <x:c r="V31" s="84"/>
      <x:c r="W31" s="86">
        <x:f t="shared" si="13"/>
        <x:v>0</x:v>
      </x:c>
      <x:c r="X31" s="87"/>
      <x:c r="Y31" s="83"/>
      <x:c r="Z31" s="83"/>
      <x:c r="AA31" s="84"/>
      <x:c r="AB31" s="86">
        <x:f t="shared" si="14"/>
        <x:v>0</x:v>
      </x:c>
      <x:c r="AC31" s="87"/>
      <x:c r="AD31" s="83"/>
      <x:c r="AE31" s="83"/>
      <x:c r="AF31" s="84"/>
      <x:c r="AG31" s="86">
        <x:f t="shared" si="15"/>
        <x:v>0</x:v>
      </x:c>
      <x:c r="AH31" s="87"/>
      <x:c r="AI31" s="83"/>
      <x:c r="AJ31" s="83"/>
      <x:c r="AK31" s="84"/>
      <x:c r="AL31" s="86">
        <x:f t="shared" si="16"/>
        <x:v>0</x:v>
      </x:c>
      <x:c r="AM31" s="87"/>
      <x:c r="AN31" s="83"/>
      <x:c r="AO31" s="83"/>
      <x:c r="AP31" s="84"/>
      <x:c r="AQ31" s="86">
        <x:f t="shared" si="17"/>
        <x:v>0</x:v>
      </x:c>
      <x:c r="AR31" s="87"/>
      <x:c r="AS31" s="83"/>
      <x:c r="AT31" s="83"/>
      <x:c r="AU31" s="84"/>
      <x:c r="AV31" s="86">
        <x:f t="shared" si="18"/>
        <x:v>0</x:v>
      </x:c>
      <x:c r="AW31" s="87"/>
      <x:c r="AX31" s="83"/>
      <x:c r="AY31" s="83"/>
      <x:c r="AZ31" s="84"/>
      <x:c r="BA31" s="86">
        <x:f t="shared" si="19"/>
        <x:v>0</x:v>
      </x:c>
      <x:c r="BB31" s="87"/>
      <x:c r="BC31" s="83"/>
      <x:c r="BD31" s="83"/>
      <x:c r="BE31" s="84"/>
      <x:c r="BF31" s="86">
        <x:f t="shared" si="20"/>
        <x:v>0</x:v>
      </x:c>
      <x:c r="BG31" s="87"/>
      <x:c r="BH31" s="83"/>
      <x:c r="BI31" s="83"/>
      <x:c r="BJ31" s="84"/>
      <x:c r="BK31" s="86">
        <x:f t="shared" si="21"/>
        <x:v>0</x:v>
      </x:c>
      <x:c r="BL31" s="87"/>
      <x:c r="BM31" s="83"/>
      <x:c r="BN31" s="83"/>
      <x:c r="BO31" s="84"/>
      <x:c r="BP31" s="86">
        <x:f t="shared" si="22"/>
        <x:v>0</x:v>
      </x:c>
      <x:c r="BQ31" s="87"/>
      <x:c r="BR31" s="83"/>
      <x:c r="BS31" s="83"/>
      <x:c r="BT31" s="84"/>
      <x:c r="BU31" s="86">
        <x:f t="shared" si="23"/>
        <x:v>0</x:v>
      </x:c>
      <x:c r="BV31" s="85">
        <x:v>0</x:v>
      </x:c>
      <x:c r="BW31" s="89"/>
      <x:c r="BX31" s="90"/>
    </x:row>
    <x:row r="32" spans="1:139" ht="30" x14ac:dyDescent="0.25">
      <x:c r="A32" s="91"/>
      <x:c r="B32" s="83"/>
      <x:c r="C32" s="92"/>
      <x:c r="D32" s="92"/>
      <x:c r="E32" s="92"/>
      <x:c r="F32" s="92" t="s">
        <x:v>121</x:v>
      </x:c>
      <x:c r="G32" s="92"/>
      <x:c r="H32" s="92"/>
      <x:c r="I32" s="92"/>
      <x:c r="J32" s="92"/>
      <x:c r="K32" s="93"/>
      <x:c r="L32" s="102" t="s">
        <x:v>179</x:v>
      </x:c>
      <x:c r="M32" s="103"/>
      <x:c r="N32" s="82"/>
      <x:c r="O32" s="83"/>
      <x:c r="P32" s="83"/>
      <x:c r="Q32" s="84"/>
      <x:c r="R32" s="84">
        <x:f t="shared" ref="R32:R66" si="24">P32-Q32</x:f>
        <x:v>0</x:v>
      </x:c>
      <x:c r="S32" s="85"/>
      <x:c r="T32" s="83"/>
      <x:c r="U32" s="83"/>
      <x:c r="V32" s="84"/>
      <x:c r="W32" s="86">
        <x:f t="shared" ref="W32:W66" si="25">U32-V32</x:f>
        <x:v>0</x:v>
      </x:c>
      <x:c r="X32" s="87"/>
      <x:c r="Y32" s="83"/>
      <x:c r="Z32" s="83"/>
      <x:c r="AA32" s="84"/>
      <x:c r="AB32" s="86">
        <x:f t="shared" ref="AB32:AB66" si="26">Z32-AA32</x:f>
        <x:v>0</x:v>
      </x:c>
      <x:c r="AC32" s="87"/>
      <x:c r="AD32" s="83"/>
      <x:c r="AE32" s="83"/>
      <x:c r="AF32" s="84"/>
      <x:c r="AG32" s="86">
        <x:f t="shared" ref="AG32:AG66" si="27">AE32-AF32</x:f>
        <x:v>0</x:v>
      </x:c>
      <x:c r="AH32" s="87"/>
      <x:c r="AI32" s="83"/>
      <x:c r="AJ32" s="83"/>
      <x:c r="AK32" s="84"/>
      <x:c r="AL32" s="86">
        <x:f t="shared" ref="AL32:AL66" si="28">AJ32-AK32</x:f>
        <x:v>0</x:v>
      </x:c>
      <x:c r="AM32" s="87"/>
      <x:c r="AN32" s="83"/>
      <x:c r="AO32" s="83"/>
      <x:c r="AP32" s="84"/>
      <x:c r="AQ32" s="86">
        <x:f t="shared" ref="AQ32:AQ66" si="29">AO32-AP32</x:f>
        <x:v>0</x:v>
      </x:c>
      <x:c r="AR32" s="87"/>
      <x:c r="AS32" s="83"/>
      <x:c r="AT32" s="83"/>
      <x:c r="AU32" s="84"/>
      <x:c r="AV32" s="86">
        <x:f t="shared" ref="AV32:AV66" si="30">AT32-AU32</x:f>
        <x:v>0</x:v>
      </x:c>
      <x:c r="AW32" s="87"/>
      <x:c r="AX32" s="83"/>
      <x:c r="AY32" s="83"/>
      <x:c r="AZ32" s="84"/>
      <x:c r="BA32" s="86">
        <x:f t="shared" ref="BA32:BA66" si="31">AY32-AZ32</x:f>
        <x:v>0</x:v>
      </x:c>
      <x:c r="BB32" s="87"/>
      <x:c r="BC32" s="83"/>
      <x:c r="BD32" s="83"/>
      <x:c r="BE32" s="84"/>
      <x:c r="BF32" s="86">
        <x:f t="shared" ref="BF32:BF66" si="32">BD32-BE32</x:f>
        <x:v>0</x:v>
      </x:c>
      <x:c r="BG32" s="87"/>
      <x:c r="BH32" s="83"/>
      <x:c r="BI32" s="83"/>
      <x:c r="BJ32" s="84"/>
      <x:c r="BK32" s="86">
        <x:f t="shared" ref="BK32:BK66" si="33">BI32-BJ32</x:f>
        <x:v>0</x:v>
      </x:c>
      <x:c r="BL32" s="87"/>
      <x:c r="BM32" s="83"/>
      <x:c r="BN32" s="83"/>
      <x:c r="BO32" s="84"/>
      <x:c r="BP32" s="86">
        <x:f t="shared" ref="BP32:BP66" si="34">BN32-BO32</x:f>
        <x:v>0</x:v>
      </x:c>
      <x:c r="BQ32" s="87"/>
      <x:c r="BR32" s="83"/>
      <x:c r="BS32" s="83"/>
      <x:c r="BT32" s="84"/>
      <x:c r="BU32" s="86">
        <x:f t="shared" ref="BU32:BU66" si="35">BS32-BT32</x:f>
        <x:v>0</x:v>
      </x:c>
      <x:c r="BV32" s="85">
        <x:v>0</x:v>
      </x:c>
      <x:c r="BW32" s="89"/>
      <x:c r="BX32" s="90"/>
    </x:row>
    <x:row r="33" spans="1:76" ht="30" x14ac:dyDescent="0.25">
      <x:c r="A33" s="91"/>
      <x:c r="B33" s="83"/>
      <x:c r="C33" s="92"/>
      <x:c r="D33" s="92"/>
      <x:c r="E33" s="92"/>
      <x:c r="F33" s="92" t="s">
        <x:v>122</x:v>
      </x:c>
      <x:c r="G33" s="92"/>
      <x:c r="H33" s="92"/>
      <x:c r="I33" s="92"/>
      <x:c r="J33" s="92"/>
      <x:c r="K33" s="93"/>
      <x:c r="L33" s="102" t="s">
        <x:v>180</x:v>
      </x:c>
      <x:c r="M33" s="103"/>
      <x:c r="N33" s="82"/>
      <x:c r="O33" s="83"/>
      <x:c r="P33" s="83"/>
      <x:c r="Q33" s="84"/>
      <x:c r="R33" s="84">
        <x:f t="shared" si="24"/>
        <x:v>0</x:v>
      </x:c>
      <x:c r="S33" s="85"/>
      <x:c r="T33" s="83"/>
      <x:c r="U33" s="83"/>
      <x:c r="V33" s="84"/>
      <x:c r="W33" s="86">
        <x:f t="shared" si="25"/>
        <x:v>0</x:v>
      </x:c>
      <x:c r="X33" s="87"/>
      <x:c r="Y33" s="83"/>
      <x:c r="Z33" s="83"/>
      <x:c r="AA33" s="84"/>
      <x:c r="AB33" s="86">
        <x:f t="shared" si="26"/>
        <x:v>0</x:v>
      </x:c>
      <x:c r="AC33" s="87"/>
      <x:c r="AD33" s="83"/>
      <x:c r="AE33" s="83"/>
      <x:c r="AF33" s="84"/>
      <x:c r="AG33" s="86">
        <x:f t="shared" si="27"/>
        <x:v>0</x:v>
      </x:c>
      <x:c r="AH33" s="87"/>
      <x:c r="AI33" s="83"/>
      <x:c r="AJ33" s="83"/>
      <x:c r="AK33" s="84"/>
      <x:c r="AL33" s="86">
        <x:f t="shared" si="28"/>
        <x:v>0</x:v>
      </x:c>
      <x:c r="AM33" s="87"/>
      <x:c r="AN33" s="83"/>
      <x:c r="AO33" s="83"/>
      <x:c r="AP33" s="84"/>
      <x:c r="AQ33" s="86">
        <x:f t="shared" si="29"/>
        <x:v>0</x:v>
      </x:c>
      <x:c r="AR33" s="87"/>
      <x:c r="AS33" s="83"/>
      <x:c r="AT33" s="83"/>
      <x:c r="AU33" s="84"/>
      <x:c r="AV33" s="86">
        <x:f t="shared" si="30"/>
        <x:v>0</x:v>
      </x:c>
      <x:c r="AW33" s="87"/>
      <x:c r="AX33" s="83"/>
      <x:c r="AY33" s="83"/>
      <x:c r="AZ33" s="84"/>
      <x:c r="BA33" s="86">
        <x:f t="shared" si="31"/>
        <x:v>0</x:v>
      </x:c>
      <x:c r="BB33" s="87"/>
      <x:c r="BC33" s="83"/>
      <x:c r="BD33" s="83"/>
      <x:c r="BE33" s="84"/>
      <x:c r="BF33" s="86">
        <x:f t="shared" si="32"/>
        <x:v>0</x:v>
      </x:c>
      <x:c r="BG33" s="87"/>
      <x:c r="BH33" s="83"/>
      <x:c r="BI33" s="83"/>
      <x:c r="BJ33" s="84"/>
      <x:c r="BK33" s="86">
        <x:f t="shared" si="33"/>
        <x:v>0</x:v>
      </x:c>
      <x:c r="BL33" s="87"/>
      <x:c r="BM33" s="83"/>
      <x:c r="BN33" s="83"/>
      <x:c r="BO33" s="84"/>
      <x:c r="BP33" s="86">
        <x:f t="shared" si="34"/>
        <x:v>0</x:v>
      </x:c>
      <x:c r="BQ33" s="87"/>
      <x:c r="BR33" s="83"/>
      <x:c r="BS33" s="83"/>
      <x:c r="BT33" s="84"/>
      <x:c r="BU33" s="86">
        <x:f t="shared" si="35"/>
        <x:v>0</x:v>
      </x:c>
      <x:c r="BV33" s="85">
        <x:v>0</x:v>
      </x:c>
      <x:c r="BW33" s="89"/>
      <x:c r="BX33" s="90"/>
    </x:row>
    <x:row r="34" spans="1:76" ht="45" x14ac:dyDescent="0.25">
      <x:c r="A34" s="91"/>
      <x:c r="B34" s="83"/>
      <x:c r="C34" s="92"/>
      <x:c r="D34" s="92"/>
      <x:c r="E34" s="92"/>
      <x:c r="F34" s="92" t="s">
        <x:v>123</x:v>
      </x:c>
      <x:c r="G34" s="92"/>
      <x:c r="H34" s="92"/>
      <x:c r="I34" s="92"/>
      <x:c r="J34" s="92"/>
      <x:c r="K34" s="93"/>
      <x:c r="L34" s="102" t="s">
        <x:v>181</x:v>
      </x:c>
      <x:c r="M34" s="103"/>
      <x:c r="N34" s="82"/>
      <x:c r="O34" s="83"/>
      <x:c r="P34" s="83"/>
      <x:c r="Q34" s="84"/>
      <x:c r="R34" s="84">
        <x:f t="shared" si="24"/>
        <x:v>0</x:v>
      </x:c>
      <x:c r="S34" s="85"/>
      <x:c r="T34" s="83"/>
      <x:c r="U34" s="83"/>
      <x:c r="V34" s="84"/>
      <x:c r="W34" s="86">
        <x:f t="shared" si="25"/>
        <x:v>0</x:v>
      </x:c>
      <x:c r="X34" s="87"/>
      <x:c r="Y34" s="83"/>
      <x:c r="Z34" s="83"/>
      <x:c r="AA34" s="84"/>
      <x:c r="AB34" s="86">
        <x:f t="shared" si="26"/>
        <x:v>0</x:v>
      </x:c>
      <x:c r="AC34" s="87"/>
      <x:c r="AD34" s="83"/>
      <x:c r="AE34" s="83"/>
      <x:c r="AF34" s="84"/>
      <x:c r="AG34" s="86">
        <x:f t="shared" si="27"/>
        <x:v>0</x:v>
      </x:c>
      <x:c r="AH34" s="87"/>
      <x:c r="AI34" s="83"/>
      <x:c r="AJ34" s="83"/>
      <x:c r="AK34" s="84"/>
      <x:c r="AL34" s="86">
        <x:f t="shared" si="28"/>
        <x:v>0</x:v>
      </x:c>
      <x:c r="AM34" s="87"/>
      <x:c r="AN34" s="83"/>
      <x:c r="AO34" s="83"/>
      <x:c r="AP34" s="84"/>
      <x:c r="AQ34" s="86">
        <x:f t="shared" si="29"/>
        <x:v>0</x:v>
      </x:c>
      <x:c r="AR34" s="87"/>
      <x:c r="AS34" s="83"/>
      <x:c r="AT34" s="83"/>
      <x:c r="AU34" s="84"/>
      <x:c r="AV34" s="86">
        <x:f t="shared" si="30"/>
        <x:v>0</x:v>
      </x:c>
      <x:c r="AW34" s="87"/>
      <x:c r="AX34" s="83"/>
      <x:c r="AY34" s="83"/>
      <x:c r="AZ34" s="84"/>
      <x:c r="BA34" s="86">
        <x:f t="shared" si="31"/>
        <x:v>0</x:v>
      </x:c>
      <x:c r="BB34" s="87"/>
      <x:c r="BC34" s="83"/>
      <x:c r="BD34" s="83"/>
      <x:c r="BE34" s="84"/>
      <x:c r="BF34" s="86">
        <x:f t="shared" si="32"/>
        <x:v>0</x:v>
      </x:c>
      <x:c r="BG34" s="87"/>
      <x:c r="BH34" s="83"/>
      <x:c r="BI34" s="83"/>
      <x:c r="BJ34" s="84"/>
      <x:c r="BK34" s="86">
        <x:f t="shared" si="33"/>
        <x:v>0</x:v>
      </x:c>
      <x:c r="BL34" s="87"/>
      <x:c r="BM34" s="83"/>
      <x:c r="BN34" s="83"/>
      <x:c r="BO34" s="84"/>
      <x:c r="BP34" s="86">
        <x:f t="shared" si="34"/>
        <x:v>0</x:v>
      </x:c>
      <x:c r="BQ34" s="87"/>
      <x:c r="BR34" s="83"/>
      <x:c r="BS34" s="83"/>
      <x:c r="BT34" s="84"/>
      <x:c r="BU34" s="86">
        <x:f t="shared" si="35"/>
        <x:v>0</x:v>
      </x:c>
      <x:c r="BV34" s="85">
        <x:v>0</x:v>
      </x:c>
      <x:c r="BW34" s="89"/>
      <x:c r="BX34" s="90"/>
    </x:row>
    <x:row r="35" spans="1:76" x14ac:dyDescent="0.25">
      <x:c r="A35" s="91"/>
      <x:c r="B35" s="83"/>
      <x:c r="C35" s="92"/>
      <x:c r="D35" s="92"/>
      <x:c r="E35" s="92"/>
      <x:c r="F35" s="92" t="s">
        <x:v>124</x:v>
      </x:c>
      <x:c r="G35" s="92"/>
      <x:c r="H35" s="92"/>
      <x:c r="I35" s="92"/>
      <x:c r="J35" s="92"/>
      <x:c r="K35" s="93"/>
      <x:c r="L35" s="102" t="s">
        <x:v>182</x:v>
      </x:c>
      <x:c r="M35" s="103"/>
      <x:c r="N35" s="82"/>
      <x:c r="O35" s="83"/>
      <x:c r="P35" s="83"/>
      <x:c r="Q35" s="84"/>
      <x:c r="R35" s="84">
        <x:f t="shared" si="24"/>
        <x:v>0</x:v>
      </x:c>
      <x:c r="S35" s="85"/>
      <x:c r="T35" s="83"/>
      <x:c r="U35" s="83"/>
      <x:c r="V35" s="84"/>
      <x:c r="W35" s="86">
        <x:f t="shared" si="25"/>
        <x:v>0</x:v>
      </x:c>
      <x:c r="X35" s="87"/>
      <x:c r="Y35" s="83"/>
      <x:c r="Z35" s="83"/>
      <x:c r="AA35" s="84"/>
      <x:c r="AB35" s="86">
        <x:f t="shared" si="26"/>
        <x:v>0</x:v>
      </x:c>
      <x:c r="AC35" s="87"/>
      <x:c r="AD35" s="83"/>
      <x:c r="AE35" s="83"/>
      <x:c r="AF35" s="84"/>
      <x:c r="AG35" s="86">
        <x:f t="shared" si="27"/>
        <x:v>0</x:v>
      </x:c>
      <x:c r="AH35" s="87"/>
      <x:c r="AI35" s="83"/>
      <x:c r="AJ35" s="83"/>
      <x:c r="AK35" s="84"/>
      <x:c r="AL35" s="86">
        <x:f t="shared" si="28"/>
        <x:v>0</x:v>
      </x:c>
      <x:c r="AM35" s="87"/>
      <x:c r="AN35" s="83"/>
      <x:c r="AO35" s="83"/>
      <x:c r="AP35" s="84"/>
      <x:c r="AQ35" s="86">
        <x:f t="shared" si="29"/>
        <x:v>0</x:v>
      </x:c>
      <x:c r="AR35" s="87"/>
      <x:c r="AS35" s="83"/>
      <x:c r="AT35" s="83"/>
      <x:c r="AU35" s="84"/>
      <x:c r="AV35" s="86">
        <x:f t="shared" si="30"/>
        <x:v>0</x:v>
      </x:c>
      <x:c r="AW35" s="87"/>
      <x:c r="AX35" s="83"/>
      <x:c r="AY35" s="83"/>
      <x:c r="AZ35" s="84"/>
      <x:c r="BA35" s="86">
        <x:f t="shared" si="31"/>
        <x:v>0</x:v>
      </x:c>
      <x:c r="BB35" s="87"/>
      <x:c r="BC35" s="83"/>
      <x:c r="BD35" s="83"/>
      <x:c r="BE35" s="84"/>
      <x:c r="BF35" s="86">
        <x:f t="shared" si="32"/>
        <x:v>0</x:v>
      </x:c>
      <x:c r="BG35" s="87"/>
      <x:c r="BH35" s="83"/>
      <x:c r="BI35" s="83"/>
      <x:c r="BJ35" s="84"/>
      <x:c r="BK35" s="86">
        <x:f t="shared" si="33"/>
        <x:v>0</x:v>
      </x:c>
      <x:c r="BL35" s="87"/>
      <x:c r="BM35" s="83"/>
      <x:c r="BN35" s="83"/>
      <x:c r="BO35" s="84"/>
      <x:c r="BP35" s="86">
        <x:f t="shared" si="34"/>
        <x:v>0</x:v>
      </x:c>
      <x:c r="BQ35" s="87"/>
      <x:c r="BR35" s="83"/>
      <x:c r="BS35" s="83"/>
      <x:c r="BT35" s="84"/>
      <x:c r="BU35" s="86">
        <x:f t="shared" si="35"/>
        <x:v>0</x:v>
      </x:c>
      <x:c r="BV35" s="85">
        <x:v>0</x:v>
      </x:c>
      <x:c r="BW35" s="89"/>
      <x:c r="BX35" s="90"/>
    </x:row>
    <x:row r="36" spans="1:76" ht="30" x14ac:dyDescent="0.25">
      <x:c r="A36" s="91"/>
      <x:c r="B36" s="83"/>
      <x:c r="C36" s="92"/>
      <x:c r="D36" s="92"/>
      <x:c r="E36" s="92"/>
      <x:c r="F36" s="92" t="s">
        <x:v>125</x:v>
      </x:c>
      <x:c r="G36" s="92"/>
      <x:c r="H36" s="92"/>
      <x:c r="I36" s="92"/>
      <x:c r="J36" s="92"/>
      <x:c r="K36" s="93"/>
      <x:c r="L36" s="102" t="s">
        <x:v>183</x:v>
      </x:c>
      <x:c r="M36" s="103"/>
      <x:c r="N36" s="82"/>
      <x:c r="O36" s="83"/>
      <x:c r="P36" s="83"/>
      <x:c r="Q36" s="84"/>
      <x:c r="R36" s="84">
        <x:f t="shared" si="24"/>
        <x:v>0</x:v>
      </x:c>
      <x:c r="S36" s="85"/>
      <x:c r="T36" s="83"/>
      <x:c r="U36" s="83"/>
      <x:c r="V36" s="84"/>
      <x:c r="W36" s="86">
        <x:f t="shared" si="25"/>
        <x:v>0</x:v>
      </x:c>
      <x:c r="X36" s="87"/>
      <x:c r="Y36" s="83"/>
      <x:c r="Z36" s="83"/>
      <x:c r="AA36" s="84"/>
      <x:c r="AB36" s="86">
        <x:f t="shared" si="26"/>
        <x:v>0</x:v>
      </x:c>
      <x:c r="AC36" s="87"/>
      <x:c r="AD36" s="83"/>
      <x:c r="AE36" s="83"/>
      <x:c r="AF36" s="84"/>
      <x:c r="AG36" s="86">
        <x:f t="shared" si="27"/>
        <x:v>0</x:v>
      </x:c>
      <x:c r="AH36" s="87"/>
      <x:c r="AI36" s="83"/>
      <x:c r="AJ36" s="83"/>
      <x:c r="AK36" s="84"/>
      <x:c r="AL36" s="86">
        <x:f t="shared" si="28"/>
        <x:v>0</x:v>
      </x:c>
      <x:c r="AM36" s="87"/>
      <x:c r="AN36" s="83"/>
      <x:c r="AO36" s="83"/>
      <x:c r="AP36" s="84"/>
      <x:c r="AQ36" s="86">
        <x:f t="shared" si="29"/>
        <x:v>0</x:v>
      </x:c>
      <x:c r="AR36" s="87"/>
      <x:c r="AS36" s="83"/>
      <x:c r="AT36" s="83"/>
      <x:c r="AU36" s="84"/>
      <x:c r="AV36" s="86">
        <x:f t="shared" si="30"/>
        <x:v>0</x:v>
      </x:c>
      <x:c r="AW36" s="87"/>
      <x:c r="AX36" s="83"/>
      <x:c r="AY36" s="83"/>
      <x:c r="AZ36" s="84"/>
      <x:c r="BA36" s="86">
        <x:f t="shared" si="31"/>
        <x:v>0</x:v>
      </x:c>
      <x:c r="BB36" s="87"/>
      <x:c r="BC36" s="83"/>
      <x:c r="BD36" s="83"/>
      <x:c r="BE36" s="84"/>
      <x:c r="BF36" s="86">
        <x:f t="shared" si="32"/>
        <x:v>0</x:v>
      </x:c>
      <x:c r="BG36" s="87"/>
      <x:c r="BH36" s="83"/>
      <x:c r="BI36" s="83"/>
      <x:c r="BJ36" s="84"/>
      <x:c r="BK36" s="86">
        <x:f t="shared" si="33"/>
        <x:v>0</x:v>
      </x:c>
      <x:c r="BL36" s="87"/>
      <x:c r="BM36" s="83"/>
      <x:c r="BN36" s="83"/>
      <x:c r="BO36" s="84"/>
      <x:c r="BP36" s="86">
        <x:f t="shared" si="34"/>
        <x:v>0</x:v>
      </x:c>
      <x:c r="BQ36" s="87"/>
      <x:c r="BR36" s="83"/>
      <x:c r="BS36" s="83"/>
      <x:c r="BT36" s="84"/>
      <x:c r="BU36" s="86">
        <x:f t="shared" si="35"/>
        <x:v>0</x:v>
      </x:c>
      <x:c r="BV36" s="85">
        <x:v>0</x:v>
      </x:c>
      <x:c r="BW36" s="89"/>
      <x:c r="BX36" s="90"/>
    </x:row>
    <x:row r="37" spans="1:76" x14ac:dyDescent="0.25">
      <x:c r="A37" s="91"/>
      <x:c r="B37" s="83"/>
      <x:c r="C37" s="92"/>
      <x:c r="D37" s="92"/>
      <x:c r="E37" s="92"/>
      <x:c r="F37" s="92" t="s">
        <x:v>126</x:v>
      </x:c>
      <x:c r="G37" s="92"/>
      <x:c r="H37" s="92"/>
      <x:c r="I37" s="92"/>
      <x:c r="J37" s="92"/>
      <x:c r="K37" s="93"/>
      <x:c r="L37" s="102" t="s">
        <x:v>184</x:v>
      </x:c>
      <x:c r="M37" s="103"/>
      <x:c r="N37" s="82"/>
      <x:c r="O37" s="83"/>
      <x:c r="P37" s="83"/>
      <x:c r="Q37" s="84"/>
      <x:c r="R37" s="84">
        <x:f t="shared" si="24"/>
        <x:v>0</x:v>
      </x:c>
      <x:c r="S37" s="85"/>
      <x:c r="T37" s="83"/>
      <x:c r="U37" s="83"/>
      <x:c r="V37" s="84"/>
      <x:c r="W37" s="86">
        <x:f t="shared" si="25"/>
        <x:v>0</x:v>
      </x:c>
      <x:c r="X37" s="87"/>
      <x:c r="Y37" s="83"/>
      <x:c r="Z37" s="83"/>
      <x:c r="AA37" s="84"/>
      <x:c r="AB37" s="86">
        <x:f t="shared" si="26"/>
        <x:v>0</x:v>
      </x:c>
      <x:c r="AC37" s="87"/>
      <x:c r="AD37" s="83"/>
      <x:c r="AE37" s="83"/>
      <x:c r="AF37" s="84"/>
      <x:c r="AG37" s="86">
        <x:f t="shared" si="27"/>
        <x:v>0</x:v>
      </x:c>
      <x:c r="AH37" s="87"/>
      <x:c r="AI37" s="83"/>
      <x:c r="AJ37" s="83"/>
      <x:c r="AK37" s="84"/>
      <x:c r="AL37" s="86">
        <x:f t="shared" si="28"/>
        <x:v>0</x:v>
      </x:c>
      <x:c r="AM37" s="87"/>
      <x:c r="AN37" s="83"/>
      <x:c r="AO37" s="83"/>
      <x:c r="AP37" s="84"/>
      <x:c r="AQ37" s="86">
        <x:f t="shared" si="29"/>
        <x:v>0</x:v>
      </x:c>
      <x:c r="AR37" s="87"/>
      <x:c r="AS37" s="83"/>
      <x:c r="AT37" s="83"/>
      <x:c r="AU37" s="84"/>
      <x:c r="AV37" s="86">
        <x:f t="shared" si="30"/>
        <x:v>0</x:v>
      </x:c>
      <x:c r="AW37" s="87"/>
      <x:c r="AX37" s="83"/>
      <x:c r="AY37" s="83"/>
      <x:c r="AZ37" s="84"/>
      <x:c r="BA37" s="86">
        <x:f t="shared" si="31"/>
        <x:v>0</x:v>
      </x:c>
      <x:c r="BB37" s="87"/>
      <x:c r="BC37" s="83"/>
      <x:c r="BD37" s="83"/>
      <x:c r="BE37" s="84"/>
      <x:c r="BF37" s="86">
        <x:f t="shared" si="32"/>
        <x:v>0</x:v>
      </x:c>
      <x:c r="BG37" s="87"/>
      <x:c r="BH37" s="83"/>
      <x:c r="BI37" s="83"/>
      <x:c r="BJ37" s="84"/>
      <x:c r="BK37" s="86">
        <x:f t="shared" si="33"/>
        <x:v>0</x:v>
      </x:c>
      <x:c r="BL37" s="87"/>
      <x:c r="BM37" s="83"/>
      <x:c r="BN37" s="83"/>
      <x:c r="BO37" s="84"/>
      <x:c r="BP37" s="86">
        <x:f t="shared" si="34"/>
        <x:v>0</x:v>
      </x:c>
      <x:c r="BQ37" s="87"/>
      <x:c r="BR37" s="83"/>
      <x:c r="BS37" s="83"/>
      <x:c r="BT37" s="84"/>
      <x:c r="BU37" s="86">
        <x:f t="shared" si="35"/>
        <x:v>0</x:v>
      </x:c>
      <x:c r="BV37" s="85">
        <x:v>0</x:v>
      </x:c>
      <x:c r="BW37" s="89"/>
      <x:c r="BX37" s="90"/>
    </x:row>
    <x:row r="38" spans="1:76" x14ac:dyDescent="0.25">
      <x:c r="A38" s="91"/>
      <x:c r="B38" s="83"/>
      <x:c r="C38" s="92"/>
      <x:c r="D38" s="92"/>
      <x:c r="E38" s="92"/>
      <x:c r="F38" s="92" t="s">
        <x:v>127</x:v>
      </x:c>
      <x:c r="G38" s="92"/>
      <x:c r="H38" s="92"/>
      <x:c r="I38" s="92"/>
      <x:c r="J38" s="92"/>
      <x:c r="K38" s="93"/>
      <x:c r="L38" s="102" t="s">
        <x:v>185</x:v>
      </x:c>
      <x:c r="M38" s="103"/>
      <x:c r="N38" s="82"/>
      <x:c r="O38" s="83"/>
      <x:c r="P38" s="83"/>
      <x:c r="Q38" s="84"/>
      <x:c r="R38" s="84">
        <x:f t="shared" si="24"/>
        <x:v>0</x:v>
      </x:c>
      <x:c r="S38" s="85"/>
      <x:c r="T38" s="83"/>
      <x:c r="U38" s="83"/>
      <x:c r="V38" s="84"/>
      <x:c r="W38" s="86">
        <x:f t="shared" si="25"/>
        <x:v>0</x:v>
      </x:c>
      <x:c r="X38" s="87"/>
      <x:c r="Y38" s="83"/>
      <x:c r="Z38" s="83"/>
      <x:c r="AA38" s="84"/>
      <x:c r="AB38" s="86">
        <x:f t="shared" si="26"/>
        <x:v>0</x:v>
      </x:c>
      <x:c r="AC38" s="87"/>
      <x:c r="AD38" s="83"/>
      <x:c r="AE38" s="83"/>
      <x:c r="AF38" s="84"/>
      <x:c r="AG38" s="86">
        <x:f t="shared" si="27"/>
        <x:v>0</x:v>
      </x:c>
      <x:c r="AH38" s="87"/>
      <x:c r="AI38" s="83"/>
      <x:c r="AJ38" s="83"/>
      <x:c r="AK38" s="84"/>
      <x:c r="AL38" s="86">
        <x:f t="shared" si="28"/>
        <x:v>0</x:v>
      </x:c>
      <x:c r="AM38" s="87"/>
      <x:c r="AN38" s="83"/>
      <x:c r="AO38" s="83"/>
      <x:c r="AP38" s="84"/>
      <x:c r="AQ38" s="86">
        <x:f t="shared" si="29"/>
        <x:v>0</x:v>
      </x:c>
      <x:c r="AR38" s="87"/>
      <x:c r="AS38" s="83"/>
      <x:c r="AT38" s="83"/>
      <x:c r="AU38" s="84"/>
      <x:c r="AV38" s="86">
        <x:f t="shared" si="30"/>
        <x:v>0</x:v>
      </x:c>
      <x:c r="AW38" s="87"/>
      <x:c r="AX38" s="83"/>
      <x:c r="AY38" s="83"/>
      <x:c r="AZ38" s="84"/>
      <x:c r="BA38" s="86">
        <x:f t="shared" si="31"/>
        <x:v>0</x:v>
      </x:c>
      <x:c r="BB38" s="87"/>
      <x:c r="BC38" s="83"/>
      <x:c r="BD38" s="83"/>
      <x:c r="BE38" s="84"/>
      <x:c r="BF38" s="86">
        <x:f t="shared" si="32"/>
        <x:v>0</x:v>
      </x:c>
      <x:c r="BG38" s="87"/>
      <x:c r="BH38" s="83"/>
      <x:c r="BI38" s="83"/>
      <x:c r="BJ38" s="84"/>
      <x:c r="BK38" s="86">
        <x:f t="shared" si="33"/>
        <x:v>0</x:v>
      </x:c>
      <x:c r="BL38" s="87"/>
      <x:c r="BM38" s="83"/>
      <x:c r="BN38" s="83"/>
      <x:c r="BO38" s="84"/>
      <x:c r="BP38" s="86">
        <x:f t="shared" si="34"/>
        <x:v>0</x:v>
      </x:c>
      <x:c r="BQ38" s="87"/>
      <x:c r="BR38" s="83"/>
      <x:c r="BS38" s="83"/>
      <x:c r="BT38" s="84"/>
      <x:c r="BU38" s="86">
        <x:f t="shared" si="35"/>
        <x:v>0</x:v>
      </x:c>
      <x:c r="BV38" s="85">
        <x:v>0</x:v>
      </x:c>
      <x:c r="BW38" s="89"/>
      <x:c r="BX38" s="90"/>
    </x:row>
    <x:row r="39" spans="1:76" x14ac:dyDescent="0.25">
      <x:c r="A39" s="91"/>
      <x:c r="B39" s="83"/>
      <x:c r="C39" s="92"/>
      <x:c r="D39" s="92"/>
      <x:c r="E39" s="92"/>
      <x:c r="F39" s="92" t="s">
        <x:v>128</x:v>
      </x:c>
      <x:c r="G39" s="92"/>
      <x:c r="H39" s="92"/>
      <x:c r="I39" s="92"/>
      <x:c r="J39" s="92"/>
      <x:c r="K39" s="93"/>
      <x:c r="L39" s="102" t="s">
        <x:v>186</x:v>
      </x:c>
      <x:c r="M39" s="103"/>
      <x:c r="N39" s="82"/>
      <x:c r="O39" s="83"/>
      <x:c r="P39" s="83"/>
      <x:c r="Q39" s="84"/>
      <x:c r="R39" s="84">
        <x:f t="shared" si="24"/>
        <x:v>0</x:v>
      </x:c>
      <x:c r="S39" s="85"/>
      <x:c r="T39" s="83"/>
      <x:c r="U39" s="83"/>
      <x:c r="V39" s="84"/>
      <x:c r="W39" s="86">
        <x:f t="shared" si="25"/>
        <x:v>0</x:v>
      </x:c>
      <x:c r="X39" s="87"/>
      <x:c r="Y39" s="83"/>
      <x:c r="Z39" s="83"/>
      <x:c r="AA39" s="84"/>
      <x:c r="AB39" s="86">
        <x:f t="shared" si="26"/>
        <x:v>0</x:v>
      </x:c>
      <x:c r="AC39" s="87"/>
      <x:c r="AD39" s="83"/>
      <x:c r="AE39" s="83"/>
      <x:c r="AF39" s="84"/>
      <x:c r="AG39" s="86">
        <x:f t="shared" si="27"/>
        <x:v>0</x:v>
      </x:c>
      <x:c r="AH39" s="87"/>
      <x:c r="AI39" s="83"/>
      <x:c r="AJ39" s="83"/>
      <x:c r="AK39" s="84"/>
      <x:c r="AL39" s="86">
        <x:f t="shared" si="28"/>
        <x:v>0</x:v>
      </x:c>
      <x:c r="AM39" s="87"/>
      <x:c r="AN39" s="83"/>
      <x:c r="AO39" s="83"/>
      <x:c r="AP39" s="84"/>
      <x:c r="AQ39" s="86">
        <x:f t="shared" si="29"/>
        <x:v>0</x:v>
      </x:c>
      <x:c r="AR39" s="87"/>
      <x:c r="AS39" s="83"/>
      <x:c r="AT39" s="83"/>
      <x:c r="AU39" s="84"/>
      <x:c r="AV39" s="86">
        <x:f t="shared" si="30"/>
        <x:v>0</x:v>
      </x:c>
      <x:c r="AW39" s="87"/>
      <x:c r="AX39" s="83"/>
      <x:c r="AY39" s="83"/>
      <x:c r="AZ39" s="84"/>
      <x:c r="BA39" s="86">
        <x:f t="shared" si="31"/>
        <x:v>0</x:v>
      </x:c>
      <x:c r="BB39" s="87"/>
      <x:c r="BC39" s="83"/>
      <x:c r="BD39" s="83"/>
      <x:c r="BE39" s="84"/>
      <x:c r="BF39" s="86">
        <x:f t="shared" si="32"/>
        <x:v>0</x:v>
      </x:c>
      <x:c r="BG39" s="87"/>
      <x:c r="BH39" s="83"/>
      <x:c r="BI39" s="83"/>
      <x:c r="BJ39" s="84"/>
      <x:c r="BK39" s="86">
        <x:f t="shared" si="33"/>
        <x:v>0</x:v>
      </x:c>
      <x:c r="BL39" s="87"/>
      <x:c r="BM39" s="83"/>
      <x:c r="BN39" s="83"/>
      <x:c r="BO39" s="84"/>
      <x:c r="BP39" s="86">
        <x:f t="shared" si="34"/>
        <x:v>0</x:v>
      </x:c>
      <x:c r="BQ39" s="87"/>
      <x:c r="BR39" s="83"/>
      <x:c r="BS39" s="83"/>
      <x:c r="BT39" s="84"/>
      <x:c r="BU39" s="86">
        <x:f t="shared" si="35"/>
        <x:v>0</x:v>
      </x:c>
      <x:c r="BV39" s="85">
        <x:v>0</x:v>
      </x:c>
      <x:c r="BW39" s="89"/>
      <x:c r="BX39" s="90"/>
    </x:row>
    <x:row r="40" spans="1:76" x14ac:dyDescent="0.25">
      <x:c r="A40" s="91"/>
      <x:c r="B40" s="83"/>
      <x:c r="C40" s="92"/>
      <x:c r="D40" s="92"/>
      <x:c r="E40" s="92"/>
      <x:c r="F40" s="92" t="s">
        <x:v>104</x:v>
      </x:c>
      <x:c r="G40" s="92"/>
      <x:c r="H40" s="92"/>
      <x:c r="I40" s="92"/>
      <x:c r="J40" s="92"/>
      <x:c r="K40" s="93"/>
      <x:c r="L40" s="102" t="s">
        <x:v>187</x:v>
      </x:c>
      <x:c r="M40" s="103"/>
      <x:c r="N40" s="82"/>
      <x:c r="O40" s="83"/>
      <x:c r="P40" s="83"/>
      <x:c r="Q40" s="84"/>
      <x:c r="R40" s="84">
        <x:f t="shared" si="24"/>
        <x:v>0</x:v>
      </x:c>
      <x:c r="S40" s="85"/>
      <x:c r="T40" s="83"/>
      <x:c r="U40" s="83"/>
      <x:c r="V40" s="84"/>
      <x:c r="W40" s="86">
        <x:f t="shared" si="25"/>
        <x:v>0</x:v>
      </x:c>
      <x:c r="X40" s="87"/>
      <x:c r="Y40" s="83"/>
      <x:c r="Z40" s="83"/>
      <x:c r="AA40" s="84"/>
      <x:c r="AB40" s="86">
        <x:f t="shared" si="26"/>
        <x:v>0</x:v>
      </x:c>
      <x:c r="AC40" s="87"/>
      <x:c r="AD40" s="83"/>
      <x:c r="AE40" s="83"/>
      <x:c r="AF40" s="84"/>
      <x:c r="AG40" s="86">
        <x:f t="shared" si="27"/>
        <x:v>0</x:v>
      </x:c>
      <x:c r="AH40" s="87"/>
      <x:c r="AI40" s="83"/>
      <x:c r="AJ40" s="83"/>
      <x:c r="AK40" s="84"/>
      <x:c r="AL40" s="86">
        <x:f t="shared" si="28"/>
        <x:v>0</x:v>
      </x:c>
      <x:c r="AM40" s="87"/>
      <x:c r="AN40" s="83"/>
      <x:c r="AO40" s="83"/>
      <x:c r="AP40" s="84"/>
      <x:c r="AQ40" s="86">
        <x:f t="shared" si="29"/>
        <x:v>0</x:v>
      </x:c>
      <x:c r="AR40" s="87"/>
      <x:c r="AS40" s="83"/>
      <x:c r="AT40" s="83"/>
      <x:c r="AU40" s="84"/>
      <x:c r="AV40" s="86">
        <x:f t="shared" si="30"/>
        <x:v>0</x:v>
      </x:c>
      <x:c r="AW40" s="87"/>
      <x:c r="AX40" s="83"/>
      <x:c r="AY40" s="83"/>
      <x:c r="AZ40" s="84"/>
      <x:c r="BA40" s="86">
        <x:f t="shared" si="31"/>
        <x:v>0</x:v>
      </x:c>
      <x:c r="BB40" s="87"/>
      <x:c r="BC40" s="83"/>
      <x:c r="BD40" s="83"/>
      <x:c r="BE40" s="84"/>
      <x:c r="BF40" s="86">
        <x:f t="shared" si="32"/>
        <x:v>0</x:v>
      </x:c>
      <x:c r="BG40" s="87"/>
      <x:c r="BH40" s="83"/>
      <x:c r="BI40" s="83"/>
      <x:c r="BJ40" s="84"/>
      <x:c r="BK40" s="86">
        <x:f t="shared" si="33"/>
        <x:v>0</x:v>
      </x:c>
      <x:c r="BL40" s="87"/>
      <x:c r="BM40" s="83"/>
      <x:c r="BN40" s="83"/>
      <x:c r="BO40" s="84"/>
      <x:c r="BP40" s="86">
        <x:f t="shared" si="34"/>
        <x:v>0</x:v>
      </x:c>
      <x:c r="BQ40" s="87"/>
      <x:c r="BR40" s="83"/>
      <x:c r="BS40" s="83"/>
      <x:c r="BT40" s="84"/>
      <x:c r="BU40" s="86">
        <x:f t="shared" si="35"/>
        <x:v>0</x:v>
      </x:c>
      <x:c r="BV40" s="85">
        <x:v>0</x:v>
      </x:c>
      <x:c r="BW40" s="89"/>
      <x:c r="BX40" s="90"/>
    </x:row>
    <x:row r="41" spans="1:76" ht="60" x14ac:dyDescent="0.25">
      <x:c r="A41" s="91"/>
      <x:c r="B41" s="83"/>
      <x:c r="C41" s="92"/>
      <x:c r="D41" s="92"/>
      <x:c r="E41" s="92"/>
      <x:c r="F41" s="92" t="s">
        <x:v>129</x:v>
      </x:c>
      <x:c r="G41" s="92"/>
      <x:c r="H41" s="92"/>
      <x:c r="I41" s="92"/>
      <x:c r="J41" s="92"/>
      <x:c r="K41" s="93"/>
      <x:c r="L41" s="102" t="s">
        <x:v>188</x:v>
      </x:c>
      <x:c r="M41" s="103"/>
      <x:c r="N41" s="82"/>
      <x:c r="O41" s="83"/>
      <x:c r="P41" s="83"/>
      <x:c r="Q41" s="84"/>
      <x:c r="R41" s="84">
        <x:f t="shared" si="24"/>
        <x:v>0</x:v>
      </x:c>
      <x:c r="S41" s="85"/>
      <x:c r="T41" s="83"/>
      <x:c r="U41" s="83"/>
      <x:c r="V41" s="84"/>
      <x:c r="W41" s="86">
        <x:f t="shared" si="25"/>
        <x:v>0</x:v>
      </x:c>
      <x:c r="X41" s="87"/>
      <x:c r="Y41" s="83"/>
      <x:c r="Z41" s="83"/>
      <x:c r="AA41" s="84"/>
      <x:c r="AB41" s="86">
        <x:f t="shared" si="26"/>
        <x:v>0</x:v>
      </x:c>
      <x:c r="AC41" s="87"/>
      <x:c r="AD41" s="83"/>
      <x:c r="AE41" s="83"/>
      <x:c r="AF41" s="84"/>
      <x:c r="AG41" s="86">
        <x:f t="shared" si="27"/>
        <x:v>0</x:v>
      </x:c>
      <x:c r="AH41" s="87"/>
      <x:c r="AI41" s="83"/>
      <x:c r="AJ41" s="83"/>
      <x:c r="AK41" s="84"/>
      <x:c r="AL41" s="86">
        <x:f t="shared" si="28"/>
        <x:v>0</x:v>
      </x:c>
      <x:c r="AM41" s="87"/>
      <x:c r="AN41" s="83"/>
      <x:c r="AO41" s="83"/>
      <x:c r="AP41" s="84"/>
      <x:c r="AQ41" s="86">
        <x:f t="shared" si="29"/>
        <x:v>0</x:v>
      </x:c>
      <x:c r="AR41" s="87"/>
      <x:c r="AS41" s="83"/>
      <x:c r="AT41" s="83"/>
      <x:c r="AU41" s="84"/>
      <x:c r="AV41" s="86">
        <x:f t="shared" si="30"/>
        <x:v>0</x:v>
      </x:c>
      <x:c r="AW41" s="87"/>
      <x:c r="AX41" s="83"/>
      <x:c r="AY41" s="83"/>
      <x:c r="AZ41" s="84"/>
      <x:c r="BA41" s="86">
        <x:f t="shared" si="31"/>
        <x:v>0</x:v>
      </x:c>
      <x:c r="BB41" s="87"/>
      <x:c r="BC41" s="83"/>
      <x:c r="BD41" s="83"/>
      <x:c r="BE41" s="84"/>
      <x:c r="BF41" s="86">
        <x:f t="shared" si="32"/>
        <x:v>0</x:v>
      </x:c>
      <x:c r="BG41" s="87"/>
      <x:c r="BH41" s="83"/>
      <x:c r="BI41" s="83"/>
      <x:c r="BJ41" s="84"/>
      <x:c r="BK41" s="86">
        <x:f t="shared" si="33"/>
        <x:v>0</x:v>
      </x:c>
      <x:c r="BL41" s="87"/>
      <x:c r="BM41" s="83"/>
      <x:c r="BN41" s="83"/>
      <x:c r="BO41" s="84"/>
      <x:c r="BP41" s="86">
        <x:f t="shared" si="34"/>
        <x:v>0</x:v>
      </x:c>
      <x:c r="BQ41" s="87"/>
      <x:c r="BR41" s="83"/>
      <x:c r="BS41" s="83"/>
      <x:c r="BT41" s="84"/>
      <x:c r="BU41" s="86">
        <x:f t="shared" si="35"/>
        <x:v>0</x:v>
      </x:c>
      <x:c r="BV41" s="85">
        <x:v>0</x:v>
      </x:c>
      <x:c r="BW41" s="89"/>
      <x:c r="BX41" s="90"/>
    </x:row>
    <x:row r="42" spans="1:76" ht="30" x14ac:dyDescent="0.25">
      <x:c r="A42" s="91"/>
      <x:c r="B42" s="83"/>
      <x:c r="C42" s="92"/>
      <x:c r="D42" s="92"/>
      <x:c r="E42" s="92"/>
      <x:c r="F42" s="92" t="s">
        <x:v>130</x:v>
      </x:c>
      <x:c r="G42" s="92"/>
      <x:c r="H42" s="92"/>
      <x:c r="I42" s="92"/>
      <x:c r="J42" s="92"/>
      <x:c r="K42" s="93"/>
      <x:c r="L42" s="102" t="s">
        <x:v>189</x:v>
      </x:c>
      <x:c r="M42" s="103"/>
      <x:c r="N42" s="82"/>
      <x:c r="O42" s="83"/>
      <x:c r="P42" s="83"/>
      <x:c r="Q42" s="84"/>
      <x:c r="R42" s="84">
        <x:f t="shared" si="24"/>
        <x:v>0</x:v>
      </x:c>
      <x:c r="S42" s="85"/>
      <x:c r="T42" s="83"/>
      <x:c r="U42" s="83"/>
      <x:c r="V42" s="84"/>
      <x:c r="W42" s="86">
        <x:f t="shared" si="25"/>
        <x:v>0</x:v>
      </x:c>
      <x:c r="X42" s="87"/>
      <x:c r="Y42" s="83"/>
      <x:c r="Z42" s="83"/>
      <x:c r="AA42" s="84"/>
      <x:c r="AB42" s="86">
        <x:f t="shared" si="26"/>
        <x:v>0</x:v>
      </x:c>
      <x:c r="AC42" s="87"/>
      <x:c r="AD42" s="83"/>
      <x:c r="AE42" s="83"/>
      <x:c r="AF42" s="84"/>
      <x:c r="AG42" s="86">
        <x:f t="shared" si="27"/>
        <x:v>0</x:v>
      </x:c>
      <x:c r="AH42" s="87"/>
      <x:c r="AI42" s="83"/>
      <x:c r="AJ42" s="83"/>
      <x:c r="AK42" s="84"/>
      <x:c r="AL42" s="86">
        <x:f t="shared" si="28"/>
        <x:v>0</x:v>
      </x:c>
      <x:c r="AM42" s="87"/>
      <x:c r="AN42" s="83"/>
      <x:c r="AO42" s="83"/>
      <x:c r="AP42" s="84"/>
      <x:c r="AQ42" s="86">
        <x:f t="shared" si="29"/>
        <x:v>0</x:v>
      </x:c>
      <x:c r="AR42" s="87"/>
      <x:c r="AS42" s="83"/>
      <x:c r="AT42" s="83"/>
      <x:c r="AU42" s="84"/>
      <x:c r="AV42" s="86">
        <x:f t="shared" si="30"/>
        <x:v>0</x:v>
      </x:c>
      <x:c r="AW42" s="87"/>
      <x:c r="AX42" s="83"/>
      <x:c r="AY42" s="83"/>
      <x:c r="AZ42" s="84"/>
      <x:c r="BA42" s="86">
        <x:f t="shared" si="31"/>
        <x:v>0</x:v>
      </x:c>
      <x:c r="BB42" s="87"/>
      <x:c r="BC42" s="83"/>
      <x:c r="BD42" s="83"/>
      <x:c r="BE42" s="84"/>
      <x:c r="BF42" s="86">
        <x:f t="shared" si="32"/>
        <x:v>0</x:v>
      </x:c>
      <x:c r="BG42" s="87"/>
      <x:c r="BH42" s="83"/>
      <x:c r="BI42" s="83"/>
      <x:c r="BJ42" s="84"/>
      <x:c r="BK42" s="86">
        <x:f t="shared" si="33"/>
        <x:v>0</x:v>
      </x:c>
      <x:c r="BL42" s="87"/>
      <x:c r="BM42" s="83"/>
      <x:c r="BN42" s="83"/>
      <x:c r="BO42" s="84"/>
      <x:c r="BP42" s="86">
        <x:f t="shared" si="34"/>
        <x:v>0</x:v>
      </x:c>
      <x:c r="BQ42" s="87"/>
      <x:c r="BR42" s="83"/>
      <x:c r="BS42" s="83"/>
      <x:c r="BT42" s="84"/>
      <x:c r="BU42" s="86">
        <x:f t="shared" si="35"/>
        <x:v>0</x:v>
      </x:c>
      <x:c r="BV42" s="85">
        <x:v>0</x:v>
      </x:c>
      <x:c r="BW42" s="89"/>
      <x:c r="BX42" s="90"/>
    </x:row>
    <x:row r="43" spans="1:76" ht="45" x14ac:dyDescent="0.25">
      <x:c r="A43" s="91"/>
      <x:c r="B43" s="83"/>
      <x:c r="C43" s="92"/>
      <x:c r="D43" s="92"/>
      <x:c r="E43" s="92"/>
      <x:c r="F43" s="92" t="s">
        <x:v>131</x:v>
      </x:c>
      <x:c r="G43" s="92"/>
      <x:c r="H43" s="92"/>
      <x:c r="I43" s="92"/>
      <x:c r="J43" s="92"/>
      <x:c r="K43" s="93"/>
      <x:c r="L43" s="102" t="s">
        <x:v>190</x:v>
      </x:c>
      <x:c r="M43" s="103"/>
      <x:c r="N43" s="82"/>
      <x:c r="O43" s="83"/>
      <x:c r="P43" s="83"/>
      <x:c r="Q43" s="84"/>
      <x:c r="R43" s="84">
        <x:f t="shared" si="24"/>
        <x:v>0</x:v>
      </x:c>
      <x:c r="S43" s="85"/>
      <x:c r="T43" s="83"/>
      <x:c r="U43" s="83"/>
      <x:c r="V43" s="84"/>
      <x:c r="W43" s="86">
        <x:f t="shared" si="25"/>
        <x:v>0</x:v>
      </x:c>
      <x:c r="X43" s="87"/>
      <x:c r="Y43" s="83"/>
      <x:c r="Z43" s="83"/>
      <x:c r="AA43" s="84"/>
      <x:c r="AB43" s="86">
        <x:f t="shared" si="26"/>
        <x:v>0</x:v>
      </x:c>
      <x:c r="AC43" s="87"/>
      <x:c r="AD43" s="83"/>
      <x:c r="AE43" s="83"/>
      <x:c r="AF43" s="84"/>
      <x:c r="AG43" s="86">
        <x:f t="shared" si="27"/>
        <x:v>0</x:v>
      </x:c>
      <x:c r="AH43" s="87"/>
      <x:c r="AI43" s="83"/>
      <x:c r="AJ43" s="83"/>
      <x:c r="AK43" s="84"/>
      <x:c r="AL43" s="86">
        <x:f t="shared" si="28"/>
        <x:v>0</x:v>
      </x:c>
      <x:c r="AM43" s="87"/>
      <x:c r="AN43" s="83"/>
      <x:c r="AO43" s="83"/>
      <x:c r="AP43" s="84"/>
      <x:c r="AQ43" s="86">
        <x:f t="shared" si="29"/>
        <x:v>0</x:v>
      </x:c>
      <x:c r="AR43" s="87"/>
      <x:c r="AS43" s="83"/>
      <x:c r="AT43" s="83"/>
      <x:c r="AU43" s="84"/>
      <x:c r="AV43" s="86">
        <x:f t="shared" si="30"/>
        <x:v>0</x:v>
      </x:c>
      <x:c r="AW43" s="87"/>
      <x:c r="AX43" s="83"/>
      <x:c r="AY43" s="83"/>
      <x:c r="AZ43" s="84"/>
      <x:c r="BA43" s="86">
        <x:f t="shared" si="31"/>
        <x:v>0</x:v>
      </x:c>
      <x:c r="BB43" s="87"/>
      <x:c r="BC43" s="83"/>
      <x:c r="BD43" s="83"/>
      <x:c r="BE43" s="84"/>
      <x:c r="BF43" s="86">
        <x:f t="shared" si="32"/>
        <x:v>0</x:v>
      </x:c>
      <x:c r="BG43" s="87"/>
      <x:c r="BH43" s="83"/>
      <x:c r="BI43" s="83"/>
      <x:c r="BJ43" s="84"/>
      <x:c r="BK43" s="86">
        <x:f t="shared" si="33"/>
        <x:v>0</x:v>
      </x:c>
      <x:c r="BL43" s="87"/>
      <x:c r="BM43" s="83"/>
      <x:c r="BN43" s="83"/>
      <x:c r="BO43" s="84"/>
      <x:c r="BP43" s="86">
        <x:f t="shared" si="34"/>
        <x:v>0</x:v>
      </x:c>
      <x:c r="BQ43" s="87"/>
      <x:c r="BR43" s="83"/>
      <x:c r="BS43" s="83"/>
      <x:c r="BT43" s="84"/>
      <x:c r="BU43" s="86">
        <x:f t="shared" si="35"/>
        <x:v>0</x:v>
      </x:c>
      <x:c r="BV43" s="85">
        <x:v>0</x:v>
      </x:c>
      <x:c r="BW43" s="89"/>
      <x:c r="BX43" s="90"/>
    </x:row>
    <x:row r="44" spans="1:76" ht="30" x14ac:dyDescent="0.25">
      <x:c r="A44" s="91" t="s">
        <x:v>132</x:v>
      </x:c>
      <x:c r="B44" s="83"/>
      <x:c r="C44" s="92"/>
      <x:c r="D44" s="92"/>
      <x:c r="E44" s="92"/>
      <x:c r="F44" s="92" t="s">
        <x:v>133</x:v>
      </x:c>
      <x:c r="G44" s="92"/>
      <x:c r="H44" s="92"/>
      <x:c r="I44" s="92"/>
      <x:c r="J44" s="92"/>
      <x:c r="K44" s="93"/>
      <x:c r="L44" s="102" t="s">
        <x:v>191</x:v>
      </x:c>
      <x:c r="M44" s="103"/>
      <x:c r="N44" s="82"/>
      <x:c r="O44" s="83"/>
      <x:c r="P44" s="83"/>
      <x:c r="Q44" s="84"/>
      <x:c r="R44" s="84">
        <x:f t="shared" si="24"/>
        <x:v>0</x:v>
      </x:c>
      <x:c r="S44" s="85"/>
      <x:c r="T44" s="83"/>
      <x:c r="U44" s="83"/>
      <x:c r="V44" s="84"/>
      <x:c r="W44" s="86">
        <x:f t="shared" si="25"/>
        <x:v>0</x:v>
      </x:c>
      <x:c r="X44" s="87"/>
      <x:c r="Y44" s="83"/>
      <x:c r="Z44" s="83"/>
      <x:c r="AA44" s="84"/>
      <x:c r="AB44" s="86">
        <x:f t="shared" si="26"/>
        <x:v>0</x:v>
      </x:c>
      <x:c r="AC44" s="87"/>
      <x:c r="AD44" s="83"/>
      <x:c r="AE44" s="83"/>
      <x:c r="AF44" s="84"/>
      <x:c r="AG44" s="86">
        <x:f t="shared" si="27"/>
        <x:v>0</x:v>
      </x:c>
      <x:c r="AH44" s="87"/>
      <x:c r="AI44" s="83"/>
      <x:c r="AJ44" s="83"/>
      <x:c r="AK44" s="84"/>
      <x:c r="AL44" s="86">
        <x:f t="shared" si="28"/>
        <x:v>0</x:v>
      </x:c>
      <x:c r="AM44" s="87"/>
      <x:c r="AN44" s="83"/>
      <x:c r="AO44" s="83"/>
      <x:c r="AP44" s="84"/>
      <x:c r="AQ44" s="86">
        <x:f t="shared" si="29"/>
        <x:v>0</x:v>
      </x:c>
      <x:c r="AR44" s="87"/>
      <x:c r="AS44" s="83"/>
      <x:c r="AT44" s="83"/>
      <x:c r="AU44" s="84"/>
      <x:c r="AV44" s="86">
        <x:f t="shared" si="30"/>
        <x:v>0</x:v>
      </x:c>
      <x:c r="AW44" s="87"/>
      <x:c r="AX44" s="83"/>
      <x:c r="AY44" s="83"/>
      <x:c r="AZ44" s="84"/>
      <x:c r="BA44" s="86">
        <x:f t="shared" si="31"/>
        <x:v>0</x:v>
      </x:c>
      <x:c r="BB44" s="87"/>
      <x:c r="BC44" s="83"/>
      <x:c r="BD44" s="83"/>
      <x:c r="BE44" s="84"/>
      <x:c r="BF44" s="86">
        <x:f t="shared" si="32"/>
        <x:v>0</x:v>
      </x:c>
      <x:c r="BG44" s="87"/>
      <x:c r="BH44" s="83"/>
      <x:c r="BI44" s="83"/>
      <x:c r="BJ44" s="84"/>
      <x:c r="BK44" s="86">
        <x:f t="shared" si="33"/>
        <x:v>0</x:v>
      </x:c>
      <x:c r="BL44" s="87"/>
      <x:c r="BM44" s="83"/>
      <x:c r="BN44" s="83"/>
      <x:c r="BO44" s="84"/>
      <x:c r="BP44" s="86">
        <x:f t="shared" si="34"/>
        <x:v>0</x:v>
      </x:c>
      <x:c r="BQ44" s="87"/>
      <x:c r="BR44" s="83"/>
      <x:c r="BS44" s="83"/>
      <x:c r="BT44" s="84"/>
      <x:c r="BU44" s="86">
        <x:f t="shared" si="35"/>
        <x:v>0</x:v>
      </x:c>
      <x:c r="BV44" s="85">
        <x:v>0</x:v>
      </x:c>
      <x:c r="BW44" s="89"/>
      <x:c r="BX44" s="90"/>
    </x:row>
    <x:row r="45" spans="1:76" ht="30" x14ac:dyDescent="0.25">
      <x:c r="A45" s="91" t="s">
        <x:v>134</x:v>
      </x:c>
      <x:c r="B45" s="83"/>
      <x:c r="C45" s="92"/>
      <x:c r="D45" s="92"/>
      <x:c r="E45" s="92"/>
      <x:c r="F45" s="92" t="s">
        <x:v>135</x:v>
      </x:c>
      <x:c r="G45" s="92"/>
      <x:c r="H45" s="92"/>
      <x:c r="I45" s="92"/>
      <x:c r="J45" s="92"/>
      <x:c r="K45" s="93"/>
      <x:c r="L45" s="102" t="s">
        <x:v>192</x:v>
      </x:c>
      <x:c r="M45" s="103"/>
      <x:c r="N45" s="82"/>
      <x:c r="O45" s="83"/>
      <x:c r="P45" s="83"/>
      <x:c r="Q45" s="84"/>
      <x:c r="R45" s="84">
        <x:f t="shared" si="24"/>
        <x:v>0</x:v>
      </x:c>
      <x:c r="S45" s="85"/>
      <x:c r="T45" s="83"/>
      <x:c r="U45" s="83"/>
      <x:c r="V45" s="84"/>
      <x:c r="W45" s="86">
        <x:f t="shared" si="25"/>
        <x:v>0</x:v>
      </x:c>
      <x:c r="X45" s="87"/>
      <x:c r="Y45" s="83"/>
      <x:c r="Z45" s="83"/>
      <x:c r="AA45" s="84"/>
      <x:c r="AB45" s="86">
        <x:f t="shared" si="26"/>
        <x:v>0</x:v>
      </x:c>
      <x:c r="AC45" s="87"/>
      <x:c r="AD45" s="83"/>
      <x:c r="AE45" s="83"/>
      <x:c r="AF45" s="84"/>
      <x:c r="AG45" s="86">
        <x:f t="shared" si="27"/>
        <x:v>0</x:v>
      </x:c>
      <x:c r="AH45" s="87"/>
      <x:c r="AI45" s="83"/>
      <x:c r="AJ45" s="83"/>
      <x:c r="AK45" s="84"/>
      <x:c r="AL45" s="86">
        <x:f t="shared" si="28"/>
        <x:v>0</x:v>
      </x:c>
      <x:c r="AM45" s="87"/>
      <x:c r="AN45" s="83"/>
      <x:c r="AO45" s="83"/>
      <x:c r="AP45" s="84"/>
      <x:c r="AQ45" s="86">
        <x:f t="shared" si="29"/>
        <x:v>0</x:v>
      </x:c>
      <x:c r="AR45" s="87"/>
      <x:c r="AS45" s="83"/>
      <x:c r="AT45" s="83"/>
      <x:c r="AU45" s="84"/>
      <x:c r="AV45" s="86">
        <x:f t="shared" si="30"/>
        <x:v>0</x:v>
      </x:c>
      <x:c r="AW45" s="87"/>
      <x:c r="AX45" s="83"/>
      <x:c r="AY45" s="83"/>
      <x:c r="AZ45" s="84"/>
      <x:c r="BA45" s="86">
        <x:f t="shared" si="31"/>
        <x:v>0</x:v>
      </x:c>
      <x:c r="BB45" s="87"/>
      <x:c r="BC45" s="83"/>
      <x:c r="BD45" s="83"/>
      <x:c r="BE45" s="84"/>
      <x:c r="BF45" s="86">
        <x:f t="shared" si="32"/>
        <x:v>0</x:v>
      </x:c>
      <x:c r="BG45" s="87"/>
      <x:c r="BH45" s="83"/>
      <x:c r="BI45" s="83"/>
      <x:c r="BJ45" s="84"/>
      <x:c r="BK45" s="86">
        <x:f t="shared" si="33"/>
        <x:v>0</x:v>
      </x:c>
      <x:c r="BL45" s="87"/>
      <x:c r="BM45" s="83"/>
      <x:c r="BN45" s="83"/>
      <x:c r="BO45" s="84"/>
      <x:c r="BP45" s="86">
        <x:f t="shared" si="34"/>
        <x:v>0</x:v>
      </x:c>
      <x:c r="BQ45" s="87"/>
      <x:c r="BR45" s="83"/>
      <x:c r="BS45" s="83"/>
      <x:c r="BT45" s="84"/>
      <x:c r="BU45" s="86">
        <x:f t="shared" si="35"/>
        <x:v>0</x:v>
      </x:c>
      <x:c r="BV45" s="85">
        <x:v>0</x:v>
      </x:c>
      <x:c r="BW45" s="89"/>
      <x:c r="BX45" s="90"/>
    </x:row>
    <x:row r="46" spans="1:76" x14ac:dyDescent="0.25">
      <x:c r="A46" s="91"/>
      <x:c r="B46" s="83"/>
      <x:c r="C46" s="92"/>
      <x:c r="D46" s="92"/>
      <x:c r="E46" s="92"/>
      <x:c r="F46" s="92" t="s">
        <x:v>136</x:v>
      </x:c>
      <x:c r="G46" s="92"/>
      <x:c r="H46" s="92"/>
      <x:c r="I46" s="92"/>
      <x:c r="J46" s="92"/>
      <x:c r="K46" s="93"/>
      <x:c r="L46" s="102" t="s">
        <x:v>193</x:v>
      </x:c>
      <x:c r="M46" s="103"/>
      <x:c r="N46" s="82"/>
      <x:c r="O46" s="83"/>
      <x:c r="P46" s="83"/>
      <x:c r="Q46" s="84"/>
      <x:c r="R46" s="84">
        <x:f t="shared" si="24"/>
        <x:v>0</x:v>
      </x:c>
      <x:c r="S46" s="85"/>
      <x:c r="T46" s="83"/>
      <x:c r="U46" s="83"/>
      <x:c r="V46" s="84"/>
      <x:c r="W46" s="86">
        <x:f t="shared" si="25"/>
        <x:v>0</x:v>
      </x:c>
      <x:c r="X46" s="87"/>
      <x:c r="Y46" s="83"/>
      <x:c r="Z46" s="83"/>
      <x:c r="AA46" s="84"/>
      <x:c r="AB46" s="86">
        <x:f t="shared" si="26"/>
        <x:v>0</x:v>
      </x:c>
      <x:c r="AC46" s="87"/>
      <x:c r="AD46" s="83"/>
      <x:c r="AE46" s="83"/>
      <x:c r="AF46" s="84"/>
      <x:c r="AG46" s="86">
        <x:f t="shared" si="27"/>
        <x:v>0</x:v>
      </x:c>
      <x:c r="AH46" s="87"/>
      <x:c r="AI46" s="83"/>
      <x:c r="AJ46" s="83"/>
      <x:c r="AK46" s="84"/>
      <x:c r="AL46" s="86">
        <x:f t="shared" si="28"/>
        <x:v>0</x:v>
      </x:c>
      <x:c r="AM46" s="87"/>
      <x:c r="AN46" s="83"/>
      <x:c r="AO46" s="83"/>
      <x:c r="AP46" s="84"/>
      <x:c r="AQ46" s="86">
        <x:f t="shared" si="29"/>
        <x:v>0</x:v>
      </x:c>
      <x:c r="AR46" s="87"/>
      <x:c r="AS46" s="83"/>
      <x:c r="AT46" s="83"/>
      <x:c r="AU46" s="84"/>
      <x:c r="AV46" s="86">
        <x:f t="shared" si="30"/>
        <x:v>0</x:v>
      </x:c>
      <x:c r="AW46" s="87"/>
      <x:c r="AX46" s="83"/>
      <x:c r="AY46" s="83"/>
      <x:c r="AZ46" s="84"/>
      <x:c r="BA46" s="86">
        <x:f t="shared" si="31"/>
        <x:v>0</x:v>
      </x:c>
      <x:c r="BB46" s="87"/>
      <x:c r="BC46" s="83"/>
      <x:c r="BD46" s="83"/>
      <x:c r="BE46" s="84"/>
      <x:c r="BF46" s="86">
        <x:f t="shared" si="32"/>
        <x:v>0</x:v>
      </x:c>
      <x:c r="BG46" s="87"/>
      <x:c r="BH46" s="83"/>
      <x:c r="BI46" s="83"/>
      <x:c r="BJ46" s="84"/>
      <x:c r="BK46" s="86">
        <x:f t="shared" si="33"/>
        <x:v>0</x:v>
      </x:c>
      <x:c r="BL46" s="87"/>
      <x:c r="BM46" s="83"/>
      <x:c r="BN46" s="83"/>
      <x:c r="BO46" s="84"/>
      <x:c r="BP46" s="86">
        <x:f t="shared" si="34"/>
        <x:v>0</x:v>
      </x:c>
      <x:c r="BQ46" s="87"/>
      <x:c r="BR46" s="83"/>
      <x:c r="BS46" s="83"/>
      <x:c r="BT46" s="84"/>
      <x:c r="BU46" s="86">
        <x:f t="shared" si="35"/>
        <x:v>0</x:v>
      </x:c>
      <x:c r="BV46" s="85">
        <x:v>0</x:v>
      </x:c>
      <x:c r="BW46" s="89"/>
      <x:c r="BX46" s="90"/>
    </x:row>
    <x:row r="47" spans="1:76" x14ac:dyDescent="0.25">
      <x:c r="A47" s="91"/>
      <x:c r="B47" s="83"/>
      <x:c r="C47" s="92"/>
      <x:c r="D47" s="92"/>
      <x:c r="E47" s="92"/>
      <x:c r="F47" s="92" t="s">
        <x:v>137</x:v>
      </x:c>
      <x:c r="G47" s="92"/>
      <x:c r="H47" s="92"/>
      <x:c r="I47" s="92"/>
      <x:c r="J47" s="92"/>
      <x:c r="K47" s="93"/>
      <x:c r="L47" s="102" t="s">
        <x:v>194</x:v>
      </x:c>
      <x:c r="M47" s="103"/>
      <x:c r="N47" s="82"/>
      <x:c r="O47" s="83"/>
      <x:c r="P47" s="83"/>
      <x:c r="Q47" s="84"/>
      <x:c r="R47" s="84">
        <x:f t="shared" si="24"/>
        <x:v>0</x:v>
      </x:c>
      <x:c r="S47" s="85"/>
      <x:c r="T47" s="83"/>
      <x:c r="U47" s="83"/>
      <x:c r="V47" s="84"/>
      <x:c r="W47" s="86">
        <x:f t="shared" si="25"/>
        <x:v>0</x:v>
      </x:c>
      <x:c r="X47" s="87"/>
      <x:c r="Y47" s="83"/>
      <x:c r="Z47" s="83"/>
      <x:c r="AA47" s="84"/>
      <x:c r="AB47" s="86">
        <x:f t="shared" si="26"/>
        <x:v>0</x:v>
      </x:c>
      <x:c r="AC47" s="87"/>
      <x:c r="AD47" s="83"/>
      <x:c r="AE47" s="83"/>
      <x:c r="AF47" s="84"/>
      <x:c r="AG47" s="86">
        <x:f t="shared" si="27"/>
        <x:v>0</x:v>
      </x:c>
      <x:c r="AH47" s="87"/>
      <x:c r="AI47" s="83"/>
      <x:c r="AJ47" s="83"/>
      <x:c r="AK47" s="84"/>
      <x:c r="AL47" s="86">
        <x:f t="shared" si="28"/>
        <x:v>0</x:v>
      </x:c>
      <x:c r="AM47" s="87"/>
      <x:c r="AN47" s="83"/>
      <x:c r="AO47" s="83"/>
      <x:c r="AP47" s="84"/>
      <x:c r="AQ47" s="86">
        <x:f t="shared" si="29"/>
        <x:v>0</x:v>
      </x:c>
      <x:c r="AR47" s="87"/>
      <x:c r="AS47" s="83"/>
      <x:c r="AT47" s="83"/>
      <x:c r="AU47" s="84"/>
      <x:c r="AV47" s="86">
        <x:f t="shared" si="30"/>
        <x:v>0</x:v>
      </x:c>
      <x:c r="AW47" s="87"/>
      <x:c r="AX47" s="83"/>
      <x:c r="AY47" s="83"/>
      <x:c r="AZ47" s="84"/>
      <x:c r="BA47" s="86">
        <x:f t="shared" si="31"/>
        <x:v>0</x:v>
      </x:c>
      <x:c r="BB47" s="87"/>
      <x:c r="BC47" s="83"/>
      <x:c r="BD47" s="83"/>
      <x:c r="BE47" s="84"/>
      <x:c r="BF47" s="86">
        <x:f t="shared" si="32"/>
        <x:v>0</x:v>
      </x:c>
      <x:c r="BG47" s="87"/>
      <x:c r="BH47" s="83"/>
      <x:c r="BI47" s="83"/>
      <x:c r="BJ47" s="84"/>
      <x:c r="BK47" s="86">
        <x:f t="shared" si="33"/>
        <x:v>0</x:v>
      </x:c>
      <x:c r="BL47" s="87"/>
      <x:c r="BM47" s="83"/>
      <x:c r="BN47" s="83"/>
      <x:c r="BO47" s="84"/>
      <x:c r="BP47" s="86">
        <x:f t="shared" si="34"/>
        <x:v>0</x:v>
      </x:c>
      <x:c r="BQ47" s="87"/>
      <x:c r="BR47" s="83"/>
      <x:c r="BS47" s="83"/>
      <x:c r="BT47" s="84"/>
      <x:c r="BU47" s="86">
        <x:f t="shared" si="35"/>
        <x:v>0</x:v>
      </x:c>
      <x:c r="BV47" s="85">
        <x:v>0</x:v>
      </x:c>
      <x:c r="BW47" s="89"/>
      <x:c r="BX47" s="90"/>
    </x:row>
    <x:row r="48" spans="1:76" ht="30" x14ac:dyDescent="0.25">
      <x:c r="A48" s="91" t="s">
        <x:v>138</x:v>
      </x:c>
      <x:c r="B48" s="83">
        <x:v>9501137831</x:v>
      </x:c>
      <x:c r="C48" s="98">
        <x:v>45992</x:v>
      </x:c>
      <x:c r="D48" s="98">
        <x:v>46356</x:v>
      </x:c>
      <x:c r="E48" s="92" t="s">
        <x:v>139</x:v>
      </x:c>
      <x:c r="F48" s="92" t="s">
        <x:v>140</x:v>
      </x:c>
      <x:c r="G48" s="92">
        <x:v>41010100</x:v>
      </x:c>
      <x:c r="H48" s="92">
        <x:v>7280</x:v>
      </x:c>
      <x:c r="I48" s="92" t="s">
        <x:v>141</x:v>
      </x:c>
      <x:c r="J48" s="92">
        <x:v>2662855</x:v>
      </x:c>
      <x:c r="K48" s="99">
        <x:v>38005</x:v>
      </x:c>
      <x:c r="L48" s="102" t="s">
        <x:v>195</x:v>
      </x:c>
      <x:c r="M48" s="103" t="s">
        <x:v>166</x:v>
      </x:c>
      <x:c r="N48" s="82"/>
      <x:c r="O48" s="83"/>
      <x:c r="P48" s="83"/>
      <x:c r="Q48" s="84"/>
      <x:c r="R48" s="84">
        <x:f t="shared" si="24"/>
        <x:v>0</x:v>
      </x:c>
      <x:c r="S48" s="85"/>
      <x:c r="T48" s="83"/>
      <x:c r="U48" s="83"/>
      <x:c r="V48" s="84"/>
      <x:c r="W48" s="86">
        <x:f t="shared" si="25"/>
        <x:v>0</x:v>
      </x:c>
      <x:c r="X48" s="87"/>
      <x:c r="Y48" s="83"/>
      <x:c r="Z48" s="83"/>
      <x:c r="AA48" s="84"/>
      <x:c r="AB48" s="86">
        <x:f t="shared" si="26"/>
        <x:v>0</x:v>
      </x:c>
      <x:c r="AC48" s="87"/>
      <x:c r="AD48" s="83"/>
      <x:c r="AE48" s="83"/>
      <x:c r="AF48" s="84"/>
      <x:c r="AG48" s="86">
        <x:f t="shared" si="27"/>
        <x:v>0</x:v>
      </x:c>
      <x:c r="AH48" s="87"/>
      <x:c r="AI48" s="83"/>
      <x:c r="AJ48" s="83"/>
      <x:c r="AK48" s="84"/>
      <x:c r="AL48" s="86">
        <x:f t="shared" si="28"/>
        <x:v>0</x:v>
      </x:c>
      <x:c r="AM48" s="87"/>
      <x:c r="AN48" s="83"/>
      <x:c r="AO48" s="83"/>
      <x:c r="AP48" s="84"/>
      <x:c r="AQ48" s="86">
        <x:f t="shared" si="29"/>
        <x:v>0</x:v>
      </x:c>
      <x:c r="AR48" s="87"/>
      <x:c r="AS48" s="83"/>
      <x:c r="AT48" s="83"/>
      <x:c r="AU48" s="84"/>
      <x:c r="AV48" s="86">
        <x:f t="shared" si="30"/>
        <x:v>0</x:v>
      </x:c>
      <x:c r="AW48" s="87"/>
      <x:c r="AX48" s="83"/>
      <x:c r="AY48" s="83"/>
      <x:c r="AZ48" s="84"/>
      <x:c r="BA48" s="86">
        <x:f t="shared" si="31"/>
        <x:v>0</x:v>
      </x:c>
      <x:c r="BB48" s="87"/>
      <x:c r="BC48" s="83"/>
      <x:c r="BD48" s="83"/>
      <x:c r="BE48" s="84"/>
      <x:c r="BF48" s="86">
        <x:f t="shared" si="32"/>
        <x:v>0</x:v>
      </x:c>
      <x:c r="BG48" s="87"/>
      <x:c r="BH48" s="83"/>
      <x:c r="BI48" s="83"/>
      <x:c r="BJ48" s="84"/>
      <x:c r="BK48" s="86">
        <x:f t="shared" si="33"/>
        <x:v>0</x:v>
      </x:c>
      <x:c r="BL48" s="87"/>
      <x:c r="BM48" s="83"/>
      <x:c r="BN48" s="83"/>
      <x:c r="BO48" s="84"/>
      <x:c r="BP48" s="86">
        <x:f t="shared" si="34"/>
        <x:v>0</x:v>
      </x:c>
      <x:c r="BQ48" s="87"/>
      <x:c r="BR48" s="83"/>
      <x:c r="BS48" s="83"/>
      <x:c r="BT48" s="84"/>
      <x:c r="BU48" s="86">
        <x:f t="shared" si="35"/>
        <x:v>0</x:v>
      </x:c>
      <x:c r="BV48" s="85">
        <x:v>0</x:v>
      </x:c>
      <x:c r="BW48" s="89"/>
      <x:c r="BX48" s="90"/>
    </x:row>
    <x:row r="49" spans="1:76" ht="45" x14ac:dyDescent="0.25">
      <x:c r="A49" s="91" t="s">
        <x:v>97</x:v>
      </x:c>
      <x:c r="B49" s="83">
        <x:v>9501137269</x:v>
      </x:c>
      <x:c r="C49" s="98">
        <x:v>45992</x:v>
      </x:c>
      <x:c r="D49" s="98">
        <x:v>46356</x:v>
      </x:c>
      <x:c r="E49" s="92" t="s">
        <x:v>142</x:v>
      </x:c>
      <x:c r="F49" s="92" t="s">
        <x:v>143</x:v>
      </x:c>
      <x:c r="G49" s="92">
        <x:v>41010100</x:v>
      </x:c>
      <x:c r="H49" s="92">
        <x:v>7280</x:v>
      </x:c>
      <x:c r="I49" s="92" t="s">
        <x:v>141</x:v>
      </x:c>
      <x:c r="J49" s="92">
        <x:v>2662855</x:v>
      </x:c>
      <x:c r="K49" s="99">
        <x:v>9980</x:v>
      </x:c>
      <x:c r="L49" s="102" t="s">
        <x:v>196</x:v>
      </x:c>
      <x:c r="M49" s="103" t="s">
        <x:v>166</x:v>
      </x:c>
      <x:c r="N49" s="82"/>
      <x:c r="O49" s="83"/>
      <x:c r="P49" s="83"/>
      <x:c r="Q49" s="84"/>
      <x:c r="R49" s="84">
        <x:f t="shared" si="24"/>
        <x:v>0</x:v>
      </x:c>
      <x:c r="S49" s="85"/>
      <x:c r="T49" s="83"/>
      <x:c r="U49" s="83"/>
      <x:c r="V49" s="84"/>
      <x:c r="W49" s="86">
        <x:f t="shared" si="25"/>
        <x:v>0</x:v>
      </x:c>
      <x:c r="X49" s="87"/>
      <x:c r="Y49" s="83"/>
      <x:c r="Z49" s="83"/>
      <x:c r="AA49" s="84"/>
      <x:c r="AB49" s="86">
        <x:f t="shared" si="26"/>
        <x:v>0</x:v>
      </x:c>
      <x:c r="AC49" s="87"/>
      <x:c r="AD49" s="83"/>
      <x:c r="AE49" s="83"/>
      <x:c r="AF49" s="84"/>
      <x:c r="AG49" s="86">
        <x:f t="shared" si="27"/>
        <x:v>0</x:v>
      </x:c>
      <x:c r="AH49" s="87"/>
      <x:c r="AI49" s="83"/>
      <x:c r="AJ49" s="83"/>
      <x:c r="AK49" s="84"/>
      <x:c r="AL49" s="86">
        <x:f t="shared" si="28"/>
        <x:v>0</x:v>
      </x:c>
      <x:c r="AM49" s="87"/>
      <x:c r="AN49" s="83"/>
      <x:c r="AO49" s="83"/>
      <x:c r="AP49" s="84"/>
      <x:c r="AQ49" s="86">
        <x:f t="shared" si="29"/>
        <x:v>0</x:v>
      </x:c>
      <x:c r="AR49" s="87"/>
      <x:c r="AS49" s="83"/>
      <x:c r="AT49" s="83"/>
      <x:c r="AU49" s="84"/>
      <x:c r="AV49" s="86">
        <x:f t="shared" si="30"/>
        <x:v>0</x:v>
      </x:c>
      <x:c r="AW49" s="87"/>
      <x:c r="AX49" s="83"/>
      <x:c r="AY49" s="83"/>
      <x:c r="AZ49" s="84"/>
      <x:c r="BA49" s="86">
        <x:f t="shared" si="31"/>
        <x:v>0</x:v>
      </x:c>
      <x:c r="BB49" s="87"/>
      <x:c r="BC49" s="83"/>
      <x:c r="BD49" s="83"/>
      <x:c r="BE49" s="84"/>
      <x:c r="BF49" s="86">
        <x:f t="shared" si="32"/>
        <x:v>0</x:v>
      </x:c>
      <x:c r="BG49" s="87"/>
      <x:c r="BH49" s="83"/>
      <x:c r="BI49" s="83"/>
      <x:c r="BJ49" s="84"/>
      <x:c r="BK49" s="86">
        <x:f t="shared" si="33"/>
        <x:v>0</x:v>
      </x:c>
      <x:c r="BL49" s="87"/>
      <x:c r="BM49" s="83"/>
      <x:c r="BN49" s="83"/>
      <x:c r="BO49" s="84"/>
      <x:c r="BP49" s="86">
        <x:f t="shared" si="34"/>
        <x:v>0</x:v>
      </x:c>
      <x:c r="BQ49" s="87"/>
      <x:c r="BR49" s="83"/>
      <x:c r="BS49" s="83"/>
      <x:c r="BT49" s="84"/>
      <x:c r="BU49" s="86">
        <x:f t="shared" si="35"/>
        <x:v>0</x:v>
      </x:c>
      <x:c r="BV49" s="85">
        <x:v>0</x:v>
      </x:c>
      <x:c r="BW49" s="89"/>
      <x:c r="BX49" s="90"/>
    </x:row>
    <x:row r="50" spans="1:76" ht="30" x14ac:dyDescent="0.25">
      <x:c r="A50" s="91"/>
      <x:c r="B50" s="83"/>
      <x:c r="C50" s="92"/>
      <x:c r="D50" s="92"/>
      <x:c r="E50" s="92"/>
      <x:c r="F50" s="92" t="s">
        <x:v>144</x:v>
      </x:c>
      <x:c r="G50" s="92"/>
      <x:c r="H50" s="92"/>
      <x:c r="I50" s="92"/>
      <x:c r="J50" s="92"/>
      <x:c r="K50" s="99">
        <x:v>12000</x:v>
      </x:c>
      <x:c r="L50" s="102" t="s">
        <x:v>197</x:v>
      </x:c>
      <x:c r="M50" s="103"/>
      <x:c r="N50" s="82"/>
      <x:c r="O50" s="83"/>
      <x:c r="P50" s="83"/>
      <x:c r="Q50" s="84"/>
      <x:c r="R50" s="84">
        <x:f t="shared" si="24"/>
        <x:v>0</x:v>
      </x:c>
      <x:c r="S50" s="85"/>
      <x:c r="T50" s="83"/>
      <x:c r="U50" s="83"/>
      <x:c r="V50" s="84"/>
      <x:c r="W50" s="86">
        <x:f t="shared" si="25"/>
        <x:v>0</x:v>
      </x:c>
      <x:c r="X50" s="87"/>
      <x:c r="Y50" s="83"/>
      <x:c r="Z50" s="83"/>
      <x:c r="AA50" s="84"/>
      <x:c r="AB50" s="86">
        <x:f t="shared" si="26"/>
        <x:v>0</x:v>
      </x:c>
      <x:c r="AC50" s="87"/>
      <x:c r="AD50" s="83"/>
      <x:c r="AE50" s="83"/>
      <x:c r="AF50" s="84"/>
      <x:c r="AG50" s="86">
        <x:f t="shared" si="27"/>
        <x:v>0</x:v>
      </x:c>
      <x:c r="AH50" s="87"/>
      <x:c r="AI50" s="83"/>
      <x:c r="AJ50" s="83"/>
      <x:c r="AK50" s="84"/>
      <x:c r="AL50" s="86">
        <x:f t="shared" si="28"/>
        <x:v>0</x:v>
      </x:c>
      <x:c r="AM50" s="87"/>
      <x:c r="AN50" s="83"/>
      <x:c r="AO50" s="83"/>
      <x:c r="AP50" s="84"/>
      <x:c r="AQ50" s="86">
        <x:f t="shared" si="29"/>
        <x:v>0</x:v>
      </x:c>
      <x:c r="AR50" s="87"/>
      <x:c r="AS50" s="83"/>
      <x:c r="AT50" s="83"/>
      <x:c r="AU50" s="84"/>
      <x:c r="AV50" s="86">
        <x:f t="shared" si="30"/>
        <x:v>0</x:v>
      </x:c>
      <x:c r="AW50" s="87"/>
      <x:c r="AX50" s="83"/>
      <x:c r="AY50" s="83"/>
      <x:c r="AZ50" s="84"/>
      <x:c r="BA50" s="86">
        <x:f t="shared" si="31"/>
        <x:v>0</x:v>
      </x:c>
      <x:c r="BB50" s="87"/>
      <x:c r="BC50" s="83"/>
      <x:c r="BD50" s="83"/>
      <x:c r="BE50" s="84"/>
      <x:c r="BF50" s="86">
        <x:f t="shared" si="32"/>
        <x:v>0</x:v>
      </x:c>
      <x:c r="BG50" s="87"/>
      <x:c r="BH50" s="83"/>
      <x:c r="BI50" s="83"/>
      <x:c r="BJ50" s="84"/>
      <x:c r="BK50" s="86">
        <x:f t="shared" si="33"/>
        <x:v>0</x:v>
      </x:c>
      <x:c r="BL50" s="87"/>
      <x:c r="BM50" s="83"/>
      <x:c r="BN50" s="83"/>
      <x:c r="BO50" s="84"/>
      <x:c r="BP50" s="86">
        <x:f t="shared" si="34"/>
        <x:v>0</x:v>
      </x:c>
      <x:c r="BQ50" s="87"/>
      <x:c r="BR50" s="83"/>
      <x:c r="BS50" s="83"/>
      <x:c r="BT50" s="84"/>
      <x:c r="BU50" s="86">
        <x:f t="shared" si="35"/>
        <x:v>0</x:v>
      </x:c>
      <x:c r="BV50" s="85">
        <x:v>0</x:v>
      </x:c>
      <x:c r="BW50" s="89"/>
      <x:c r="BX50" s="90"/>
    </x:row>
    <x:row r="51" spans="1:76" ht="45" x14ac:dyDescent="0.25">
      <x:c r="A51" s="91"/>
      <x:c r="B51" s="83"/>
      <x:c r="C51" s="92"/>
      <x:c r="D51" s="92"/>
      <x:c r="E51" s="92"/>
      <x:c r="F51" s="92" t="s">
        <x:v>145</x:v>
      </x:c>
      <x:c r="G51" s="92"/>
      <x:c r="H51" s="92"/>
      <x:c r="I51" s="92"/>
      <x:c r="J51" s="92"/>
      <x:c r="K51" s="99">
        <x:v>0</x:v>
      </x:c>
      <x:c r="L51" s="102" t="s">
        <x:v>198</x:v>
      </x:c>
      <x:c r="M51" s="103"/>
      <x:c r="N51" s="82"/>
      <x:c r="O51" s="83"/>
      <x:c r="P51" s="83"/>
      <x:c r="Q51" s="84"/>
      <x:c r="R51" s="84">
        <x:f t="shared" si="24"/>
        <x:v>0</x:v>
      </x:c>
      <x:c r="S51" s="85"/>
      <x:c r="T51" s="83"/>
      <x:c r="U51" s="83"/>
      <x:c r="V51" s="84"/>
      <x:c r="W51" s="86">
        <x:f t="shared" si="25"/>
        <x:v>0</x:v>
      </x:c>
      <x:c r="X51" s="87"/>
      <x:c r="Y51" s="83"/>
      <x:c r="Z51" s="83"/>
      <x:c r="AA51" s="84"/>
      <x:c r="AB51" s="86">
        <x:f t="shared" si="26"/>
        <x:v>0</x:v>
      </x:c>
      <x:c r="AC51" s="87"/>
      <x:c r="AD51" s="83"/>
      <x:c r="AE51" s="83"/>
      <x:c r="AF51" s="84"/>
      <x:c r="AG51" s="86">
        <x:f t="shared" si="27"/>
        <x:v>0</x:v>
      </x:c>
      <x:c r="AH51" s="87"/>
      <x:c r="AI51" s="83"/>
      <x:c r="AJ51" s="83"/>
      <x:c r="AK51" s="84"/>
      <x:c r="AL51" s="86">
        <x:f t="shared" si="28"/>
        <x:v>0</x:v>
      </x:c>
      <x:c r="AM51" s="87"/>
      <x:c r="AN51" s="83"/>
      <x:c r="AO51" s="83"/>
      <x:c r="AP51" s="84"/>
      <x:c r="AQ51" s="86">
        <x:f t="shared" si="29"/>
        <x:v>0</x:v>
      </x:c>
      <x:c r="AR51" s="87"/>
      <x:c r="AS51" s="83"/>
      <x:c r="AT51" s="83"/>
      <x:c r="AU51" s="84"/>
      <x:c r="AV51" s="86">
        <x:f t="shared" si="30"/>
        <x:v>0</x:v>
      </x:c>
      <x:c r="AW51" s="87"/>
      <x:c r="AX51" s="83"/>
      <x:c r="AY51" s="83"/>
      <x:c r="AZ51" s="84"/>
      <x:c r="BA51" s="86">
        <x:f t="shared" si="31"/>
        <x:v>0</x:v>
      </x:c>
      <x:c r="BB51" s="87"/>
      <x:c r="BC51" s="83"/>
      <x:c r="BD51" s="83"/>
      <x:c r="BE51" s="84"/>
      <x:c r="BF51" s="86">
        <x:f t="shared" si="32"/>
        <x:v>0</x:v>
      </x:c>
      <x:c r="BG51" s="87"/>
      <x:c r="BH51" s="83"/>
      <x:c r="BI51" s="83"/>
      <x:c r="BJ51" s="84"/>
      <x:c r="BK51" s="86">
        <x:f t="shared" si="33"/>
        <x:v>0</x:v>
      </x:c>
      <x:c r="BL51" s="87"/>
      <x:c r="BM51" s="83"/>
      <x:c r="BN51" s="83"/>
      <x:c r="BO51" s="84"/>
      <x:c r="BP51" s="86">
        <x:f t="shared" si="34"/>
        <x:v>0</x:v>
      </x:c>
      <x:c r="BQ51" s="87"/>
      <x:c r="BR51" s="83"/>
      <x:c r="BS51" s="83"/>
      <x:c r="BT51" s="84"/>
      <x:c r="BU51" s="86">
        <x:f t="shared" si="35"/>
        <x:v>0</x:v>
      </x:c>
      <x:c r="BV51" s="85">
        <x:v>0</x:v>
      </x:c>
      <x:c r="BW51" s="89"/>
      <x:c r="BX51" s="90"/>
    </x:row>
    <x:row r="52" spans="1:76" ht="30" x14ac:dyDescent="0.25">
      <x:c r="A52" s="91" t="s">
        <x:v>97</x:v>
      </x:c>
      <x:c r="B52" s="83">
        <x:v>9501166164</x:v>
      </x:c>
      <x:c r="C52" s="98">
        <x:v>46023</x:v>
      </x:c>
      <x:c r="D52" s="98">
        <x:v>46387</x:v>
      </x:c>
      <x:c r="E52" s="92" t="s">
        <x:v>146</x:v>
      </x:c>
      <x:c r="F52" s="92" t="s">
        <x:v>147</x:v>
      </x:c>
      <x:c r="G52" s="92">
        <x:v>41500000</x:v>
      </x:c>
      <x:c r="H52" s="92">
        <x:v>1400</x:v>
      </x:c>
      <x:c r="I52" s="92" t="s">
        <x:v>105</x:v>
      </x:c>
      <x:c r="J52" s="92">
        <x:v>2321403</x:v>
      </x:c>
      <x:c r="K52" s="99">
        <x:v>4651600</x:v>
      </x:c>
      <x:c r="L52" s="102" t="s">
        <x:v>199</x:v>
      </x:c>
      <x:c r="M52" s="103" t="s">
        <x:v>166</x:v>
      </x:c>
      <x:c r="N52" s="82"/>
      <x:c r="O52" s="83"/>
      <x:c r="P52" s="83"/>
      <x:c r="Q52" s="84"/>
      <x:c r="R52" s="84">
        <x:f t="shared" si="24"/>
        <x:v>0</x:v>
      </x:c>
      <x:c r="S52" s="85"/>
      <x:c r="T52" s="83"/>
      <x:c r="U52" s="83"/>
      <x:c r="V52" s="84"/>
      <x:c r="W52" s="86">
        <x:f t="shared" si="25"/>
        <x:v>0</x:v>
      </x:c>
      <x:c r="X52" s="87"/>
      <x:c r="Y52" s="83"/>
      <x:c r="Z52" s="83"/>
      <x:c r="AA52" s="84"/>
      <x:c r="AB52" s="86">
        <x:f t="shared" si="26"/>
        <x:v>0</x:v>
      </x:c>
      <x:c r="AC52" s="87"/>
      <x:c r="AD52" s="83"/>
      <x:c r="AE52" s="83"/>
      <x:c r="AF52" s="84"/>
      <x:c r="AG52" s="86">
        <x:f t="shared" si="27"/>
        <x:v>0</x:v>
      </x:c>
      <x:c r="AH52" s="87"/>
      <x:c r="AI52" s="83"/>
      <x:c r="AJ52" s="83"/>
      <x:c r="AK52" s="84"/>
      <x:c r="AL52" s="86">
        <x:f t="shared" si="28"/>
        <x:v>0</x:v>
      </x:c>
      <x:c r="AM52" s="87"/>
      <x:c r="AN52" s="83"/>
      <x:c r="AO52" s="83"/>
      <x:c r="AP52" s="84"/>
      <x:c r="AQ52" s="86">
        <x:f t="shared" si="29"/>
        <x:v>0</x:v>
      </x:c>
      <x:c r="AR52" s="87"/>
      <x:c r="AS52" s="83"/>
      <x:c r="AT52" s="83"/>
      <x:c r="AU52" s="84"/>
      <x:c r="AV52" s="86">
        <x:f t="shared" si="30"/>
        <x:v>0</x:v>
      </x:c>
      <x:c r="AW52" s="87"/>
      <x:c r="AX52" s="83"/>
      <x:c r="AY52" s="83"/>
      <x:c r="AZ52" s="84"/>
      <x:c r="BA52" s="86">
        <x:f t="shared" si="31"/>
        <x:v>0</x:v>
      </x:c>
      <x:c r="BB52" s="87"/>
      <x:c r="BC52" s="83"/>
      <x:c r="BD52" s="83"/>
      <x:c r="BE52" s="84"/>
      <x:c r="BF52" s="86">
        <x:f t="shared" si="32"/>
        <x:v>0</x:v>
      </x:c>
      <x:c r="BG52" s="87"/>
      <x:c r="BH52" s="83"/>
      <x:c r="BI52" s="83"/>
      <x:c r="BJ52" s="84"/>
      <x:c r="BK52" s="86">
        <x:f t="shared" si="33"/>
        <x:v>0</x:v>
      </x:c>
      <x:c r="BL52" s="87"/>
      <x:c r="BM52" s="83"/>
      <x:c r="BN52" s="83"/>
      <x:c r="BO52" s="84"/>
      <x:c r="BP52" s="86">
        <x:f t="shared" si="34"/>
        <x:v>0</x:v>
      </x:c>
      <x:c r="BQ52" s="87"/>
      <x:c r="BR52" s="83"/>
      <x:c r="BS52" s="83"/>
      <x:c r="BT52" s="84"/>
      <x:c r="BU52" s="86">
        <x:f t="shared" si="35"/>
        <x:v>0</x:v>
      </x:c>
      <x:c r="BV52" s="85">
        <x:v>0</x:v>
      </x:c>
      <x:c r="BW52" s="89"/>
      <x:c r="BX52" s="90"/>
    </x:row>
    <x:row r="53" spans="1:76" ht="45" x14ac:dyDescent="0.25">
      <x:c r="A53" s="91" t="s">
        <x:v>97</x:v>
      </x:c>
      <x:c r="B53" s="83">
        <x:v>9501190667</x:v>
      </x:c>
      <x:c r="C53" s="98">
        <x:v>45992</x:v>
      </x:c>
      <x:c r="D53" s="98">
        <x:v>46296</x:v>
      </x:c>
      <x:c r="E53" s="92" t="s">
        <x:v>146</x:v>
      </x:c>
      <x:c r="F53" s="92" t="s">
        <x:v>147</x:v>
      </x:c>
      <x:c r="G53" s="92">
        <x:v>41500000</x:v>
      </x:c>
      <x:c r="H53" s="92">
        <x:v>1400</x:v>
      </x:c>
      <x:c r="I53" s="92" t="s">
        <x:v>105</x:v>
      </x:c>
      <x:c r="J53" s="92">
        <x:v>2321403</x:v>
      </x:c>
      <x:c r="K53" s="99">
        <x:v>62500</x:v>
      </x:c>
      <x:c r="L53" s="102" t="s">
        <x:v>200</x:v>
      </x:c>
      <x:c r="M53" s="103" t="s">
        <x:v>166</x:v>
      </x:c>
      <x:c r="N53" s="82"/>
      <x:c r="O53" s="83"/>
      <x:c r="P53" s="83"/>
      <x:c r="Q53" s="84"/>
      <x:c r="R53" s="84">
        <x:f t="shared" si="24"/>
        <x:v>0</x:v>
      </x:c>
      <x:c r="S53" s="85"/>
      <x:c r="T53" s="83"/>
      <x:c r="U53" s="83"/>
      <x:c r="V53" s="84"/>
      <x:c r="W53" s="86">
        <x:f t="shared" si="25"/>
        <x:v>0</x:v>
      </x:c>
      <x:c r="X53" s="87"/>
      <x:c r="Y53" s="83"/>
      <x:c r="Z53" s="83"/>
      <x:c r="AA53" s="84"/>
      <x:c r="AB53" s="86">
        <x:f t="shared" si="26"/>
        <x:v>0</x:v>
      </x:c>
      <x:c r="AC53" s="87"/>
      <x:c r="AD53" s="83"/>
      <x:c r="AE53" s="83"/>
      <x:c r="AF53" s="84"/>
      <x:c r="AG53" s="86">
        <x:f t="shared" si="27"/>
        <x:v>0</x:v>
      </x:c>
      <x:c r="AH53" s="87"/>
      <x:c r="AI53" s="83"/>
      <x:c r="AJ53" s="83"/>
      <x:c r="AK53" s="84"/>
      <x:c r="AL53" s="86">
        <x:f t="shared" si="28"/>
        <x:v>0</x:v>
      </x:c>
      <x:c r="AM53" s="87"/>
      <x:c r="AN53" s="83"/>
      <x:c r="AO53" s="83"/>
      <x:c r="AP53" s="84"/>
      <x:c r="AQ53" s="86">
        <x:f t="shared" si="29"/>
        <x:v>0</x:v>
      </x:c>
      <x:c r="AR53" s="87"/>
      <x:c r="AS53" s="83"/>
      <x:c r="AT53" s="83"/>
      <x:c r="AU53" s="84"/>
      <x:c r="AV53" s="86">
        <x:f t="shared" si="30"/>
        <x:v>0</x:v>
      </x:c>
      <x:c r="AW53" s="87"/>
      <x:c r="AX53" s="83"/>
      <x:c r="AY53" s="83"/>
      <x:c r="AZ53" s="84"/>
      <x:c r="BA53" s="86">
        <x:f t="shared" si="31"/>
        <x:v>0</x:v>
      </x:c>
      <x:c r="BB53" s="87"/>
      <x:c r="BC53" s="83"/>
      <x:c r="BD53" s="83"/>
      <x:c r="BE53" s="84"/>
      <x:c r="BF53" s="86">
        <x:f t="shared" si="32"/>
        <x:v>0</x:v>
      </x:c>
      <x:c r="BG53" s="87"/>
      <x:c r="BH53" s="83"/>
      <x:c r="BI53" s="83"/>
      <x:c r="BJ53" s="84"/>
      <x:c r="BK53" s="86">
        <x:f t="shared" si="33"/>
        <x:v>0</x:v>
      </x:c>
      <x:c r="BL53" s="87"/>
      <x:c r="BM53" s="83"/>
      <x:c r="BN53" s="83"/>
      <x:c r="BO53" s="84"/>
      <x:c r="BP53" s="86">
        <x:f t="shared" si="34"/>
        <x:v>0</x:v>
      </x:c>
      <x:c r="BQ53" s="87"/>
      <x:c r="BR53" s="83"/>
      <x:c r="BS53" s="83"/>
      <x:c r="BT53" s="84"/>
      <x:c r="BU53" s="86">
        <x:f t="shared" si="35"/>
        <x:v>0</x:v>
      </x:c>
      <x:c r="BV53" s="85">
        <x:v>0</x:v>
      </x:c>
      <x:c r="BW53" s="89"/>
      <x:c r="BX53" s="90"/>
    </x:row>
    <x:row r="54" spans="1:76" ht="45" x14ac:dyDescent="0.25">
      <x:c r="A54" s="91" t="s">
        <x:v>148</x:v>
      </x:c>
      <x:c r="B54" s="83">
        <x:v>9501199822</x:v>
      </x:c>
      <x:c r="C54" s="98">
        <x:v>46023</x:v>
      </x:c>
      <x:c r="D54" s="98">
        <x:v>46387</x:v>
      </x:c>
      <x:c r="E54" s="92" t="s">
        <x:v>146</x:v>
      </x:c>
      <x:c r="F54" s="92" t="s">
        <x:v>149</x:v>
      </x:c>
      <x:c r="G54" s="92">
        <x:v>41500000</x:v>
      </x:c>
      <x:c r="H54" s="92">
        <x:v>1400</x:v>
      </x:c>
      <x:c r="I54" s="92" t="s">
        <x:v>105</x:v>
      </x:c>
      <x:c r="J54" s="92">
        <x:v>2321403</x:v>
      </x:c>
      <x:c r="K54" s="99">
        <x:v>1058400</x:v>
      </x:c>
      <x:c r="L54" s="102" t="s">
        <x:v>201</x:v>
      </x:c>
      <x:c r="M54" s="103" t="s">
        <x:v>166</x:v>
      </x:c>
      <x:c r="N54" s="82"/>
      <x:c r="O54" s="83"/>
      <x:c r="P54" s="83"/>
      <x:c r="Q54" s="84"/>
      <x:c r="R54" s="84">
        <x:f t="shared" si="24"/>
        <x:v>0</x:v>
      </x:c>
      <x:c r="S54" s="85"/>
      <x:c r="T54" s="83"/>
      <x:c r="U54" s="83"/>
      <x:c r="V54" s="84"/>
      <x:c r="W54" s="86">
        <x:f t="shared" si="25"/>
        <x:v>0</x:v>
      </x:c>
      <x:c r="X54" s="87"/>
      <x:c r="Y54" s="83"/>
      <x:c r="Z54" s="83"/>
      <x:c r="AA54" s="84"/>
      <x:c r="AB54" s="86">
        <x:f t="shared" si="26"/>
        <x:v>0</x:v>
      </x:c>
      <x:c r="AC54" s="87"/>
      <x:c r="AD54" s="83"/>
      <x:c r="AE54" s="83"/>
      <x:c r="AF54" s="84"/>
      <x:c r="AG54" s="86">
        <x:f t="shared" si="27"/>
        <x:v>0</x:v>
      </x:c>
      <x:c r="AH54" s="87"/>
      <x:c r="AI54" s="83"/>
      <x:c r="AJ54" s="83"/>
      <x:c r="AK54" s="84"/>
      <x:c r="AL54" s="86">
        <x:f t="shared" si="28"/>
        <x:v>0</x:v>
      </x:c>
      <x:c r="AM54" s="87"/>
      <x:c r="AN54" s="83"/>
      <x:c r="AO54" s="83"/>
      <x:c r="AP54" s="84"/>
      <x:c r="AQ54" s="86">
        <x:f t="shared" si="29"/>
        <x:v>0</x:v>
      </x:c>
      <x:c r="AR54" s="87"/>
      <x:c r="AS54" s="83"/>
      <x:c r="AT54" s="83"/>
      <x:c r="AU54" s="84"/>
      <x:c r="AV54" s="86">
        <x:f t="shared" si="30"/>
        <x:v>0</x:v>
      </x:c>
      <x:c r="AW54" s="87"/>
      <x:c r="AX54" s="83"/>
      <x:c r="AY54" s="83"/>
      <x:c r="AZ54" s="84"/>
      <x:c r="BA54" s="86">
        <x:f t="shared" si="31"/>
        <x:v>0</x:v>
      </x:c>
      <x:c r="BB54" s="87"/>
      <x:c r="BC54" s="83"/>
      <x:c r="BD54" s="83"/>
      <x:c r="BE54" s="84"/>
      <x:c r="BF54" s="86">
        <x:f t="shared" si="32"/>
        <x:v>0</x:v>
      </x:c>
      <x:c r="BG54" s="87"/>
      <x:c r="BH54" s="83"/>
      <x:c r="BI54" s="83"/>
      <x:c r="BJ54" s="84"/>
      <x:c r="BK54" s="86">
        <x:f t="shared" si="33"/>
        <x:v>0</x:v>
      </x:c>
      <x:c r="BL54" s="87"/>
      <x:c r="BM54" s="83"/>
      <x:c r="BN54" s="83"/>
      <x:c r="BO54" s="84"/>
      <x:c r="BP54" s="86">
        <x:f t="shared" si="34"/>
        <x:v>0</x:v>
      </x:c>
      <x:c r="BQ54" s="87"/>
      <x:c r="BR54" s="83"/>
      <x:c r="BS54" s="83"/>
      <x:c r="BT54" s="84"/>
      <x:c r="BU54" s="86">
        <x:f t="shared" si="35"/>
        <x:v>0</x:v>
      </x:c>
      <x:c r="BV54" s="85">
        <x:v>0</x:v>
      </x:c>
      <x:c r="BW54" s="89"/>
      <x:c r="BX54" s="90"/>
    </x:row>
    <x:row r="55" spans="1:76" ht="45" x14ac:dyDescent="0.25">
      <x:c r="A55" s="91" t="s">
        <x:v>150</x:v>
      </x:c>
      <x:c r="B55" s="83">
        <x:v>9501199827</x:v>
      </x:c>
      <x:c r="C55" s="98">
        <x:v>46023</x:v>
      </x:c>
      <x:c r="D55" s="98">
        <x:v>46387</x:v>
      </x:c>
      <x:c r="E55" s="92" t="s">
        <x:v>146</x:v>
      </x:c>
      <x:c r="F55" s="92" t="s">
        <x:v>149</x:v>
      </x:c>
      <x:c r="G55" s="92">
        <x:v>41500000</x:v>
      </x:c>
      <x:c r="H55" s="92">
        <x:v>1400</x:v>
      </x:c>
      <x:c r="I55" s="92" t="s">
        <x:v>105</x:v>
      </x:c>
      <x:c r="J55" s="92">
        <x:v>2321403</x:v>
      </x:c>
      <x:c r="K55" s="99">
        <x:v>577400</x:v>
      </x:c>
      <x:c r="L55" s="102" t="s">
        <x:v>202</x:v>
      </x:c>
      <x:c r="M55" s="103" t="s">
        <x:v>166</x:v>
      </x:c>
      <x:c r="N55" s="82"/>
      <x:c r="O55" s="83"/>
      <x:c r="P55" s="83"/>
      <x:c r="Q55" s="84"/>
      <x:c r="R55" s="84">
        <x:f t="shared" si="24"/>
        <x:v>0</x:v>
      </x:c>
      <x:c r="S55" s="85"/>
      <x:c r="T55" s="83"/>
      <x:c r="U55" s="83"/>
      <x:c r="V55" s="84"/>
      <x:c r="W55" s="86">
        <x:f t="shared" si="25"/>
        <x:v>0</x:v>
      </x:c>
      <x:c r="X55" s="87"/>
      <x:c r="Y55" s="83"/>
      <x:c r="Z55" s="83"/>
      <x:c r="AA55" s="84"/>
      <x:c r="AB55" s="86">
        <x:f t="shared" si="26"/>
        <x:v>0</x:v>
      </x:c>
      <x:c r="AC55" s="87"/>
      <x:c r="AD55" s="83"/>
      <x:c r="AE55" s="83"/>
      <x:c r="AF55" s="84"/>
      <x:c r="AG55" s="86">
        <x:f t="shared" si="27"/>
        <x:v>0</x:v>
      </x:c>
      <x:c r="AH55" s="87"/>
      <x:c r="AI55" s="83"/>
      <x:c r="AJ55" s="83"/>
      <x:c r="AK55" s="84"/>
      <x:c r="AL55" s="86">
        <x:f t="shared" si="28"/>
        <x:v>0</x:v>
      </x:c>
      <x:c r="AM55" s="87"/>
      <x:c r="AN55" s="83"/>
      <x:c r="AO55" s="83"/>
      <x:c r="AP55" s="84"/>
      <x:c r="AQ55" s="86">
        <x:f t="shared" si="29"/>
        <x:v>0</x:v>
      </x:c>
      <x:c r="AR55" s="87"/>
      <x:c r="AS55" s="83"/>
      <x:c r="AT55" s="83"/>
      <x:c r="AU55" s="84"/>
      <x:c r="AV55" s="86">
        <x:f t="shared" si="30"/>
        <x:v>0</x:v>
      </x:c>
      <x:c r="AW55" s="87"/>
      <x:c r="AX55" s="83"/>
      <x:c r="AY55" s="83"/>
      <x:c r="AZ55" s="84"/>
      <x:c r="BA55" s="86">
        <x:f t="shared" si="31"/>
        <x:v>0</x:v>
      </x:c>
      <x:c r="BB55" s="87"/>
      <x:c r="BC55" s="83"/>
      <x:c r="BD55" s="83"/>
      <x:c r="BE55" s="84"/>
      <x:c r="BF55" s="86">
        <x:f t="shared" si="32"/>
        <x:v>0</x:v>
      </x:c>
      <x:c r="BG55" s="87"/>
      <x:c r="BH55" s="83"/>
      <x:c r="BI55" s="83"/>
      <x:c r="BJ55" s="84"/>
      <x:c r="BK55" s="86">
        <x:f t="shared" si="33"/>
        <x:v>0</x:v>
      </x:c>
      <x:c r="BL55" s="87"/>
      <x:c r="BM55" s="83"/>
      <x:c r="BN55" s="83"/>
      <x:c r="BO55" s="84"/>
      <x:c r="BP55" s="86">
        <x:f t="shared" si="34"/>
        <x:v>0</x:v>
      </x:c>
      <x:c r="BQ55" s="87"/>
      <x:c r="BR55" s="83"/>
      <x:c r="BS55" s="83"/>
      <x:c r="BT55" s="84"/>
      <x:c r="BU55" s="86">
        <x:f t="shared" si="35"/>
        <x:v>0</x:v>
      </x:c>
      <x:c r="BV55" s="85">
        <x:v>0</x:v>
      </x:c>
      <x:c r="BW55" s="89"/>
      <x:c r="BX55" s="90"/>
    </x:row>
    <x:row r="56" spans="1:76" x14ac:dyDescent="0.25">
      <x:c r="A56" s="91" t="s">
        <x:v>97</x:v>
      </x:c>
      <x:c r="B56" s="83">
        <x:v>9501195328</x:v>
      </x:c>
      <x:c r="C56" s="98">
        <x:v>46023</x:v>
      </x:c>
      <x:c r="D56" s="98">
        <x:v>46387</x:v>
      </x:c>
      <x:c r="E56" s="92" t="s">
        <x:v>146</x:v>
      </x:c>
      <x:c r="F56" s="92" t="s">
        <x:v>151</x:v>
      </x:c>
      <x:c r="G56" s="92">
        <x:v>41500000</x:v>
      </x:c>
      <x:c r="H56" s="92">
        <x:v>1400</x:v>
      </x:c>
      <x:c r="I56" s="92" t="s">
        <x:v>105</x:v>
      </x:c>
      <x:c r="J56" s="92">
        <x:v>2321403</x:v>
      </x:c>
      <x:c r="K56" s="99">
        <x:v>36000</x:v>
      </x:c>
      <x:c r="L56" s="102" t="s">
        <x:v>203</x:v>
      </x:c>
      <x:c r="M56" s="103" t="s">
        <x:v>166</x:v>
      </x:c>
      <x:c r="N56" s="82"/>
      <x:c r="O56" s="83"/>
      <x:c r="P56" s="83"/>
      <x:c r="Q56" s="84"/>
      <x:c r="R56" s="84">
        <x:f t="shared" si="24"/>
        <x:v>0</x:v>
      </x:c>
      <x:c r="S56" s="85"/>
      <x:c r="T56" s="83"/>
      <x:c r="U56" s="83"/>
      <x:c r="V56" s="84"/>
      <x:c r="W56" s="86">
        <x:f t="shared" si="25"/>
        <x:v>0</x:v>
      </x:c>
      <x:c r="X56" s="87"/>
      <x:c r="Y56" s="83"/>
      <x:c r="Z56" s="83"/>
      <x:c r="AA56" s="84"/>
      <x:c r="AB56" s="86">
        <x:f t="shared" si="26"/>
        <x:v>0</x:v>
      </x:c>
      <x:c r="AC56" s="87"/>
      <x:c r="AD56" s="83"/>
      <x:c r="AE56" s="83"/>
      <x:c r="AF56" s="84"/>
      <x:c r="AG56" s="86">
        <x:f t="shared" si="27"/>
        <x:v>0</x:v>
      </x:c>
      <x:c r="AH56" s="87"/>
      <x:c r="AI56" s="83"/>
      <x:c r="AJ56" s="83"/>
      <x:c r="AK56" s="84"/>
      <x:c r="AL56" s="86">
        <x:f t="shared" si="28"/>
        <x:v>0</x:v>
      </x:c>
      <x:c r="AM56" s="87"/>
      <x:c r="AN56" s="83"/>
      <x:c r="AO56" s="83"/>
      <x:c r="AP56" s="84"/>
      <x:c r="AQ56" s="86">
        <x:f t="shared" si="29"/>
        <x:v>0</x:v>
      </x:c>
      <x:c r="AR56" s="87"/>
      <x:c r="AS56" s="83"/>
      <x:c r="AT56" s="83"/>
      <x:c r="AU56" s="84"/>
      <x:c r="AV56" s="86">
        <x:f t="shared" si="30"/>
        <x:v>0</x:v>
      </x:c>
      <x:c r="AW56" s="87"/>
      <x:c r="AX56" s="83"/>
      <x:c r="AY56" s="83"/>
      <x:c r="AZ56" s="84"/>
      <x:c r="BA56" s="86">
        <x:f t="shared" si="31"/>
        <x:v>0</x:v>
      </x:c>
      <x:c r="BB56" s="87"/>
      <x:c r="BC56" s="83"/>
      <x:c r="BD56" s="83"/>
      <x:c r="BE56" s="84"/>
      <x:c r="BF56" s="86">
        <x:f t="shared" si="32"/>
        <x:v>0</x:v>
      </x:c>
      <x:c r="BG56" s="87"/>
      <x:c r="BH56" s="83"/>
      <x:c r="BI56" s="83"/>
      <x:c r="BJ56" s="84"/>
      <x:c r="BK56" s="86">
        <x:f t="shared" si="33"/>
        <x:v>0</x:v>
      </x:c>
      <x:c r="BL56" s="87"/>
      <x:c r="BM56" s="83"/>
      <x:c r="BN56" s="83"/>
      <x:c r="BO56" s="84"/>
      <x:c r="BP56" s="86">
        <x:f t="shared" si="34"/>
        <x:v>0</x:v>
      </x:c>
      <x:c r="BQ56" s="87"/>
      <x:c r="BR56" s="83"/>
      <x:c r="BS56" s="83"/>
      <x:c r="BT56" s="84"/>
      <x:c r="BU56" s="86">
        <x:f t="shared" si="35"/>
        <x:v>0</x:v>
      </x:c>
      <x:c r="BV56" s="85">
        <x:v>0</x:v>
      </x:c>
      <x:c r="BW56" s="89"/>
      <x:c r="BX56" s="90"/>
    </x:row>
    <x:row r="57" spans="1:76" x14ac:dyDescent="0.25">
      <x:c r="A57" s="91"/>
      <x:c r="B57" s="83"/>
      <x:c r="C57" s="92"/>
      <x:c r="D57" s="92"/>
      <x:c r="E57" s="92"/>
      <x:c r="F57" s="92" t="s">
        <x:v>152</x:v>
      </x:c>
      <x:c r="G57" s="92"/>
      <x:c r="H57" s="92"/>
      <x:c r="I57" s="92"/>
      <x:c r="J57" s="92"/>
      <x:c r="K57" s="93"/>
      <x:c r="L57" s="102" t="s">
        <x:v>204</x:v>
      </x:c>
      <x:c r="M57" s="103"/>
      <x:c r="N57" s="82"/>
      <x:c r="O57" s="83"/>
      <x:c r="P57" s="83"/>
      <x:c r="Q57" s="84"/>
      <x:c r="R57" s="84">
        <x:f t="shared" si="24"/>
        <x:v>0</x:v>
      </x:c>
      <x:c r="S57" s="85"/>
      <x:c r="T57" s="83"/>
      <x:c r="U57" s="83"/>
      <x:c r="V57" s="84"/>
      <x:c r="W57" s="86">
        <x:f t="shared" si="25"/>
        <x:v>0</x:v>
      </x:c>
      <x:c r="X57" s="87"/>
      <x:c r="Y57" s="83"/>
      <x:c r="Z57" s="83"/>
      <x:c r="AA57" s="84"/>
      <x:c r="AB57" s="86">
        <x:f t="shared" si="26"/>
        <x:v>0</x:v>
      </x:c>
      <x:c r="AC57" s="87"/>
      <x:c r="AD57" s="83"/>
      <x:c r="AE57" s="83"/>
      <x:c r="AF57" s="84"/>
      <x:c r="AG57" s="86">
        <x:f t="shared" si="27"/>
        <x:v>0</x:v>
      </x:c>
      <x:c r="AH57" s="87"/>
      <x:c r="AI57" s="83"/>
      <x:c r="AJ57" s="83"/>
      <x:c r="AK57" s="84"/>
      <x:c r="AL57" s="86">
        <x:f t="shared" si="28"/>
        <x:v>0</x:v>
      </x:c>
      <x:c r="AM57" s="87"/>
      <x:c r="AN57" s="83"/>
      <x:c r="AO57" s="83"/>
      <x:c r="AP57" s="84"/>
      <x:c r="AQ57" s="86">
        <x:f t="shared" si="29"/>
        <x:v>0</x:v>
      </x:c>
      <x:c r="AR57" s="87"/>
      <x:c r="AS57" s="83"/>
      <x:c r="AT57" s="83"/>
      <x:c r="AU57" s="84"/>
      <x:c r="AV57" s="86">
        <x:f t="shared" si="30"/>
        <x:v>0</x:v>
      </x:c>
      <x:c r="AW57" s="87"/>
      <x:c r="AX57" s="83"/>
      <x:c r="AY57" s="83"/>
      <x:c r="AZ57" s="84"/>
      <x:c r="BA57" s="86">
        <x:f t="shared" si="31"/>
        <x:v>0</x:v>
      </x:c>
      <x:c r="BB57" s="87"/>
      <x:c r="BC57" s="83"/>
      <x:c r="BD57" s="83"/>
      <x:c r="BE57" s="84"/>
      <x:c r="BF57" s="86">
        <x:f t="shared" si="32"/>
        <x:v>0</x:v>
      </x:c>
      <x:c r="BG57" s="87"/>
      <x:c r="BH57" s="83"/>
      <x:c r="BI57" s="83"/>
      <x:c r="BJ57" s="84"/>
      <x:c r="BK57" s="86">
        <x:f t="shared" si="33"/>
        <x:v>0</x:v>
      </x:c>
      <x:c r="BL57" s="87"/>
      <x:c r="BM57" s="83"/>
      <x:c r="BN57" s="83"/>
      <x:c r="BO57" s="84"/>
      <x:c r="BP57" s="86">
        <x:f t="shared" si="34"/>
        <x:v>0</x:v>
      </x:c>
      <x:c r="BQ57" s="87"/>
      <x:c r="BR57" s="83"/>
      <x:c r="BS57" s="83"/>
      <x:c r="BT57" s="84"/>
      <x:c r="BU57" s="86">
        <x:f t="shared" si="35"/>
        <x:v>0</x:v>
      </x:c>
      <x:c r="BV57" s="85">
        <x:v>0</x:v>
      </x:c>
      <x:c r="BW57" s="89"/>
      <x:c r="BX57" s="90"/>
    </x:row>
    <x:row r="58" spans="1:76" x14ac:dyDescent="0.25">
      <x:c r="A58" s="91"/>
      <x:c r="B58" s="83"/>
      <x:c r="C58" s="92"/>
      <x:c r="D58" s="92"/>
      <x:c r="E58" s="92"/>
      <x:c r="F58" s="92" t="s">
        <x:v>153</x:v>
      </x:c>
      <x:c r="G58" s="92"/>
      <x:c r="H58" s="92"/>
      <x:c r="I58" s="92"/>
      <x:c r="J58" s="92"/>
      <x:c r="K58" s="93"/>
      <x:c r="L58" s="102" t="s">
        <x:v>205</x:v>
      </x:c>
      <x:c r="M58" s="103"/>
      <x:c r="N58" s="82"/>
      <x:c r="O58" s="83"/>
      <x:c r="P58" s="83"/>
      <x:c r="Q58" s="84"/>
      <x:c r="R58" s="84">
        <x:f t="shared" si="24"/>
        <x:v>0</x:v>
      </x:c>
      <x:c r="S58" s="85"/>
      <x:c r="T58" s="83"/>
      <x:c r="U58" s="83"/>
      <x:c r="V58" s="84"/>
      <x:c r="W58" s="86">
        <x:f t="shared" si="25"/>
        <x:v>0</x:v>
      </x:c>
      <x:c r="X58" s="87"/>
      <x:c r="Y58" s="83"/>
      <x:c r="Z58" s="83"/>
      <x:c r="AA58" s="84"/>
      <x:c r="AB58" s="86">
        <x:f t="shared" si="26"/>
        <x:v>0</x:v>
      </x:c>
      <x:c r="AC58" s="87"/>
      <x:c r="AD58" s="83"/>
      <x:c r="AE58" s="83"/>
      <x:c r="AF58" s="84"/>
      <x:c r="AG58" s="86">
        <x:f t="shared" si="27"/>
        <x:v>0</x:v>
      </x:c>
      <x:c r="AH58" s="87"/>
      <x:c r="AI58" s="83"/>
      <x:c r="AJ58" s="83"/>
      <x:c r="AK58" s="84"/>
      <x:c r="AL58" s="86">
        <x:f t="shared" si="28"/>
        <x:v>0</x:v>
      </x:c>
      <x:c r="AM58" s="87"/>
      <x:c r="AN58" s="83"/>
      <x:c r="AO58" s="83"/>
      <x:c r="AP58" s="84"/>
      <x:c r="AQ58" s="86">
        <x:f t="shared" si="29"/>
        <x:v>0</x:v>
      </x:c>
      <x:c r="AR58" s="87"/>
      <x:c r="AS58" s="83"/>
      <x:c r="AT58" s="83"/>
      <x:c r="AU58" s="84"/>
      <x:c r="AV58" s="86">
        <x:f t="shared" si="30"/>
        <x:v>0</x:v>
      </x:c>
      <x:c r="AW58" s="87"/>
      <x:c r="AX58" s="83"/>
      <x:c r="AY58" s="83"/>
      <x:c r="AZ58" s="84"/>
      <x:c r="BA58" s="86">
        <x:f t="shared" si="31"/>
        <x:v>0</x:v>
      </x:c>
      <x:c r="BB58" s="87"/>
      <x:c r="BC58" s="83"/>
      <x:c r="BD58" s="83"/>
      <x:c r="BE58" s="84"/>
      <x:c r="BF58" s="86">
        <x:f t="shared" si="32"/>
        <x:v>0</x:v>
      </x:c>
      <x:c r="BG58" s="87"/>
      <x:c r="BH58" s="83"/>
      <x:c r="BI58" s="83"/>
      <x:c r="BJ58" s="84"/>
      <x:c r="BK58" s="86">
        <x:f t="shared" si="33"/>
        <x:v>0</x:v>
      </x:c>
      <x:c r="BL58" s="87"/>
      <x:c r="BM58" s="83"/>
      <x:c r="BN58" s="83"/>
      <x:c r="BO58" s="84"/>
      <x:c r="BP58" s="86">
        <x:f t="shared" si="34"/>
        <x:v>0</x:v>
      </x:c>
      <x:c r="BQ58" s="87"/>
      <x:c r="BR58" s="83"/>
      <x:c r="BS58" s="83"/>
      <x:c r="BT58" s="84"/>
      <x:c r="BU58" s="86">
        <x:f t="shared" si="35"/>
        <x:v>0</x:v>
      </x:c>
      <x:c r="BV58" s="85">
        <x:v>0</x:v>
      </x:c>
      <x:c r="BW58" s="89"/>
      <x:c r="BX58" s="90"/>
    </x:row>
    <x:row r="59" spans="1:76" x14ac:dyDescent="0.25">
      <x:c r="A59" s="91" t="s">
        <x:v>10</x:v>
      </x:c>
      <x:c r="B59" s="83">
        <x:v>9501212179</x:v>
      </x:c>
      <x:c r="C59" s="98">
        <x:v>46023</x:v>
      </x:c>
      <x:c r="D59" s="92" t="s">
        <x:v>154</x:v>
      </x:c>
      <x:c r="E59" s="92" t="s">
        <x:v>146</x:v>
      </x:c>
      <x:c r="F59" s="92" t="s">
        <x:v>155</x:v>
      </x:c>
      <x:c r="G59" s="92">
        <x:v>41500000</x:v>
      </x:c>
      <x:c r="H59" s="92">
        <x:v>1400</x:v>
      </x:c>
      <x:c r="I59" s="92" t="s">
        <x:v>105</x:v>
      </x:c>
      <x:c r="J59" s="92">
        <x:v>2321403</x:v>
      </x:c>
      <x:c r="K59" s="99">
        <x:v>334732.5</x:v>
      </x:c>
      <x:c r="L59" s="102" t="s">
        <x:v>206</x:v>
      </x:c>
      <x:c r="M59" s="103" t="s">
        <x:v>166</x:v>
      </x:c>
      <x:c r="N59" s="82"/>
      <x:c r="O59" s="83"/>
      <x:c r="P59" s="83"/>
      <x:c r="Q59" s="84"/>
      <x:c r="R59" s="84">
        <x:f t="shared" si="24"/>
        <x:v>0</x:v>
      </x:c>
      <x:c r="S59" s="85"/>
      <x:c r="T59" s="83"/>
      <x:c r="U59" s="83"/>
      <x:c r="V59" s="84"/>
      <x:c r="W59" s="86">
        <x:f t="shared" si="25"/>
        <x:v>0</x:v>
      </x:c>
      <x:c r="X59" s="87"/>
      <x:c r="Y59" s="83"/>
      <x:c r="Z59" s="83"/>
      <x:c r="AA59" s="84"/>
      <x:c r="AB59" s="86">
        <x:f t="shared" si="26"/>
        <x:v>0</x:v>
      </x:c>
      <x:c r="AC59" s="87"/>
      <x:c r="AD59" s="83"/>
      <x:c r="AE59" s="83"/>
      <x:c r="AF59" s="84"/>
      <x:c r="AG59" s="86">
        <x:f t="shared" si="27"/>
        <x:v>0</x:v>
      </x:c>
      <x:c r="AH59" s="87"/>
      <x:c r="AI59" s="83"/>
      <x:c r="AJ59" s="83"/>
      <x:c r="AK59" s="84"/>
      <x:c r="AL59" s="86">
        <x:f t="shared" si="28"/>
        <x:v>0</x:v>
      </x:c>
      <x:c r="AM59" s="87"/>
      <x:c r="AN59" s="83"/>
      <x:c r="AO59" s="83"/>
      <x:c r="AP59" s="84"/>
      <x:c r="AQ59" s="86">
        <x:f t="shared" si="29"/>
        <x:v>0</x:v>
      </x:c>
      <x:c r="AR59" s="87"/>
      <x:c r="AS59" s="83"/>
      <x:c r="AT59" s="83"/>
      <x:c r="AU59" s="84"/>
      <x:c r="AV59" s="86">
        <x:f t="shared" si="30"/>
        <x:v>0</x:v>
      </x:c>
      <x:c r="AW59" s="87"/>
      <x:c r="AX59" s="83"/>
      <x:c r="AY59" s="83"/>
      <x:c r="AZ59" s="84"/>
      <x:c r="BA59" s="86">
        <x:f t="shared" si="31"/>
        <x:v>0</x:v>
      </x:c>
      <x:c r="BB59" s="87"/>
      <x:c r="BC59" s="83"/>
      <x:c r="BD59" s="83"/>
      <x:c r="BE59" s="84"/>
      <x:c r="BF59" s="86">
        <x:f t="shared" si="32"/>
        <x:v>0</x:v>
      </x:c>
      <x:c r="BG59" s="87"/>
      <x:c r="BH59" s="83"/>
      <x:c r="BI59" s="83"/>
      <x:c r="BJ59" s="84"/>
      <x:c r="BK59" s="86">
        <x:f t="shared" si="33"/>
        <x:v>0</x:v>
      </x:c>
      <x:c r="BL59" s="87"/>
      <x:c r="BM59" s="83"/>
      <x:c r="BN59" s="83"/>
      <x:c r="BO59" s="84"/>
      <x:c r="BP59" s="86">
        <x:f t="shared" si="34"/>
        <x:v>0</x:v>
      </x:c>
      <x:c r="BQ59" s="87"/>
      <x:c r="BR59" s="83"/>
      <x:c r="BS59" s="83"/>
      <x:c r="BT59" s="84"/>
      <x:c r="BU59" s="86">
        <x:f t="shared" si="35"/>
        <x:v>0</x:v>
      </x:c>
      <x:c r="BV59" s="85">
        <x:v>0</x:v>
      </x:c>
      <x:c r="BW59" s="89"/>
      <x:c r="BX59" s="90"/>
    </x:row>
    <x:row r="60" spans="1:76" ht="30" x14ac:dyDescent="0.25">
      <x:c r="A60" s="91" t="s">
        <x:v>97</x:v>
      </x:c>
      <x:c r="B60" s="83">
        <x:v>9501196824</x:v>
      </x:c>
      <x:c r="C60" s="98">
        <x:v>46023</x:v>
      </x:c>
      <x:c r="D60" s="98">
        <x:v>46387</x:v>
      </x:c>
      <x:c r="E60" s="92" t="s">
        <x:v>146</x:v>
      </x:c>
      <x:c r="F60" s="92" t="s">
        <x:v>156</x:v>
      </x:c>
      <x:c r="G60" s="92">
        <x:v>41500000</x:v>
      </x:c>
      <x:c r="H60" s="92">
        <x:v>1400</x:v>
      </x:c>
      <x:c r="I60" s="92" t="s">
        <x:v>105</x:v>
      </x:c>
      <x:c r="J60" s="92">
        <x:v>2321403</x:v>
      </x:c>
      <x:c r="K60" s="99">
        <x:v>433000</x:v>
      </x:c>
      <x:c r="L60" s="102" t="s">
        <x:v>207</x:v>
      </x:c>
      <x:c r="M60" s="103" t="s">
        <x:v>166</x:v>
      </x:c>
      <x:c r="N60" s="82"/>
      <x:c r="O60" s="83"/>
      <x:c r="P60" s="83"/>
      <x:c r="Q60" s="84"/>
      <x:c r="R60" s="84">
        <x:f t="shared" si="24"/>
        <x:v>0</x:v>
      </x:c>
      <x:c r="S60" s="85"/>
      <x:c r="T60" s="83"/>
      <x:c r="U60" s="83"/>
      <x:c r="V60" s="84"/>
      <x:c r="W60" s="86">
        <x:f t="shared" si="25"/>
        <x:v>0</x:v>
      </x:c>
      <x:c r="X60" s="87"/>
      <x:c r="Y60" s="83"/>
      <x:c r="Z60" s="83"/>
      <x:c r="AA60" s="84"/>
      <x:c r="AB60" s="86">
        <x:f t="shared" si="26"/>
        <x:v>0</x:v>
      </x:c>
      <x:c r="AC60" s="87"/>
      <x:c r="AD60" s="83"/>
      <x:c r="AE60" s="83"/>
      <x:c r="AF60" s="84"/>
      <x:c r="AG60" s="86">
        <x:f t="shared" si="27"/>
        <x:v>0</x:v>
      </x:c>
      <x:c r="AH60" s="87"/>
      <x:c r="AI60" s="83"/>
      <x:c r="AJ60" s="83"/>
      <x:c r="AK60" s="84"/>
      <x:c r="AL60" s="86">
        <x:f t="shared" si="28"/>
        <x:v>0</x:v>
      </x:c>
      <x:c r="AM60" s="87"/>
      <x:c r="AN60" s="83"/>
      <x:c r="AO60" s="83"/>
      <x:c r="AP60" s="84"/>
      <x:c r="AQ60" s="86">
        <x:f t="shared" si="29"/>
        <x:v>0</x:v>
      </x:c>
      <x:c r="AR60" s="87"/>
      <x:c r="AS60" s="83"/>
      <x:c r="AT60" s="83"/>
      <x:c r="AU60" s="84"/>
      <x:c r="AV60" s="86">
        <x:f t="shared" si="30"/>
        <x:v>0</x:v>
      </x:c>
      <x:c r="AW60" s="87"/>
      <x:c r="AX60" s="83"/>
      <x:c r="AY60" s="83"/>
      <x:c r="AZ60" s="84"/>
      <x:c r="BA60" s="86">
        <x:f t="shared" si="31"/>
        <x:v>0</x:v>
      </x:c>
      <x:c r="BB60" s="87"/>
      <x:c r="BC60" s="83"/>
      <x:c r="BD60" s="83"/>
      <x:c r="BE60" s="84"/>
      <x:c r="BF60" s="86">
        <x:f t="shared" si="32"/>
        <x:v>0</x:v>
      </x:c>
      <x:c r="BG60" s="87"/>
      <x:c r="BH60" s="83"/>
      <x:c r="BI60" s="83"/>
      <x:c r="BJ60" s="84"/>
      <x:c r="BK60" s="86">
        <x:f t="shared" si="33"/>
        <x:v>0</x:v>
      </x:c>
      <x:c r="BL60" s="87"/>
      <x:c r="BM60" s="83"/>
      <x:c r="BN60" s="83"/>
      <x:c r="BO60" s="84"/>
      <x:c r="BP60" s="86">
        <x:f t="shared" si="34"/>
        <x:v>0</x:v>
      </x:c>
      <x:c r="BQ60" s="87"/>
      <x:c r="BR60" s="83"/>
      <x:c r="BS60" s="83"/>
      <x:c r="BT60" s="84"/>
      <x:c r="BU60" s="86">
        <x:f t="shared" si="35"/>
        <x:v>0</x:v>
      </x:c>
      <x:c r="BV60" s="85">
        <x:v>0</x:v>
      </x:c>
      <x:c r="BW60" s="89"/>
      <x:c r="BX60" s="90"/>
    </x:row>
    <x:row r="61" spans="1:76" ht="30" x14ac:dyDescent="0.25">
      <x:c r="A61" s="91" t="s">
        <x:v>157</x:v>
      </x:c>
      <x:c r="B61" s="83">
        <x:v>9501196865</x:v>
      </x:c>
      <x:c r="C61" s="98">
        <x:v>46023</x:v>
      </x:c>
      <x:c r="D61" s="98">
        <x:v>46387</x:v>
      </x:c>
      <x:c r="E61" s="92" t="s">
        <x:v>146</x:v>
      </x:c>
      <x:c r="F61" s="92" t="s">
        <x:v>158</x:v>
      </x:c>
      <x:c r="G61" s="92">
        <x:v>41500000</x:v>
      </x:c>
      <x:c r="H61" s="92">
        <x:v>1400</x:v>
      </x:c>
      <x:c r="I61" s="92" t="s">
        <x:v>105</x:v>
      </x:c>
      <x:c r="J61" s="92">
        <x:v>2321403</x:v>
      </x:c>
      <x:c r="K61" s="99">
        <x:v>335904</x:v>
      </x:c>
      <x:c r="L61" s="102" t="s">
        <x:v>208</x:v>
      </x:c>
      <x:c r="M61" s="103" t="s">
        <x:v>166</x:v>
      </x:c>
      <x:c r="N61" s="82"/>
      <x:c r="O61" s="83"/>
      <x:c r="P61" s="83"/>
      <x:c r="Q61" s="84"/>
      <x:c r="R61" s="84">
        <x:f t="shared" si="24"/>
        <x:v>0</x:v>
      </x:c>
      <x:c r="S61" s="85"/>
      <x:c r="T61" s="83"/>
      <x:c r="U61" s="83"/>
      <x:c r="V61" s="84"/>
      <x:c r="W61" s="86">
        <x:f t="shared" si="25"/>
        <x:v>0</x:v>
      </x:c>
      <x:c r="X61" s="87"/>
      <x:c r="Y61" s="83"/>
      <x:c r="Z61" s="83"/>
      <x:c r="AA61" s="84"/>
      <x:c r="AB61" s="86">
        <x:f t="shared" si="26"/>
        <x:v>0</x:v>
      </x:c>
      <x:c r="AC61" s="87"/>
      <x:c r="AD61" s="83"/>
      <x:c r="AE61" s="83"/>
      <x:c r="AF61" s="84"/>
      <x:c r="AG61" s="86">
        <x:f t="shared" si="27"/>
        <x:v>0</x:v>
      </x:c>
      <x:c r="AH61" s="87"/>
      <x:c r="AI61" s="83"/>
      <x:c r="AJ61" s="83"/>
      <x:c r="AK61" s="84"/>
      <x:c r="AL61" s="86">
        <x:f t="shared" si="28"/>
        <x:v>0</x:v>
      </x:c>
      <x:c r="AM61" s="87"/>
      <x:c r="AN61" s="83"/>
      <x:c r="AO61" s="83"/>
      <x:c r="AP61" s="84"/>
      <x:c r="AQ61" s="86">
        <x:f t="shared" si="29"/>
        <x:v>0</x:v>
      </x:c>
      <x:c r="AR61" s="87"/>
      <x:c r="AS61" s="83"/>
      <x:c r="AT61" s="83"/>
      <x:c r="AU61" s="84"/>
      <x:c r="AV61" s="86">
        <x:f t="shared" si="30"/>
        <x:v>0</x:v>
      </x:c>
      <x:c r="AW61" s="87"/>
      <x:c r="AX61" s="83"/>
      <x:c r="AY61" s="83"/>
      <x:c r="AZ61" s="84"/>
      <x:c r="BA61" s="86">
        <x:f t="shared" si="31"/>
        <x:v>0</x:v>
      </x:c>
      <x:c r="BB61" s="87"/>
      <x:c r="BC61" s="83"/>
      <x:c r="BD61" s="83"/>
      <x:c r="BE61" s="84"/>
      <x:c r="BF61" s="86">
        <x:f t="shared" si="32"/>
        <x:v>0</x:v>
      </x:c>
      <x:c r="BG61" s="87"/>
      <x:c r="BH61" s="83"/>
      <x:c r="BI61" s="83"/>
      <x:c r="BJ61" s="84"/>
      <x:c r="BK61" s="86">
        <x:f t="shared" si="33"/>
        <x:v>0</x:v>
      </x:c>
      <x:c r="BL61" s="87"/>
      <x:c r="BM61" s="83"/>
      <x:c r="BN61" s="83"/>
      <x:c r="BO61" s="84"/>
      <x:c r="BP61" s="86">
        <x:f t="shared" si="34"/>
        <x:v>0</x:v>
      </x:c>
      <x:c r="BQ61" s="87"/>
      <x:c r="BR61" s="83"/>
      <x:c r="BS61" s="83"/>
      <x:c r="BT61" s="84"/>
      <x:c r="BU61" s="86">
        <x:f t="shared" si="35"/>
        <x:v>0</x:v>
      </x:c>
      <x:c r="BV61" s="85">
        <x:v>0</x:v>
      </x:c>
      <x:c r="BW61" s="89"/>
      <x:c r="BX61" s="90"/>
    </x:row>
    <x:row r="62" spans="1:76" ht="30" x14ac:dyDescent="0.25">
      <x:c r="A62" s="91" t="s">
        <x:v>97</x:v>
      </x:c>
      <x:c r="B62" s="83">
        <x:v>9501158806</x:v>
      </x:c>
      <x:c r="C62" s="98">
        <x:v>46023</x:v>
      </x:c>
      <x:c r="D62" s="98">
        <x:v>46387</x:v>
      </x:c>
      <x:c r="E62" s="92" t="s">
        <x:v>146</x:v>
      </x:c>
      <x:c r="F62" s="92" t="s">
        <x:v>159</x:v>
      </x:c>
      <x:c r="G62" s="92">
        <x:v>41500000</x:v>
      </x:c>
      <x:c r="H62" s="92">
        <x:v>1400</x:v>
      </x:c>
      <x:c r="I62" s="92" t="s">
        <x:v>105</x:v>
      </x:c>
      <x:c r="J62" s="92">
        <x:v>2321403</x:v>
      </x:c>
      <x:c r="K62" s="99">
        <x:v>376200</x:v>
      </x:c>
      <x:c r="L62" s="102" t="s">
        <x:v>209</x:v>
      </x:c>
      <x:c r="M62" s="103" t="s">
        <x:v>166</x:v>
      </x:c>
      <x:c r="N62" s="82"/>
      <x:c r="O62" s="83"/>
      <x:c r="P62" s="83"/>
      <x:c r="Q62" s="84"/>
      <x:c r="R62" s="84">
        <x:f t="shared" si="24"/>
        <x:v>0</x:v>
      </x:c>
      <x:c r="S62" s="85"/>
      <x:c r="T62" s="83"/>
      <x:c r="U62" s="83"/>
      <x:c r="V62" s="84"/>
      <x:c r="W62" s="86">
        <x:f t="shared" si="25"/>
        <x:v>0</x:v>
      </x:c>
      <x:c r="X62" s="87"/>
      <x:c r="Y62" s="83"/>
      <x:c r="Z62" s="83"/>
      <x:c r="AA62" s="84"/>
      <x:c r="AB62" s="86">
        <x:f t="shared" si="26"/>
        <x:v>0</x:v>
      </x:c>
      <x:c r="AC62" s="87"/>
      <x:c r="AD62" s="83"/>
      <x:c r="AE62" s="83"/>
      <x:c r="AF62" s="84"/>
      <x:c r="AG62" s="86">
        <x:f t="shared" si="27"/>
        <x:v>0</x:v>
      </x:c>
      <x:c r="AH62" s="87"/>
      <x:c r="AI62" s="83"/>
      <x:c r="AJ62" s="83"/>
      <x:c r="AK62" s="84"/>
      <x:c r="AL62" s="86">
        <x:f t="shared" si="28"/>
        <x:v>0</x:v>
      </x:c>
      <x:c r="AM62" s="87"/>
      <x:c r="AN62" s="83"/>
      <x:c r="AO62" s="83"/>
      <x:c r="AP62" s="84"/>
      <x:c r="AQ62" s="86">
        <x:f t="shared" si="29"/>
        <x:v>0</x:v>
      </x:c>
      <x:c r="AR62" s="87"/>
      <x:c r="AS62" s="83"/>
      <x:c r="AT62" s="83"/>
      <x:c r="AU62" s="84"/>
      <x:c r="AV62" s="86">
        <x:f t="shared" si="30"/>
        <x:v>0</x:v>
      </x:c>
      <x:c r="AW62" s="87"/>
      <x:c r="AX62" s="83"/>
      <x:c r="AY62" s="83"/>
      <x:c r="AZ62" s="84"/>
      <x:c r="BA62" s="86">
        <x:f t="shared" si="31"/>
        <x:v>0</x:v>
      </x:c>
      <x:c r="BB62" s="87"/>
      <x:c r="BC62" s="83"/>
      <x:c r="BD62" s="83"/>
      <x:c r="BE62" s="84"/>
      <x:c r="BF62" s="86">
        <x:f t="shared" si="32"/>
        <x:v>0</x:v>
      </x:c>
      <x:c r="BG62" s="87"/>
      <x:c r="BH62" s="83"/>
      <x:c r="BI62" s="83"/>
      <x:c r="BJ62" s="84"/>
      <x:c r="BK62" s="86">
        <x:f t="shared" si="33"/>
        <x:v>0</x:v>
      </x:c>
      <x:c r="BL62" s="87"/>
      <x:c r="BM62" s="83"/>
      <x:c r="BN62" s="83"/>
      <x:c r="BO62" s="84"/>
      <x:c r="BP62" s="86">
        <x:f t="shared" si="34"/>
        <x:v>0</x:v>
      </x:c>
      <x:c r="BQ62" s="87"/>
      <x:c r="BR62" s="83"/>
      <x:c r="BS62" s="83"/>
      <x:c r="BT62" s="84"/>
      <x:c r="BU62" s="86">
        <x:f t="shared" si="35"/>
        <x:v>0</x:v>
      </x:c>
      <x:c r="BV62" s="85">
        <x:v>0</x:v>
      </x:c>
      <x:c r="BW62" s="89"/>
      <x:c r="BX62" s="90"/>
    </x:row>
    <x:row r="63" spans="1:76" ht="30" x14ac:dyDescent="0.25">
      <x:c r="A63" s="91" t="s">
        <x:v>160</x:v>
      </x:c>
      <x:c r="B63" s="83">
        <x:v>9501159633</x:v>
      </x:c>
      <x:c r="C63" s="98">
        <x:v>46023</x:v>
      </x:c>
      <x:c r="D63" s="98">
        <x:v>46387</x:v>
      </x:c>
      <x:c r="E63" s="92" t="s">
        <x:v>161</x:v>
      </x:c>
      <x:c r="F63" s="92" t="s">
        <x:v>162</x:v>
      </x:c>
      <x:c r="G63" s="92">
        <x:v>61010000</x:v>
      </x:c>
      <x:c r="H63" s="92">
        <x:v>1400</x:v>
      </x:c>
      <x:c r="I63" s="92" t="s">
        <x:v>105</x:v>
      </x:c>
      <x:c r="J63" s="92">
        <x:v>2321403</x:v>
      </x:c>
      <x:c r="K63" s="99">
        <x:v>146493</x:v>
      </x:c>
      <x:c r="L63" s="102" t="s">
        <x:v>210</x:v>
      </x:c>
      <x:c r="M63" s="103" t="s">
        <x:v>166</x:v>
      </x:c>
      <x:c r="N63" s="82"/>
      <x:c r="O63" s="83"/>
      <x:c r="P63" s="83"/>
      <x:c r="Q63" s="84"/>
      <x:c r="R63" s="84">
        <x:f t="shared" si="24"/>
        <x:v>0</x:v>
      </x:c>
      <x:c r="S63" s="85"/>
      <x:c r="T63" s="83"/>
      <x:c r="U63" s="83"/>
      <x:c r="V63" s="84"/>
      <x:c r="W63" s="86">
        <x:f t="shared" si="25"/>
        <x:v>0</x:v>
      </x:c>
      <x:c r="X63" s="87"/>
      <x:c r="Y63" s="83"/>
      <x:c r="Z63" s="83"/>
      <x:c r="AA63" s="84"/>
      <x:c r="AB63" s="86">
        <x:f t="shared" si="26"/>
        <x:v>0</x:v>
      </x:c>
      <x:c r="AC63" s="87"/>
      <x:c r="AD63" s="83"/>
      <x:c r="AE63" s="83"/>
      <x:c r="AF63" s="84"/>
      <x:c r="AG63" s="86">
        <x:f t="shared" si="27"/>
        <x:v>0</x:v>
      </x:c>
      <x:c r="AH63" s="87"/>
      <x:c r="AI63" s="83"/>
      <x:c r="AJ63" s="83"/>
      <x:c r="AK63" s="84"/>
      <x:c r="AL63" s="86">
        <x:f t="shared" si="28"/>
        <x:v>0</x:v>
      </x:c>
      <x:c r="AM63" s="87"/>
      <x:c r="AN63" s="83"/>
      <x:c r="AO63" s="83"/>
      <x:c r="AP63" s="84"/>
      <x:c r="AQ63" s="86">
        <x:f t="shared" si="29"/>
        <x:v>0</x:v>
      </x:c>
      <x:c r="AR63" s="87"/>
      <x:c r="AS63" s="83"/>
      <x:c r="AT63" s="83"/>
      <x:c r="AU63" s="84"/>
      <x:c r="AV63" s="86">
        <x:f t="shared" si="30"/>
        <x:v>0</x:v>
      </x:c>
      <x:c r="AW63" s="87"/>
      <x:c r="AX63" s="83"/>
      <x:c r="AY63" s="83"/>
      <x:c r="AZ63" s="84"/>
      <x:c r="BA63" s="86">
        <x:f t="shared" si="31"/>
        <x:v>0</x:v>
      </x:c>
      <x:c r="BB63" s="87"/>
      <x:c r="BC63" s="83"/>
      <x:c r="BD63" s="83"/>
      <x:c r="BE63" s="84"/>
      <x:c r="BF63" s="86">
        <x:f t="shared" si="32"/>
        <x:v>0</x:v>
      </x:c>
      <x:c r="BG63" s="87"/>
      <x:c r="BH63" s="83"/>
      <x:c r="BI63" s="83"/>
      <x:c r="BJ63" s="84"/>
      <x:c r="BK63" s="86">
        <x:f t="shared" si="33"/>
        <x:v>0</x:v>
      </x:c>
      <x:c r="BL63" s="87"/>
      <x:c r="BM63" s="83"/>
      <x:c r="BN63" s="83"/>
      <x:c r="BO63" s="84"/>
      <x:c r="BP63" s="86">
        <x:f t="shared" si="34"/>
        <x:v>0</x:v>
      </x:c>
      <x:c r="BQ63" s="87"/>
      <x:c r="BR63" s="83"/>
      <x:c r="BS63" s="83"/>
      <x:c r="BT63" s="84"/>
      <x:c r="BU63" s="86">
        <x:f t="shared" si="35"/>
        <x:v>0</x:v>
      </x:c>
      <x:c r="BV63" s="85">
        <x:v>0</x:v>
      </x:c>
      <x:c r="BW63" s="89"/>
      <x:c r="BX63" s="90"/>
    </x:row>
    <x:row r="64" spans="1:76" ht="30" x14ac:dyDescent="0.25">
      <x:c r="A64" s="91" t="s">
        <x:v>163</x:v>
      </x:c>
      <x:c r="B64" s="83">
        <x:v>9501199250</x:v>
      </x:c>
      <x:c r="C64" s="98">
        <x:v>46054</x:v>
      </x:c>
      <x:c r="D64" s="98">
        <x:v>46418</x:v>
      </x:c>
      <x:c r="E64" s="92" t="s">
        <x:v>139</x:v>
      </x:c>
      <x:c r="F64" s="92" t="s">
        <x:v>164</x:v>
      </x:c>
      <x:c r="G64" s="92">
        <x:v>41010100</x:v>
      </x:c>
      <x:c r="H64" s="92">
        <x:v>7280</x:v>
      </x:c>
      <x:c r="I64" s="92" t="s">
        <x:v>141</x:v>
      </x:c>
      <x:c r="J64" s="92">
        <x:v>2662855</x:v>
      </x:c>
      <x:c r="K64" s="99">
        <x:v>69429</x:v>
      </x:c>
      <x:c r="L64" s="102" t="s">
        <x:v>211</x:v>
      </x:c>
      <x:c r="M64" s="103" t="s">
        <x:v>166</x:v>
      </x:c>
      <x:c r="N64" s="82"/>
      <x:c r="O64" s="83"/>
      <x:c r="P64" s="83"/>
      <x:c r="Q64" s="84"/>
      <x:c r="R64" s="84">
        <x:f t="shared" si="24"/>
        <x:v>0</x:v>
      </x:c>
      <x:c r="S64" s="85"/>
      <x:c r="T64" s="83"/>
      <x:c r="U64" s="83"/>
      <x:c r="V64" s="84"/>
      <x:c r="W64" s="86">
        <x:f t="shared" si="25"/>
        <x:v>0</x:v>
      </x:c>
      <x:c r="X64" s="87"/>
      <x:c r="Y64" s="83"/>
      <x:c r="Z64" s="83"/>
      <x:c r="AA64" s="84"/>
      <x:c r="AB64" s="86">
        <x:f t="shared" si="26"/>
        <x:v>0</x:v>
      </x:c>
      <x:c r="AC64" s="87"/>
      <x:c r="AD64" s="83"/>
      <x:c r="AE64" s="83"/>
      <x:c r="AF64" s="84"/>
      <x:c r="AG64" s="86">
        <x:f t="shared" si="27"/>
        <x:v>0</x:v>
      </x:c>
      <x:c r="AH64" s="87"/>
      <x:c r="AI64" s="83"/>
      <x:c r="AJ64" s="83"/>
      <x:c r="AK64" s="84"/>
      <x:c r="AL64" s="86">
        <x:f t="shared" si="28"/>
        <x:v>0</x:v>
      </x:c>
      <x:c r="AM64" s="87"/>
      <x:c r="AN64" s="83"/>
      <x:c r="AO64" s="83"/>
      <x:c r="AP64" s="84"/>
      <x:c r="AQ64" s="86">
        <x:f t="shared" si="29"/>
        <x:v>0</x:v>
      </x:c>
      <x:c r="AR64" s="87"/>
      <x:c r="AS64" s="83"/>
      <x:c r="AT64" s="83"/>
      <x:c r="AU64" s="84"/>
      <x:c r="AV64" s="86">
        <x:f t="shared" si="30"/>
        <x:v>0</x:v>
      </x:c>
      <x:c r="AW64" s="87"/>
      <x:c r="AX64" s="83"/>
      <x:c r="AY64" s="83"/>
      <x:c r="AZ64" s="84"/>
      <x:c r="BA64" s="86">
        <x:f t="shared" si="31"/>
        <x:v>0</x:v>
      </x:c>
      <x:c r="BB64" s="87"/>
      <x:c r="BC64" s="83"/>
      <x:c r="BD64" s="83"/>
      <x:c r="BE64" s="84"/>
      <x:c r="BF64" s="86">
        <x:f t="shared" si="32"/>
        <x:v>0</x:v>
      </x:c>
      <x:c r="BG64" s="87"/>
      <x:c r="BH64" s="83"/>
      <x:c r="BI64" s="83"/>
      <x:c r="BJ64" s="84"/>
      <x:c r="BK64" s="86">
        <x:f t="shared" si="33"/>
        <x:v>0</x:v>
      </x:c>
      <x:c r="BL64" s="87"/>
      <x:c r="BM64" s="83"/>
      <x:c r="BN64" s="83"/>
      <x:c r="BO64" s="84"/>
      <x:c r="BP64" s="86">
        <x:f t="shared" si="34"/>
        <x:v>0</x:v>
      </x:c>
      <x:c r="BQ64" s="87"/>
      <x:c r="BR64" s="83"/>
      <x:c r="BS64" s="83"/>
      <x:c r="BT64" s="84"/>
      <x:c r="BU64" s="86">
        <x:f t="shared" si="35"/>
        <x:v>0</x:v>
      </x:c>
      <x:c r="BV64" s="85">
        <x:v>0</x:v>
      </x:c>
      <x:c r="BW64" s="89"/>
      <x:c r="BX64" s="90"/>
    </x:row>
    <x:row r="65" spans="1:139" x14ac:dyDescent="0.25">
      <x:c r="A65" s="91"/>
      <x:c r="B65" s="83"/>
      <x:c r="C65" s="92"/>
      <x:c r="D65" s="92"/>
      <x:c r="E65" s="92"/>
      <x:c r="F65" s="92"/>
      <x:c r="G65" s="92"/>
      <x:c r="H65" s="92"/>
      <x:c r="I65" s="92"/>
      <x:c r="J65" s="92"/>
      <x:c r="K65" s="93"/>
      <x:c r="L65" s="92"/>
      <x:c r="M65" s="90"/>
      <x:c r="N65" s="82"/>
      <x:c r="O65" s="83"/>
      <x:c r="P65" s="83"/>
      <x:c r="Q65" s="84"/>
      <x:c r="R65" s="84">
        <x:f t="shared" si="24"/>
        <x:v>0</x:v>
      </x:c>
      <x:c r="S65" s="85"/>
      <x:c r="T65" s="83"/>
      <x:c r="U65" s="83"/>
      <x:c r="V65" s="84"/>
      <x:c r="W65" s="86">
        <x:f t="shared" si="25"/>
        <x:v>0</x:v>
      </x:c>
      <x:c r="X65" s="87"/>
      <x:c r="Y65" s="83"/>
      <x:c r="Z65" s="83"/>
      <x:c r="AA65" s="84"/>
      <x:c r="AB65" s="86">
        <x:f t="shared" si="26"/>
        <x:v>0</x:v>
      </x:c>
      <x:c r="AC65" s="87"/>
      <x:c r="AD65" s="83"/>
      <x:c r="AE65" s="83"/>
      <x:c r="AF65" s="84"/>
      <x:c r="AG65" s="86">
        <x:f t="shared" si="27"/>
        <x:v>0</x:v>
      </x:c>
      <x:c r="AH65" s="87"/>
      <x:c r="AI65" s="83"/>
      <x:c r="AJ65" s="83"/>
      <x:c r="AK65" s="84"/>
      <x:c r="AL65" s="86">
        <x:f t="shared" si="28"/>
        <x:v>0</x:v>
      </x:c>
      <x:c r="AM65" s="87"/>
      <x:c r="AN65" s="83"/>
      <x:c r="AO65" s="83"/>
      <x:c r="AP65" s="84"/>
      <x:c r="AQ65" s="86">
        <x:f t="shared" si="29"/>
        <x:v>0</x:v>
      </x:c>
      <x:c r="AR65" s="87"/>
      <x:c r="AS65" s="83"/>
      <x:c r="AT65" s="83"/>
      <x:c r="AU65" s="84"/>
      <x:c r="AV65" s="86">
        <x:f t="shared" si="30"/>
        <x:v>0</x:v>
      </x:c>
      <x:c r="AW65" s="87"/>
      <x:c r="AX65" s="83"/>
      <x:c r="AY65" s="83"/>
      <x:c r="AZ65" s="84"/>
      <x:c r="BA65" s="86">
        <x:f t="shared" si="31"/>
        <x:v>0</x:v>
      </x:c>
      <x:c r="BB65" s="87"/>
      <x:c r="BC65" s="83"/>
      <x:c r="BD65" s="83"/>
      <x:c r="BE65" s="84"/>
      <x:c r="BF65" s="86">
        <x:f t="shared" si="32"/>
        <x:v>0</x:v>
      </x:c>
      <x:c r="BG65" s="87"/>
      <x:c r="BH65" s="83"/>
      <x:c r="BI65" s="83"/>
      <x:c r="BJ65" s="84"/>
      <x:c r="BK65" s="86">
        <x:f t="shared" si="33"/>
        <x:v>0</x:v>
      </x:c>
      <x:c r="BL65" s="87"/>
      <x:c r="BM65" s="83"/>
      <x:c r="BN65" s="83"/>
      <x:c r="BO65" s="84"/>
      <x:c r="BP65" s="86">
        <x:f t="shared" si="34"/>
        <x:v>0</x:v>
      </x:c>
      <x:c r="BQ65" s="87"/>
      <x:c r="BR65" s="83"/>
      <x:c r="BS65" s="83"/>
      <x:c r="BT65" s="84"/>
      <x:c r="BU65" s="86">
        <x:f t="shared" si="35"/>
        <x:v>0</x:v>
      </x:c>
      <x:c r="BV65" s="85">
        <x:v>0</x:v>
      </x:c>
      <x:c r="BW65" s="89"/>
      <x:c r="BX65" s="90"/>
    </x:row>
    <x:row r="66" spans="1:139" x14ac:dyDescent="0.25">
      <x:c r="A66" s="91"/>
      <x:c r="B66" s="83"/>
      <x:c r="C66" s="92"/>
      <x:c r="D66" s="92"/>
      <x:c r="E66" s="92"/>
      <x:c r="F66" s="92"/>
      <x:c r="G66" s="92"/>
      <x:c r="H66" s="92"/>
      <x:c r="I66" s="92"/>
      <x:c r="J66" s="92"/>
      <x:c r="K66" s="93"/>
      <x:c r="L66" s="92"/>
      <x:c r="M66" s="90"/>
      <x:c r="N66" s="82"/>
      <x:c r="O66" s="83"/>
      <x:c r="P66" s="83"/>
      <x:c r="Q66" s="84"/>
      <x:c r="R66" s="84">
        <x:f t="shared" si="24"/>
        <x:v>0</x:v>
      </x:c>
      <x:c r="S66" s="85"/>
      <x:c r="T66" s="83"/>
      <x:c r="U66" s="83"/>
      <x:c r="V66" s="84"/>
      <x:c r="W66" s="86">
        <x:f t="shared" si="25"/>
        <x:v>0</x:v>
      </x:c>
      <x:c r="X66" s="87"/>
      <x:c r="Y66" s="83"/>
      <x:c r="Z66" s="83"/>
      <x:c r="AA66" s="84"/>
      <x:c r="AB66" s="86">
        <x:f t="shared" si="26"/>
        <x:v>0</x:v>
      </x:c>
      <x:c r="AC66" s="87"/>
      <x:c r="AD66" s="83"/>
      <x:c r="AE66" s="83"/>
      <x:c r="AF66" s="84"/>
      <x:c r="AG66" s="86">
        <x:f t="shared" si="27"/>
        <x:v>0</x:v>
      </x:c>
      <x:c r="AH66" s="87"/>
      <x:c r="AI66" s="83"/>
      <x:c r="AJ66" s="83"/>
      <x:c r="AK66" s="84"/>
      <x:c r="AL66" s="86">
        <x:f t="shared" si="28"/>
        <x:v>0</x:v>
      </x:c>
      <x:c r="AM66" s="87"/>
      <x:c r="AN66" s="83"/>
      <x:c r="AO66" s="83"/>
      <x:c r="AP66" s="84"/>
      <x:c r="AQ66" s="86">
        <x:f t="shared" si="29"/>
        <x:v>0</x:v>
      </x:c>
      <x:c r="AR66" s="87"/>
      <x:c r="AS66" s="83"/>
      <x:c r="AT66" s="83"/>
      <x:c r="AU66" s="84"/>
      <x:c r="AV66" s="86">
        <x:f t="shared" si="30"/>
        <x:v>0</x:v>
      </x:c>
      <x:c r="AW66" s="87"/>
      <x:c r="AX66" s="83"/>
      <x:c r="AY66" s="83"/>
      <x:c r="AZ66" s="84"/>
      <x:c r="BA66" s="86">
        <x:f t="shared" si="31"/>
        <x:v>0</x:v>
      </x:c>
      <x:c r="BB66" s="87"/>
      <x:c r="BC66" s="83"/>
      <x:c r="BD66" s="83"/>
      <x:c r="BE66" s="84"/>
      <x:c r="BF66" s="86">
        <x:f t="shared" si="32"/>
        <x:v>0</x:v>
      </x:c>
      <x:c r="BG66" s="87"/>
      <x:c r="BH66" s="83"/>
      <x:c r="BI66" s="83"/>
      <x:c r="BJ66" s="84"/>
      <x:c r="BK66" s="86">
        <x:f t="shared" si="33"/>
        <x:v>0</x:v>
      </x:c>
      <x:c r="BL66" s="87"/>
      <x:c r="BM66" s="83"/>
      <x:c r="BN66" s="83"/>
      <x:c r="BO66" s="84"/>
      <x:c r="BP66" s="86">
        <x:f t="shared" si="34"/>
        <x:v>0</x:v>
      </x:c>
      <x:c r="BQ66" s="87"/>
      <x:c r="BR66" s="83"/>
      <x:c r="BS66" s="83"/>
      <x:c r="BT66" s="84"/>
      <x:c r="BU66" s="86">
        <x:f t="shared" si="35"/>
        <x:v>0</x:v>
      </x:c>
      <x:c r="BV66" s="85">
        <x:v>0</x:v>
      </x:c>
      <x:c r="BW66" s="89"/>
      <x:c r="BX66" s="90"/>
    </x:row>
    <x:row r="67" spans="1:139" s="9" customFormat="1" ht="15.75" thickBot="1" x14ac:dyDescent="0.3">
      <x:c r="A67" s="66" t="s">
        <x:v>95</x:v>
      </x:c>
      <x:c r="B67" s="67"/>
      <x:c r="C67" s="68"/>
      <x:c r="D67" s="68"/>
      <x:c r="E67" s="69"/>
      <x:c r="F67" s="69"/>
      <x:c r="G67" s="69"/>
      <x:c r="H67" s="69"/>
      <x:c r="I67" s="69"/>
      <x:c r="J67" s="69"/>
      <x:c r="K67" s="70"/>
      <x:c r="L67" s="69"/>
      <x:c r="M67" s="71"/>
      <x:c r="N67" s="72"/>
      <x:c r="O67" s="73"/>
      <x:c r="P67" s="73"/>
      <x:c r="Q67" s="74"/>
      <x:c r="R67" s="74" t="str">
        <x:f>IF(OR(P67="",Q67=""),"",P67-Q67)</x:f>
        <x:v/>
      </x:c>
      <x:c r="S67" s="75"/>
      <x:c r="T67" s="73"/>
      <x:c r="U67" s="73"/>
      <x:c r="V67" s="74"/>
      <x:c r="W67" s="76"/>
      <x:c r="X67" s="77"/>
      <x:c r="Y67" s="73"/>
      <x:c r="Z67" s="73"/>
      <x:c r="AA67" s="74"/>
      <x:c r="AB67" s="76"/>
      <x:c r="AC67" s="77"/>
      <x:c r="AD67" s="73"/>
      <x:c r="AE67" s="73"/>
      <x:c r="AF67" s="74"/>
      <x:c r="AG67" s="76" t="str">
        <x:f t="shared" ref="AG67" si="36">IF(OR(AE67="",AF67=""),"",AE67-AF67)</x:f>
        <x:v/>
      </x:c>
      <x:c r="AH67" s="77"/>
      <x:c r="AI67" s="73"/>
      <x:c r="AJ67" s="73"/>
      <x:c r="AK67" s="74"/>
      <x:c r="AL67" s="76" t="str">
        <x:f t="shared" ref="AL67" si="37">IF(OR(AJ67="",AK67=""),"",AJ67-AK67)</x:f>
        <x:v/>
      </x:c>
      <x:c r="AM67" s="77"/>
      <x:c r="AN67" s="73"/>
      <x:c r="AO67" s="73"/>
      <x:c r="AP67" s="74"/>
      <x:c r="AQ67" s="76" t="str">
        <x:f t="shared" ref="AQ67" si="38">IF(OR(AO67="",AP67=""),"",AO67-AP67)</x:f>
        <x:v/>
      </x:c>
      <x:c r="AR67" s="77"/>
      <x:c r="AS67" s="73"/>
      <x:c r="AT67" s="73"/>
      <x:c r="AU67" s="74"/>
      <x:c r="AV67" s="76" t="str">
        <x:f t="shared" ref="AV67" si="39">IF(OR(AT67="",AU67=""),"",AT67-AU67)</x:f>
        <x:v/>
      </x:c>
      <x:c r="AW67" s="77"/>
      <x:c r="AX67" s="73"/>
      <x:c r="AY67" s="73"/>
      <x:c r="AZ67" s="74"/>
      <x:c r="BA67" s="76" t="str">
        <x:f t="shared" ref="BA67" si="40">IF(OR(AY67="",AZ67=""),"",AY67-AZ67)</x:f>
        <x:v/>
      </x:c>
      <x:c r="BB67" s="77"/>
      <x:c r="BC67" s="73"/>
      <x:c r="BD67" s="73"/>
      <x:c r="BE67" s="74"/>
      <x:c r="BF67" s="76" t="str">
        <x:f t="shared" ref="BF67" si="41">IF(OR(BD67="",BE67=""),"",BD67-BE67)</x:f>
        <x:v/>
      </x:c>
      <x:c r="BG67" s="77"/>
      <x:c r="BH67" s="73"/>
      <x:c r="BI67" s="73"/>
      <x:c r="BJ67" s="74"/>
      <x:c r="BK67" s="76" t="str">
        <x:f t="shared" ref="BK67" si="42">IF(OR(BI67="",BJ67=""),"",BI67-BJ67)</x:f>
        <x:v/>
      </x:c>
      <x:c r="BL67" s="77"/>
      <x:c r="BM67" s="73"/>
      <x:c r="BN67" s="73"/>
      <x:c r="BO67" s="74"/>
      <x:c r="BP67" s="76" t="str">
        <x:f t="shared" ref="BP67" si="43">IF(OR(BN67="",BO67=""),"",BN67-BO67)</x:f>
        <x:v/>
      </x:c>
      <x:c r="BQ67" s="77"/>
      <x:c r="BR67" s="73"/>
      <x:c r="BS67" s="73"/>
      <x:c r="BT67" s="74"/>
      <x:c r="BU67" s="76" t="str">
        <x:f t="shared" ref="BU67" si="44">IF(OR(BS67="",BT67=""),"",BS67-BT67)</x:f>
        <x:v/>
      </x:c>
      <x:c r="BV67" s="75"/>
      <x:c r="BW67" s="53"/>
      <x:c r="BX67" s="49"/>
      <x:c r="BY67"/>
      <x:c r="BZ67"/>
      <x:c r="CA67"/>
      <x:c r="CB67"/>
      <x:c r="CC67"/>
      <x:c r="CD67"/>
      <x:c r="CE67"/>
      <x:c r="CF67"/>
      <x:c r="CG67"/>
      <x:c r="CH67"/>
      <x:c r="CI67"/>
      <x:c r="CJ67"/>
      <x:c r="CK67"/>
      <x:c r="CL67"/>
      <x:c r="CM67"/>
      <x:c r="CN67"/>
      <x:c r="CO67"/>
      <x:c r="CP67"/>
      <x:c r="CQ67"/>
      <x:c r="CR67"/>
      <x:c r="CS67"/>
      <x:c r="CT67"/>
      <x:c r="CU67"/>
      <x:c r="CV67"/>
      <x:c r="CW67"/>
      <x:c r="CX67"/>
      <x:c r="CY67"/>
      <x:c r="CZ67"/>
      <x:c r="DA67"/>
      <x:c r="DB67"/>
      <x:c r="DC67"/>
      <x:c r="DD67"/>
      <x:c r="DE67"/>
      <x:c r="DF67"/>
      <x:c r="DG67"/>
      <x:c r="DH67"/>
      <x:c r="DI67"/>
      <x:c r="DJ67"/>
      <x:c r="DK67"/>
      <x:c r="DL67"/>
      <x:c r="DM67"/>
      <x:c r="DN67"/>
      <x:c r="DO67"/>
      <x:c r="DP67"/>
      <x:c r="DQ67"/>
      <x:c r="DR67"/>
      <x:c r="DS67"/>
      <x:c r="DT67"/>
      <x:c r="DU67"/>
      <x:c r="DV67"/>
      <x:c r="DW67"/>
      <x:c r="DX67"/>
      <x:c r="DY67"/>
      <x:c r="DZ67"/>
      <x:c r="EA67"/>
      <x:c r="EB67"/>
      <x:c r="EC67"/>
      <x:c r="ED67"/>
      <x:c r="EE67"/>
      <x:c r="EF67"/>
      <x:c r="EG67"/>
      <x:c r="EH67"/>
      <x:c r="EI67"/>
    </x:row>
    <x:row r="68" spans="1:139" x14ac:dyDescent="0.25">
      <x:c r="A68" t="s">
        <x:v>96</x:v>
      </x:c>
      <x:c r="AA68" s="3"/>
      <x:c r="BV68" s="95"/>
    </x:row>
  </x:sheetData>
  <x:autoFilter ref="A16:BY20" xr:uid="{177F1DEB-197D-49C6-A2E3-152C1AC7B373}"/>
  <x:mergeCells count="39">
    <x:mergeCell ref="BQ13:BU13"/>
    <x:mergeCell ref="BQ15:BU15"/>
    <x:mergeCell ref="S13:W13"/>
    <x:mergeCell ref="N13:R13"/>
    <x:mergeCell ref="X13:AB13"/>
    <x:mergeCell ref="AC13:AG13"/>
    <x:mergeCell ref="AH13:AL13"/>
    <x:mergeCell ref="AM13:AQ13"/>
    <x:mergeCell ref="AR13:AV13"/>
    <x:mergeCell ref="AW13:BA13"/>
    <x:mergeCell ref="BB13:BF13"/>
    <x:mergeCell ref="BG13:BK13"/>
    <x:mergeCell ref="BL13:BP13"/>
    <x:mergeCell ref="S15:W15"/>
    <x:mergeCell ref="N15:R15"/>
    <x:mergeCell ref="X15:AB15"/>
    <x:mergeCell ref="BG14:BK14"/>
    <x:mergeCell ref="BL14:BP14"/>
    <x:mergeCell ref="AC15:AG15"/>
    <x:mergeCell ref="AH15:AL15"/>
    <x:mergeCell ref="AM15:AQ15"/>
    <x:mergeCell ref="AR15:AV15"/>
    <x:mergeCell ref="AW15:BA15"/>
    <x:mergeCell ref="BQ14:BU14"/>
    <x:mergeCell ref="L13:M13"/>
    <x:mergeCell ref="L14:M14"/>
    <x:mergeCell ref="L15:M15"/>
    <x:mergeCell ref="BB15:BF15"/>
    <x:mergeCell ref="BG15:BK15"/>
    <x:mergeCell ref="BL15:BP15"/>
    <x:mergeCell ref="N14:R14"/>
    <x:mergeCell ref="S14:W14"/>
    <x:mergeCell ref="X14:AB14"/>
    <x:mergeCell ref="AC14:AG14"/>
    <x:mergeCell ref="AH14:AL14"/>
    <x:mergeCell ref="AM14:AQ14"/>
    <x:mergeCell ref="AR14:AV14"/>
    <x:mergeCell ref="AW14:BA14"/>
    <x:mergeCell ref="BB14:BF14"/>
  </x:mergeCells>
  <x:conditionalFormatting sqref="Q67 V67 AA67 AF67 AK67 AP67 AU67 AZ67 BE67 BJ67 BO67 BT67">
    <x:cfRule type="expression" dxfId="2" priority="8">
      <x:formula>IF(AND(P67&gt;0,Q67=0),TRUE,FALSE)</x:formula>
    </x:cfRule>
  </x:conditionalFormatting>
  <x:conditionalFormatting sqref="BT11:BT12 V67:X67 AB67:AC67 AG67:AH67 AL67:AM67 AQ67:AR67 AV67:AW67 BA67:BB67 BF67:BG67 BK67:BL67 BP67:BQ67 BU67">
    <x:cfRule type="expression" dxfId="1" priority="9">
      <x:formula>IF(AND(U11&lt;&gt;"",V11="",TODAY()&gt;DATE(YEAR(TODAY()),MONTH(DATEVALUE("1-"&amp;LEFT(#REF!,3)&amp;"-1900")),20)),TRUE,FALSE)</x:formula>
    </x:cfRule>
  </x:conditionalFormatting>
  <x:conditionalFormatting sqref="BW13:BW14">
    <x:cfRule type="expression" dxfId="0" priority="7">
      <x:formula>IF(BW13&lt;0,TRUE,FALSE)</x:formula>
    </x:cfRule>
  </x:conditionalFormatting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ede0e7-b4a5-4e74-9fbf-51d976a6ba09" xsi:nil="true"/>
    <lcf76f155ced4ddcb4097134ff3c332f xmlns="19b1ad6d-7bbd-4338-adb0-a51e11e836c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3B1E9AF76D8540A21B723585178CF2" ma:contentTypeVersion="16" ma:contentTypeDescription="Create a new document." ma:contentTypeScope="" ma:versionID="9038a3d09b9201f70a536d69b3ffdde9">
  <xsd:schema xmlns:xsd="http://www.w3.org/2001/XMLSchema" xmlns:xs="http://www.w3.org/2001/XMLSchema" xmlns:p="http://schemas.microsoft.com/office/2006/metadata/properties" xmlns:ns2="19b1ad6d-7bbd-4338-adb0-a51e11e836c7" xmlns:ns3="8aede0e7-b4a5-4e74-9fbf-51d976a6ba09" targetNamespace="http://schemas.microsoft.com/office/2006/metadata/properties" ma:root="true" ma:fieldsID="c9f1b7b0d1eaccac7f713200a7ec3f32" ns2:_="" ns3:_="">
    <xsd:import namespace="19b1ad6d-7bbd-4338-adb0-a51e11e836c7"/>
    <xsd:import namespace="8aede0e7-b4a5-4e74-9fbf-51d976a6ba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1ad6d-7bbd-4338-adb0-a51e11e83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f9dd247-5f48-452a-8dc4-ff9a39258e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de0e7-b4a5-4e74-9fbf-51d976a6ba0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21be60d-5ef1-46be-82cd-f89519fda6b0}" ma:internalName="TaxCatchAll" ma:showField="CatchAllData" ma:web="8aede0e7-b4a5-4e74-9fbf-51d976a6ba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C2B212-31BA-49FB-B215-9E14B2C60948}">
  <ds:schemaRefs>
    <ds:schemaRef ds:uri="http://schemas.microsoft.com/office/2006/metadata/properties"/>
    <ds:schemaRef ds:uri="http://schemas.microsoft.com/office/infopath/2007/PartnerControls"/>
    <ds:schemaRef ds:uri="8aede0e7-b4a5-4e74-9fbf-51d976a6ba09"/>
    <ds:schemaRef ds:uri="19b1ad6d-7bbd-4338-adb0-a51e11e836c7"/>
  </ds:schemaRefs>
</ds:datastoreItem>
</file>

<file path=customXml/itemProps2.xml><?xml version="1.0" encoding="utf-8"?>
<ds:datastoreItem xmlns:ds="http://schemas.openxmlformats.org/officeDocument/2006/customXml" ds:itemID="{3614A8F8-9AED-4C02-B640-81A3A1FEB0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6774AE-0D33-4944-9922-507715E1B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b1ad6d-7bbd-4338-adb0-a51e11e836c7"/>
    <ds:schemaRef ds:uri="8aede0e7-b4a5-4e74-9fbf-51d976a6ba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Ali, Michael</dc:creator>
  <cp:keywords/>
  <dc:description/>
  <cp:lastModifiedBy>Hovey, Owen (Contractor)</cp:lastModifiedBy>
  <cp:revision/>
  <dcterms:created xsi:type="dcterms:W3CDTF">2024-04-15T21:07:03Z</dcterms:created>
  <dcterms:modified xsi:type="dcterms:W3CDTF">2026-04-28T17:45:24Z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4791b42f-c435-42ca-9531-75a3f42aae3d_Enabled">
    <vt:lpwstr>true</vt:lpwstr>
  </op:property>
  <op:property fmtid="{D5CDD505-2E9C-101B-9397-08002B2CF9AE}" pid="3" name="MSIP_Label_4791b42f-c435-42ca-9531-75a3f42aae3d_SetDate">
    <vt:lpwstr>2024-04-15T21:09:09Z</vt:lpwstr>
  </op:property>
  <op:property fmtid="{D5CDD505-2E9C-101B-9397-08002B2CF9AE}" pid="4" name="MSIP_Label_4791b42f-c435-42ca-9531-75a3f42aae3d_Method">
    <vt:lpwstr>Privileged</vt:lpwstr>
  </op:property>
  <op:property fmtid="{D5CDD505-2E9C-101B-9397-08002B2CF9AE}" pid="5" name="MSIP_Label_4791b42f-c435-42ca-9531-75a3f42aae3d_Name">
    <vt:lpwstr>4791b42f-c435-42ca-9531-75a3f42aae3d</vt:lpwstr>
  </op:property>
  <op:property fmtid="{D5CDD505-2E9C-101B-9397-08002B2CF9AE}" pid="6" name="MSIP_Label_4791b42f-c435-42ca-9531-75a3f42aae3d_SiteId">
    <vt:lpwstr>7a916015-20ae-4ad1-9170-eefd915e9272</vt:lpwstr>
  </op:property>
  <op:property fmtid="{D5CDD505-2E9C-101B-9397-08002B2CF9AE}" pid="7" name="MSIP_Label_4791b42f-c435-42ca-9531-75a3f42aae3d_ActionId">
    <vt:lpwstr>a5adbada-ee90-4aa5-b622-c8c00884043c</vt:lpwstr>
  </op:property>
  <op:property fmtid="{D5CDD505-2E9C-101B-9397-08002B2CF9AE}" pid="8" name="MSIP_Label_4791b42f-c435-42ca-9531-75a3f42aae3d_ContentBits">
    <vt:lpwstr>0</vt:lpwstr>
  </op:property>
  <op:property fmtid="{D5CDD505-2E9C-101B-9397-08002B2CF9AE}" pid="9" name="ContentTypeId">
    <vt:lpwstr>0x0101002B3B1E9AF76D8540A21B723585178CF2</vt:lpwstr>
  </op:property>
  <op:property fmtid="{D5CDD505-2E9C-101B-9397-08002B2CF9AE}" pid="10" name="MediaServiceImageTags">
    <vt:lpwstr/>
  </op:property>
  <op:property fmtid="{D5CDD505-2E9C-101B-9397-08002B2CF9AE}" pid="11" name="OfficeCLI.Version">
    <vt:lpwstr>1.0.153</vt:lpwstr>
  </op:property>
  <op:property fmtid="{D5CDD505-2E9C-101B-9397-08002B2CF9AE}" pid="12" name="OfficeCLI.LastModified">
    <vt:lpwstr>2026-10-02T14:35:27Z</vt:lpwstr>
  </op:property>
</op:Properties>
</file>