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101" documentId="8_{783183DD-73AE-4283-AD85-EEFD805851D1}" xr6:coauthVersionLast="47" xr6:coauthVersionMax="47" xr10:uidLastSave="{22295CCB-CECF-455D-B651-97A5106C5139}"/>
  <bookViews>
    <workbookView xWindow="-120" yWindow="-120" windowWidth="23280" windowHeight="12480" tabRatio="590" xr2:uid="{0996C49B-04E6-42AE-AA83-2F64BE89A626}"/>
  </bookViews>
  <sheets>
    <sheet name="Template" sheetId="5" r:id="rId1"/>
  </sheets>
  <definedNames>
    <definedName name="_xlnm._FilterDatabase" localSheetId="0" hidden="1">Template!$A$14:$BY$14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6" i="5" l="1"/>
  <c r="BU15" i="5"/>
  <c r="BP16" i="5"/>
  <c r="BP15" i="5"/>
  <c r="BK16" i="5"/>
  <c r="BK15" i="5"/>
  <c r="BF16" i="5"/>
  <c r="BF15" i="5"/>
  <c r="BA16" i="5"/>
  <c r="BA15" i="5"/>
  <c r="AV16" i="5"/>
  <c r="AV15" i="5"/>
  <c r="AQ16" i="5"/>
  <c r="AQ15" i="5"/>
  <c r="AL16" i="5"/>
  <c r="AL15" i="5"/>
  <c r="AG16" i="5"/>
  <c r="AG15" i="5"/>
  <c r="AB16" i="5"/>
  <c r="AB15" i="5"/>
  <c r="W16" i="5"/>
  <c r="W15" i="5"/>
  <c r="R16" i="5"/>
  <c r="R15" i="5"/>
  <c r="K13" i="5"/>
  <c r="G3" i="5"/>
  <c r="R17" i="5" l="1"/>
  <c r="AH11" i="5" a="1"/>
  <c r="AH11" i="5" s="1"/>
  <c r="AC11" i="5" a="1"/>
  <c r="AC11" i="5" s="1"/>
  <c r="X11" i="5" a="1"/>
  <c r="X11" i="5" s="1"/>
  <c r="N11" i="5" a="1"/>
  <c r="N11" i="5" s="1"/>
  <c r="BU17" i="5"/>
  <c r="BP17" i="5"/>
  <c r="BK17" i="5"/>
  <c r="BF17" i="5"/>
  <c r="BA17" i="5"/>
  <c r="AV17" i="5"/>
  <c r="AQ17" i="5"/>
  <c r="AL17" i="5"/>
  <c r="AG17" i="5"/>
  <c r="S12" i="5" l="1" a="1"/>
  <c r="S12" i="5" s="1"/>
  <c r="S11" i="5" a="1"/>
  <c r="S11" i="5" s="1"/>
  <c r="N12" i="5" a="1"/>
  <c r="N12" i="5" s="1"/>
  <c r="AH12" i="5" a="1"/>
  <c r="AH12" i="5" s="1"/>
  <c r="AC12" i="5" a="1"/>
  <c r="AC12" i="5" s="1"/>
  <c r="BV17" i="5"/>
  <c r="X12" i="5" l="1" a="1"/>
  <c r="X12" i="5" s="1"/>
  <c r="BV13" i="5"/>
  <c r="BW11" i="5" l="1"/>
  <c r="AR12" i="5" l="1" a="1"/>
  <c r="AR12" i="5" s="1"/>
  <c r="AR11" i="5" a="1"/>
  <c r="AR11" i="5" s="1"/>
  <c r="BB12" i="5" a="1"/>
  <c r="BB12" i="5" s="1"/>
  <c r="BB11" i="5" a="1"/>
  <c r="BB11" i="5" s="1"/>
  <c r="AW12" i="5" a="1"/>
  <c r="AW12" i="5" s="1"/>
  <c r="AW11" i="5" a="1"/>
  <c r="AW11" i="5" s="1"/>
  <c r="BG12" i="5" a="1"/>
  <c r="BG12" i="5" s="1"/>
  <c r="BG11" i="5" a="1"/>
  <c r="BG11" i="5" s="1"/>
  <c r="AM12" i="5" a="1"/>
  <c r="AM12" i="5" s="1"/>
  <c r="AM11" i="5" a="1"/>
  <c r="AM11" i="5" s="1"/>
  <c r="BQ12" i="5" a="1"/>
  <c r="BQ12" i="5" s="1"/>
  <c r="BQ11" i="5" a="1"/>
  <c r="BQ11" i="5" s="1"/>
  <c r="BL12" i="5" a="1"/>
  <c r="BL12" i="5" s="1"/>
  <c r="BL11" i="5" a="1"/>
  <c r="BL11" i="5" s="1"/>
  <c r="E6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<sst xmlns="http://schemas.openxmlformats.org/spreadsheetml/2006/main" count="111" uniqueCount="97">
  <si>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</si>
  <si>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</si>
  <si>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</si>
  <si>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</si>
  <si>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</si>
  <si>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</si>
  <si>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</si>
  <si>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Cost Center</t>
  </si>
  <si>
    <t>Open Query</t>
  </si>
  <si>
    <t>2321511/1400</t>
  </si>
  <si>
    <t>Leslie</t>
  </si>
  <si>
    <t>Contingency:</t>
  </si>
  <si>
    <t>2340691/1400</t>
  </si>
  <si>
    <t>Planful Actuals</t>
  </si>
  <si>
    <t>Total:</t>
  </si>
  <si>
    <t>2329948/1400</t>
  </si>
  <si>
    <t>PO TOTAL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</si>
  <si>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</si>
  <si>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</si>
  <si>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</si>
  <si>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</si>
  <si>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</si>
  <si>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</si>
  <si>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</si>
  <si>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</si>
  <si>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</si>
  <si>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</si>
  <si>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</si>
  <si>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</si>
  <si>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</si>
  <si>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</si>
  <si>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</si>
  <si>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</si>
  <si>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</si>
  <si>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</si>
  <si>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</si>
  <si>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</si>
  <si>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</si>
  <si>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</si>
  <si>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</si>
  <si>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</si>
  <si>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</si>
  <si>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</si>
  <si>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</si>
  <si>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</si>
  <si>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</si>
  <si>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</si>
  <si>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</si>
  <si>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</si>
  <si>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</si>
  <si>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</si>
  <si>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</si>
  <si>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</si>
  <si>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</si>
  <si>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</si>
  <si>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</si>
  <si>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</si>
  <si>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</si>
  <si>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</si>
  <si>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</si>
  <si>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</si>
  <si>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</si>
  <si>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</si>
  <si>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</si>
  <si>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</si>
  <si>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</si>
  <si>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</si>
  <si>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</si>
  <si>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</si>
  <si>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</si>
  <si>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</si>
  <si>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</si>
  <si>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</si>
  <si>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</si>
  <si>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</si>
  <si>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</si>
  <si>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</si>
  <si>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</si>
  <si>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</si>
  <si>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</si>
  <si>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</si>
  <si>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</si>
  <si>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</si>
  <si>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</si>
  <si>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</si>
  <si>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</si>
  <si>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</si>
  <si>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</si>
  <si>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</si>
  <si>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</si>
  <si>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</si>
  <si>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</si>
  <si>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</si>
  <si>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</si>
  <si>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</si>
  <si>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</si>
  <si>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EXPENSE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</si>
</sst>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  <numFmt numFmtId="167" formatCode="&quot;$&quot;#,##0.00"/>
    <numFmt numFmtId="168" formatCode="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000000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10">
    <xf numFmtId="0" fontId="0" fillId="0" borderId="0" xfId="0"/>
    <xf numFmtId="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0" fillId="3" borderId="0" xfId="0" applyFill="1"/>
    <xf numFmtId="4" fontId="12" fillId="0" borderId="0" xfId="0" applyNumberFormat="1" applyFont="1" applyAlignment="1">
      <alignment horizontal="center"/>
    </xf>
    <xf numFmtId="4" fontId="12" fillId="0" borderId="0" xfId="0" applyNumberFormat="1" applyFont="1"/>
    <xf numFmtId="3" fontId="6" fillId="0" borderId="0" xfId="0" applyNumberFormat="1" applyFont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5" fillId="2" borderId="16" xfId="0" applyFont="1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164" fontId="0" fillId="2" borderId="19" xfId="0" applyNumberFormat="1" applyFill="1" applyBorder="1" applyAlignment="1">
      <alignment horizontal="right"/>
    </xf>
    <xf numFmtId="164" fontId="3" fillId="2" borderId="19" xfId="0" applyNumberFormat="1" applyFont="1" applyFill="1" applyBorder="1" applyAlignment="1">
      <alignment horizontal="center"/>
    </xf>
    <xf numFmtId="0" fontId="0" fillId="2" borderId="19" xfId="0" applyFill="1" applyBorder="1"/>
    <xf numFmtId="0" fontId="0" fillId="2" borderId="20" xfId="0" applyFill="1" applyBorder="1"/>
    <xf numFmtId="0" fontId="13" fillId="0" borderId="24" xfId="0" applyFont="1" applyBorder="1" applyAlignment="1">
      <alignment horizontal="left" vertical="center"/>
    </xf>
    <xf numFmtId="0" fontId="13" fillId="0" borderId="26" xfId="0" applyFont="1" applyBorder="1" applyAlignment="1">
      <alignment horizontal="left" vertical="center"/>
    </xf>
    <xf numFmtId="0" fontId="13" fillId="0" borderId="23" xfId="0" applyFont="1" applyBorder="1" applyAlignment="1">
      <alignment horizontal="left"/>
    </xf>
    <xf numFmtId="168" fontId="13" fillId="0" borderId="23" xfId="0" applyNumberFormat="1" applyFont="1" applyBorder="1" applyAlignment="1">
      <alignment horizontal="left" vertical="center"/>
    </xf>
    <xf numFmtId="168" fontId="13" fillId="0" borderId="25" xfId="0" applyNumberFormat="1" applyFont="1" applyBorder="1" applyAlignment="1">
      <alignment horizontal="left" vertical="center"/>
    </xf>
    <xf numFmtId="0" fontId="0" fillId="0" borderId="0" xfId="0" applyAlignment="1">
      <alignment horizontal="right"/>
    </xf>
    <xf numFmtId="0" fontId="0" fillId="2" borderId="15" xfId="0" applyFill="1" applyBorder="1" applyAlignment="1">
      <alignment horizontal="right"/>
    </xf>
    <xf numFmtId="0" fontId="4" fillId="2" borderId="0" xfId="1" applyFill="1" applyBorder="1" applyAlignment="1">
      <alignment horizontal="right"/>
    </xf>
    <xf numFmtId="0" fontId="0" fillId="2" borderId="28" xfId="0" applyFill="1" applyBorder="1"/>
    <xf numFmtId="0" fontId="0" fillId="2" borderId="0" xfId="0" applyFill="1" applyAlignment="1">
      <alignment horizontal="right" wrapText="1"/>
    </xf>
    <xf numFmtId="4" fontId="6" fillId="2" borderId="0" xfId="0" applyNumberFormat="1" applyFont="1" applyFill="1"/>
    <xf numFmtId="0" fontId="5" fillId="2" borderId="0" xfId="0" applyFont="1" applyFill="1"/>
    <xf numFmtId="3" fontId="2" fillId="2" borderId="17" xfId="0" applyNumberFormat="1" applyFont="1" applyFill="1" applyBorder="1"/>
    <xf numFmtId="0" fontId="0" fillId="2" borderId="0" xfId="0" applyFill="1" applyAlignment="1">
      <alignment horizontal="right"/>
    </xf>
    <xf numFmtId="0" fontId="0" fillId="2" borderId="0" xfId="0" applyFill="1"/>
    <xf numFmtId="3" fontId="0" fillId="2" borderId="17" xfId="0" applyNumberFormat="1" applyFill="1" applyBorder="1"/>
    <xf numFmtId="4" fontId="6" fillId="2" borderId="0" xfId="0" applyNumberFormat="1" applyFont="1" applyFill="1" applyAlignment="1">
      <alignment horizontal="right"/>
    </xf>
    <xf numFmtId="0" fontId="3" fillId="2" borderId="0" xfId="0" applyFont="1" applyFill="1"/>
    <xf numFmtId="167" fontId="0" fillId="0" borderId="0" xfId="0" applyNumberFormat="1" applyAlignment="1">
      <alignment horizontal="left"/>
    </xf>
    <xf numFmtId="167" fontId="3" fillId="0" borderId="0" xfId="0" applyNumberFormat="1" applyFont="1" applyAlignment="1">
      <alignment horizontal="left"/>
    </xf>
    <xf numFmtId="167" fontId="12" fillId="0" borderId="0" xfId="0" applyNumberFormat="1" applyFont="1" applyAlignment="1">
      <alignment horizontal="left"/>
    </xf>
    <xf numFmtId="167" fontId="6" fillId="0" borderId="0" xfId="0" applyNumberFormat="1" applyFont="1" applyAlignment="1">
      <alignment horizontal="left"/>
    </xf>
    <xf numFmtId="0" fontId="3" fillId="6" borderId="29" xfId="0" applyFont="1" applyFill="1" applyBorder="1"/>
    <xf numFmtId="3" fontId="2" fillId="2" borderId="0" xfId="0" applyNumberFormat="1" applyFont="1" applyFill="1"/>
    <xf numFmtId="3" fontId="0" fillId="2" borderId="0" xfId="0" applyNumberFormat="1" applyFill="1"/>
    <xf numFmtId="0" fontId="9" fillId="2" borderId="31" xfId="3" applyFont="1" applyFill="1" applyBorder="1" applyAlignment="1">
      <alignment wrapText="1"/>
    </xf>
    <xf numFmtId="0" fontId="0" fillId="3" borderId="35" xfId="0" applyFill="1" applyBorder="1"/>
    <xf numFmtId="164" fontId="9" fillId="2" borderId="15" xfId="3" applyNumberFormat="1" applyFont="1" applyFill="1" applyBorder="1" applyAlignment="1">
      <alignment horizontal="center" wrapText="1"/>
    </xf>
    <xf numFmtId="164" fontId="9" fillId="2" borderId="36" xfId="3" applyNumberFormat="1" applyFont="1" applyFill="1" applyBorder="1" applyAlignment="1">
      <alignment horizontal="center" wrapText="1"/>
    </xf>
    <xf numFmtId="164" fontId="9" fillId="2" borderId="30" xfId="3" applyNumberFormat="1" applyFont="1" applyFill="1" applyBorder="1" applyAlignment="1">
      <alignment horizontal="center" wrapText="1"/>
    </xf>
    <xf numFmtId="3" fontId="0" fillId="3" borderId="37" xfId="0" applyNumberFormat="1" applyFill="1" applyBorder="1"/>
    <xf numFmtId="167" fontId="3" fillId="6" borderId="42" xfId="0" applyNumberFormat="1" applyFont="1" applyFill="1" applyBorder="1" applyAlignment="1">
      <alignment horizontal="left"/>
    </xf>
    <xf numFmtId="4" fontId="6" fillId="7" borderId="0" xfId="0" applyNumberFormat="1" applyFont="1" applyFill="1"/>
    <xf numFmtId="0" fontId="9" fillId="2" borderId="43" xfId="3" applyFont="1" applyFill="1" applyBorder="1" applyAlignment="1">
      <alignment horizontal="left" wrapText="1"/>
    </xf>
    <xf numFmtId="1" fontId="10" fillId="2" borderId="30" xfId="3" applyNumberFormat="1" applyFont="1" applyFill="1" applyBorder="1" applyAlignment="1">
      <alignment horizontal="right" wrapText="1"/>
    </xf>
    <xf numFmtId="1" fontId="10" fillId="2" borderId="30" xfId="3" applyNumberFormat="1" applyFont="1" applyFill="1" applyBorder="1" applyAlignment="1">
      <alignment horizontal="center" wrapText="1"/>
    </xf>
    <xf numFmtId="165" fontId="10" fillId="2" borderId="30" xfId="3" applyNumberFormat="1" applyFont="1" applyFill="1" applyBorder="1" applyAlignment="1">
      <alignment horizontal="center" wrapText="1"/>
    </xf>
    <xf numFmtId="0" fontId="10" fillId="2" borderId="30" xfId="3" applyFont="1" applyFill="1" applyBorder="1" applyAlignment="1">
      <alignment horizontal="center" wrapText="1"/>
    </xf>
    <xf numFmtId="167" fontId="9" fillId="2" borderId="30" xfId="3" applyNumberFormat="1" applyFont="1" applyFill="1" applyBorder="1" applyAlignment="1">
      <alignment horizontal="left" wrapText="1"/>
    </xf>
    <xf numFmtId="0" fontId="3" fillId="2" borderId="15" xfId="0" applyFont="1" applyFill="1" applyBorder="1" applyAlignment="1">
      <alignment wrapText="1"/>
    </xf>
    <xf numFmtId="164" fontId="9" fillId="2" borderId="44" xfId="3" applyNumberFormat="1" applyFont="1" applyFill="1" applyBorder="1" applyAlignment="1">
      <alignment horizontal="center" wrapText="1"/>
    </xf>
    <xf numFmtId="164" fontId="9" fillId="2" borderId="45" xfId="3" applyNumberFormat="1" applyFont="1" applyFill="1" applyBorder="1" applyAlignment="1">
      <alignment horizontal="center" wrapText="1"/>
    </xf>
    <xf numFmtId="164" fontId="9" fillId="2" borderId="46" xfId="3" applyNumberFormat="1" applyFont="1" applyFill="1" applyBorder="1" applyAlignment="1">
      <alignment horizontal="center" wrapText="1"/>
    </xf>
    <xf numFmtId="0" fontId="0" fillId="3" borderId="47" xfId="0" applyFill="1" applyBorder="1"/>
    <xf numFmtId="0" fontId="0" fillId="3" borderId="48" xfId="0" applyFill="1" applyBorder="1" applyAlignment="1">
      <alignment horizontal="right"/>
    </xf>
    <xf numFmtId="14" fontId="0" fillId="3" borderId="48" xfId="0" applyNumberFormat="1" applyFill="1" applyBorder="1"/>
    <xf numFmtId="0" fontId="0" fillId="3" borderId="48" xfId="0" applyFill="1" applyBorder="1"/>
    <xf numFmtId="167" fontId="0" fillId="3" borderId="48" xfId="0" applyNumberFormat="1" applyFill="1" applyBorder="1" applyAlignment="1">
      <alignment horizontal="left"/>
    </xf>
    <xf numFmtId="0" fontId="0" fillId="3" borderId="49" xfId="0" applyFill="1" applyBorder="1"/>
    <xf numFmtId="3" fontId="0" fillId="3" borderId="50" xfId="0" applyNumberFormat="1" applyFill="1" applyBorder="1"/>
    <xf numFmtId="3" fontId="0" fillId="3" borderId="48" xfId="0" applyNumberFormat="1" applyFill="1" applyBorder="1"/>
    <xf numFmtId="3" fontId="0" fillId="3" borderId="51" xfId="0" applyNumberFormat="1" applyFill="1" applyBorder="1"/>
    <xf numFmtId="3" fontId="0" fillId="3" borderId="52" xfId="0" applyNumberFormat="1" applyFill="1" applyBorder="1"/>
    <xf numFmtId="3" fontId="0" fillId="3" borderId="53" xfId="0" applyNumberFormat="1" applyFill="1" applyBorder="1"/>
    <xf numFmtId="3" fontId="0" fillId="3" borderId="19" xfId="0" applyNumberFormat="1" applyFill="1" applyBorder="1"/>
    <xf numFmtId="0" fontId="14" fillId="0" borderId="0" xfId="0" applyFont="1"/>
    <xf numFmtId="0" fontId="14" fillId="0" borderId="23" xfId="0" applyFont="1" applyBorder="1"/>
    <xf numFmtId="0" fontId="14" fillId="0" borderId="27" xfId="0" applyFont="1" applyBorder="1"/>
    <xf numFmtId="0" fontId="14" fillId="0" borderId="40" xfId="0" applyFont="1" applyBorder="1"/>
    <xf numFmtId="0" fontId="14" fillId="0" borderId="27" xfId="0" applyFont="1" applyBorder="1" applyAlignment="1">
      <alignment horizontal="left"/>
    </xf>
    <xf numFmtId="0" fontId="14" fillId="0" borderId="41" xfId="0" applyFont="1" applyBorder="1"/>
    <xf numFmtId="0" fontId="14" fillId="0" borderId="32" xfId="0" applyFont="1" applyBorder="1"/>
    <xf numFmtId="0" fontId="14" fillId="0" borderId="10" xfId="0" applyFont="1" applyBorder="1"/>
    <xf numFmtId="0" fontId="14" fillId="0" borderId="8" xfId="0" applyFont="1" applyBorder="1"/>
    <xf numFmtId="0" fontId="14" fillId="0" borderId="9" xfId="0" applyFont="1" applyBorder="1"/>
    <xf numFmtId="0" fontId="14" fillId="0" borderId="7" xfId="0" applyFont="1" applyBorder="1"/>
    <xf numFmtId="0" fontId="14" fillId="0" borderId="11" xfId="0" applyFont="1" applyBorder="1"/>
    <xf numFmtId="0" fontId="14" fillId="0" borderId="12" xfId="0" applyFont="1" applyBorder="1"/>
    <xf numFmtId="0" fontId="14" fillId="0" borderId="3" xfId="0" applyFont="1" applyBorder="1"/>
    <xf numFmtId="0" fontId="14" fillId="8" borderId="10" xfId="0" applyFont="1" applyFill="1" applyBorder="1"/>
    <xf numFmtId="0" fontId="14" fillId="0" borderId="34" xfId="0" applyFont="1" applyBorder="1"/>
    <xf numFmtId="0" fontId="14" fillId="0" borderId="33" xfId="0" applyFont="1" applyBorder="1"/>
    <xf numFmtId="0" fontId="14" fillId="0" borderId="13" xfId="0" applyFont="1" applyBorder="1"/>
    <xf numFmtId="0" fontId="14" fillId="0" borderId="13" xfId="0" applyFont="1" applyBorder="1" applyAlignment="1">
      <alignment horizontal="left"/>
    </xf>
    <xf numFmtId="3" fontId="3" fillId="2" borderId="4" xfId="0" applyNumberFormat="1" applyFont="1" applyFill="1" applyBorder="1" applyAlignment="1">
      <alignment horizontal="center"/>
    </xf>
    <xf numFmtId="3" fontId="3" fillId="2" borderId="5" xfId="0" applyNumberFormat="1" applyFont="1" applyFill="1" applyBorder="1" applyAlignment="1">
      <alignment horizontal="center"/>
    </xf>
    <xf numFmtId="3" fontId="3" fillId="2" borderId="6" xfId="0" applyNumberFormat="1" applyFont="1" applyFill="1" applyBorder="1" applyAlignment="1">
      <alignment horizontal="center"/>
    </xf>
    <xf numFmtId="166" fontId="3" fillId="2" borderId="38" xfId="0" applyNumberFormat="1" applyFont="1" applyFill="1" applyBorder="1" applyAlignment="1">
      <alignment horizontal="center"/>
    </xf>
    <xf numFmtId="166" fontId="3" fillId="2" borderId="1" xfId="0" applyNumberFormat="1" applyFont="1" applyFill="1" applyBorder="1" applyAlignment="1">
      <alignment horizontal="center"/>
    </xf>
    <xf numFmtId="166" fontId="3" fillId="2" borderId="39" xfId="0" applyNumberFormat="1" applyFont="1" applyFill="1" applyBorder="1" applyAlignment="1">
      <alignment horizontal="center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right"/>
    </xf>
    <xf numFmtId="0" fontId="7" fillId="0" borderId="2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2" xfId="0" applyFont="1" applyBorder="1" applyAlignment="1">
      <alignment horizontal="right"/>
    </xf>
    <xf numFmtId="0" fontId="14" fillId="0" borderId="54" xfId="0" applyFont="1" applyBorder="1"/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3"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1:EI18"/>
  <sheetViews>
    <sheetView showGridLines="0" tabSelected="1" zoomScale="80" zoomScaleNormal="80" workbookViewId="0">
      <selection activeCell="B16" sqref="B16"/>
    </sheetView>
  </sheetViews>
  <sheetFormatPr defaultRowHeight="15" x14ac:dyDescent="0.25"/>
  <cols>
    <col min="1" max="1" width="22.7109375" bestFit="1" customWidth="1"/>
    <col min="2" max="2" width="14.7109375" style="28" bestFit="1" customWidth="1"/>
    <col min="3" max="3" width="12.28515625" customWidth="1"/>
    <col min="4" max="4" width="11.5703125" customWidth="1"/>
    <col min="5" max="5" width="14.28515625" customWidth="1"/>
    <col min="6" max="6" width="19.5703125" bestFit="1" customWidth="1"/>
    <col min="7" max="10" width="10.85546875" customWidth="1"/>
    <col min="11" max="11" width="13.42578125" style="41" customWidth="1"/>
    <col min="12" max="12" width="37.140625" customWidth="1"/>
    <col min="13" max="13" width="12.42578125" customWidth="1"/>
    <col min="14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139" ht="15.75" thickBot="1" x14ac:dyDescent="0.3"/>
    <row r="2" spans="1:139" x14ac:dyDescent="0.25">
      <c r="A2" s="13"/>
      <c r="B2" s="29"/>
      <c r="C2" s="14"/>
      <c r="D2" s="14"/>
      <c r="E2" s="14"/>
      <c r="F2" s="14"/>
      <c r="G2" s="31"/>
      <c r="H2" s="37"/>
      <c r="I2" s="37"/>
      <c r="J2" s="37"/>
    </row>
    <row r="3" spans="1:139" x14ac:dyDescent="0.25">
      <c r="A3" s="15" t="s">
        <v>0</v>
      </c>
      <c r="B3" s="32"/>
      <c r="C3" s="33"/>
      <c r="D3" s="34" t="s">
        <v>1</v>
      </c>
      <c r="E3" s="34">
        <v>2026</v>
      </c>
      <c r="F3" s="34"/>
      <c r="G3" s="35">
        <f>C3</f>
        <v>0</v>
      </c>
      <c r="H3" s="46"/>
      <c r="I3" s="46"/>
      <c r="J3" s="46"/>
      <c r="S3" s="1"/>
      <c r="T3" s="1"/>
      <c r="U3" s="1"/>
    </row>
    <row r="4" spans="1:139" x14ac:dyDescent="0.25">
      <c r="A4" s="15" t="s">
        <v>2</v>
      </c>
      <c r="B4" s="36" t="s">
        <v>3</v>
      </c>
      <c r="C4" s="33">
        <v>0</v>
      </c>
      <c r="D4" s="34">
        <v>2321511</v>
      </c>
      <c r="E4" s="34">
        <v>2026</v>
      </c>
      <c r="F4" s="34"/>
      <c r="G4" s="35">
        <v>0</v>
      </c>
      <c r="H4" s="46"/>
      <c r="I4" s="46"/>
      <c r="J4" s="46"/>
    </row>
    <row r="5" spans="1:139" x14ac:dyDescent="0.25">
      <c r="A5" s="16" t="s">
        <v>4</v>
      </c>
      <c r="B5" s="30"/>
      <c r="C5" s="37"/>
      <c r="D5" s="37"/>
      <c r="E5" s="37"/>
      <c r="F5" s="37"/>
      <c r="G5" s="38"/>
      <c r="H5" s="47"/>
      <c r="I5" s="47"/>
      <c r="J5" s="47"/>
    </row>
    <row r="6" spans="1:139" x14ac:dyDescent="0.25">
      <c r="A6" s="16" t="s">
        <v>5</v>
      </c>
      <c r="B6" s="39" t="s">
        <v>6</v>
      </c>
      <c r="C6" s="37"/>
      <c r="D6" s="37"/>
      <c r="E6" s="40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40"/>
      <c r="G6" s="17"/>
      <c r="H6" s="37"/>
      <c r="I6" s="37"/>
      <c r="J6" s="37"/>
      <c r="K6" s="42"/>
      <c r="L6" s="6"/>
    </row>
    <row r="7" spans="1:139" ht="15.75" thickBot="1" x14ac:dyDescent="0.3">
      <c r="A7" s="18"/>
      <c r="B7" s="19"/>
      <c r="C7" s="20"/>
      <c r="D7" s="20"/>
      <c r="E7" s="21"/>
      <c r="F7" s="21"/>
      <c r="G7" s="22"/>
      <c r="H7" s="37"/>
      <c r="I7" s="37"/>
      <c r="J7" s="37"/>
      <c r="S7" s="2"/>
      <c r="T7" s="2"/>
      <c r="U7" s="2"/>
    </row>
    <row r="8" spans="1:139" ht="15.75" thickBot="1" x14ac:dyDescent="0.3"/>
    <row r="9" spans="1:139" x14ac:dyDescent="0.25">
      <c r="A9" s="103" t="s">
        <v>7</v>
      </c>
      <c r="B9" s="104"/>
      <c r="D9" s="55" t="s">
        <v>8</v>
      </c>
      <c r="E9" s="10"/>
      <c r="F9" s="10"/>
      <c r="G9" s="10"/>
      <c r="H9" s="10"/>
      <c r="I9" s="10"/>
      <c r="J9" s="10"/>
      <c r="K9" s="43"/>
    </row>
    <row r="10" spans="1:139" ht="15.75" thickBot="1" x14ac:dyDescent="0.3">
      <c r="A10" s="25" t="s">
        <v>9</v>
      </c>
      <c r="B10" s="23" t="s">
        <v>10</v>
      </c>
      <c r="D10" s="11"/>
      <c r="E10" s="12"/>
      <c r="F10" s="12"/>
      <c r="G10" s="12"/>
      <c r="H10" s="12"/>
      <c r="I10" s="12"/>
      <c r="J10" s="12"/>
      <c r="K10" s="44"/>
      <c r="BW10" s="9" t="s">
        <v>11</v>
      </c>
    </row>
    <row r="11" spans="1:139" ht="15.75" x14ac:dyDescent="0.25">
      <c r="A11" s="26" t="s">
        <v>12</v>
      </c>
      <c r="B11" s="23" t="s">
        <v>10</v>
      </c>
      <c r="D11" s="11"/>
      <c r="E11" s="12"/>
      <c r="F11" s="12"/>
      <c r="G11" s="12"/>
      <c r="H11" s="12"/>
      <c r="I11" s="12"/>
      <c r="J11" s="12"/>
      <c r="K11" s="44"/>
      <c r="L11" s="105" t="s">
        <v>13</v>
      </c>
      <c r="M11" s="106"/>
      <c r="N11" s="97" cm="1">
        <f t="array" ref="N11">SUM(Q15:Q17)+SUM(_xlfn._xlws.FILTER(P15:P17,Q15:Q17=""))+SUM(_xlfn._xlws.FILTER(O15:O17,(P15:P17="")*(Q15:Q17="")))+SUMIFS(R15:R17,Q15:Q17,"&lt;&gt;"&amp;"",$P$15:$P$17,"&lt;&gt;"&amp;"")+SUM(N15:N17)</f>
        <v>0</v>
      </c>
      <c r="O11" s="98"/>
      <c r="P11" s="98"/>
      <c r="Q11" s="98"/>
      <c r="R11" s="99"/>
      <c r="S11" s="97" cm="1">
        <f t="array" ref="S11">SUM(V15:V17)+SUM(_xlfn._xlws.FILTER(U15:U17,V15:V17=""))+SUM(_xlfn._xlws.FILTER(T15:T17,(U15:U17="")*(V15:V17="")))+SUMIFS(W15:W17,V15:V17,"&lt;&gt;"&amp;"",$P$15:$P$17,"&lt;&gt;"&amp;"")+SUM(S15:S17)</f>
        <v>0</v>
      </c>
      <c r="T11" s="98"/>
      <c r="U11" s="98"/>
      <c r="V11" s="98"/>
      <c r="W11" s="99"/>
      <c r="X11" s="97" cm="1">
        <f t="array" ref="X11">SUM(AA15:AA17)+SUM(_xlfn._xlws.FILTER(Z15:Z17,AA15:AA17=""))+SUM(_xlfn._xlws.FILTER(Y15:Y17,(Z15:Z17="")*(AA15:AA17="")))+SUMIFS(AB15:AB17,AA15:AA17,"&lt;&gt;"&amp;"",$P$15:$P$17,"&lt;&gt;"&amp;"")+SUM(X15:X17)</f>
        <v>0</v>
      </c>
      <c r="Y11" s="98"/>
      <c r="Z11" s="98"/>
      <c r="AA11" s="98"/>
      <c r="AB11" s="99"/>
      <c r="AC11" s="97" cm="1">
        <f t="array" ref="AC11">SUM(AF15:AF17)+SUM(_xlfn._xlws.FILTER(AE15:AE17,AF15:AF17=""))+SUM(_xlfn._xlws.FILTER(AD15:AD17,(AE15:AE17="")*(AF15:AF17="")))+SUMIFS(AG15:AG17,AF15:AF17,"&lt;&gt;"&amp;"",$P$15:$P$17,"&lt;&gt;"&amp;"")+SUM(AC15:AC17)</f>
        <v>0</v>
      </c>
      <c r="AD11" s="98"/>
      <c r="AE11" s="98"/>
      <c r="AF11" s="98"/>
      <c r="AG11" s="99"/>
      <c r="AH11" s="97" cm="1">
        <f t="array" ref="AH11">SUM(AK15:AK17)+SUM(_xlfn._xlws.FILTER(AJ15:AJ17,AK15:AK17=""))+SUM(_xlfn._xlws.FILTER(AI15:AI17,(AJ15:AJ17="")*(AK15:AK17="")))+SUMIFS(AL15:AL17,AK15:AK17,"&lt;&gt;"&amp;"",$P$15:$P$17,"&lt;&gt;"&amp;"")+SUM(AH15:AH17)</f>
        <v>0</v>
      </c>
      <c r="AI11" s="98"/>
      <c r="AJ11" s="98"/>
      <c r="AK11" s="98"/>
      <c r="AL11" s="99"/>
      <c r="AM11" s="97" cm="1">
        <f t="array" ref="AM11">SUM(AP15:AP17)+SUM(_xlfn._xlws.FILTER(AO15:AO17,AP15:AP17=""))+SUM(_xlfn._xlws.FILTER(AN15:AN17,(AO15:AO17="")*(AP15:AP17="")))+SUMIFS(AQ15:AQ17,AP15:AP17,"&lt;&gt;"&amp;"",$P$15:$P$17,"&lt;&gt;"&amp;"")+SUM(AM15:AM17)</f>
        <v>0</v>
      </c>
      <c r="AN11" s="98"/>
      <c r="AO11" s="98"/>
      <c r="AP11" s="98"/>
      <c r="AQ11" s="99"/>
      <c r="AR11" s="97" cm="1">
        <f t="array" ref="AR11">SUM(AU15:AU17)+SUM(_xlfn._xlws.FILTER(AT15:AT17,AU15:AU17=""))+SUM(_xlfn._xlws.FILTER(AS15:AS17,(AT15:AT17="")*(AU15:AU17="")))+SUMIFS(AV15:AV17,AU15:AU17,"&lt;&gt;"&amp;"",$P$15:$P$17,"&lt;&gt;"&amp;"")+SUM(AR15:AR17)</f>
        <v>0</v>
      </c>
      <c r="AS11" s="98"/>
      <c r="AT11" s="98"/>
      <c r="AU11" s="98"/>
      <c r="AV11" s="99"/>
      <c r="AW11" s="97" cm="1">
        <f t="array" ref="AW11">SUM(AZ15:AZ17)+SUM(_xlfn._xlws.FILTER(AY15:AY17,AZ15:AZ17=""))+SUM(_xlfn._xlws.FILTER(AX15:AX17,(AY15:AY17="")*(AZ15:AZ17="")))+SUMIFS(BA15:BA17,AZ15:AZ17,"&lt;&gt;"&amp;"",$P$15:$P$17,"&lt;&gt;"&amp;"")+SUM(AW15:AW17)</f>
        <v>0</v>
      </c>
      <c r="AX11" s="98"/>
      <c r="AY11" s="98"/>
      <c r="AZ11" s="98"/>
      <c r="BA11" s="99"/>
      <c r="BB11" s="97" cm="1">
        <f t="array" ref="BB11">SUM(BE15:BE17)+SUM(_xlfn._xlws.FILTER(BD15:BD17,BE15:BE17=""))+SUM(_xlfn._xlws.FILTER(BC15:BC17,(BD15:BD17="")*(BE15:BE17="")))+SUMIFS(BF15:BF17,BE15:BE17,"&lt;&gt;"&amp;"",$P$15:$P$17,"&lt;&gt;"&amp;"")+SUM(BB15:BB17)</f>
        <v>0</v>
      </c>
      <c r="BC11" s="98"/>
      <c r="BD11" s="98"/>
      <c r="BE11" s="98"/>
      <c r="BF11" s="99"/>
      <c r="BG11" s="97" cm="1">
        <f t="array" ref="BG11">SUM(BJ15:BJ17)+SUM(_xlfn._xlws.FILTER(BI15:BI17,BJ15:BJ17=""))+SUM(_xlfn._xlws.FILTER(BH15:BH17,(BI15:BI17="")*(BJ15:BJ17="")))+SUMIFS(BK15:BK17,BJ15:BJ17,"&lt;&gt;"&amp;"",$P$15:$P$17,"&lt;&gt;"&amp;"")+SUM(BG15:BG17)</f>
        <v>0</v>
      </c>
      <c r="BH11" s="98"/>
      <c r="BI11" s="98"/>
      <c r="BJ11" s="98"/>
      <c r="BK11" s="99"/>
      <c r="BL11" s="97" cm="1">
        <f t="array" ref="BL11">SUM(BO15:BO17)+SUM(_xlfn._xlws.FILTER(BN15:BN17,BO15:BO17=""))+SUM(_xlfn._xlws.FILTER(BM15:BM17,(BN15:BN17="")*(BO15:BO17="")))+SUMIFS(BP15:BP17,BO15:BO17,"&lt;&gt;"&amp;"",$P$15:$P$17,"&lt;&gt;"&amp;"")+SUM(BL15:BL17)</f>
        <v>0</v>
      </c>
      <c r="BM11" s="98"/>
      <c r="BN11" s="98"/>
      <c r="BO11" s="98"/>
      <c r="BP11" s="99"/>
      <c r="BQ11" s="97" cm="1">
        <f t="array" ref="BQ11">SUM(BT15:BT17)+SUM(_xlfn._xlws.FILTER(BS15:BS17,BT15:BT17=""))+SUM(_xlfn._xlws.FILTER(BR15:BR17,(BS15:BS17="")*(BT15:BT17="")))+SUMIFS(BU15:BU17,BT15:BT17,"&lt;&gt;"&amp;"",$P$15:$P$17,"&lt;&gt;"&amp;"")+SUM(BQ15:BQ17)</f>
        <v>0</v>
      </c>
      <c r="BR11" s="98"/>
      <c r="BS11" s="98"/>
      <c r="BT11" s="98"/>
      <c r="BU11" s="99"/>
      <c r="BV11" s="4" t="s">
        <v>14</v>
      </c>
      <c r="BW11" s="5">
        <f>BW13-BV13</f>
        <v>0</v>
      </c>
    </row>
    <row r="12" spans="1:139" x14ac:dyDescent="0.25">
      <c r="A12" s="27" t="s">
        <v>15</v>
      </c>
      <c r="B12" s="24" t="s">
        <v>10</v>
      </c>
      <c r="D12" s="11"/>
      <c r="E12" s="12"/>
      <c r="F12" s="12"/>
      <c r="G12" s="12"/>
      <c r="H12" s="12"/>
      <c r="I12" s="12"/>
      <c r="J12" s="12"/>
      <c r="K12" s="45" t="s">
        <v>16</v>
      </c>
      <c r="L12" s="107" t="s">
        <v>17</v>
      </c>
      <c r="M12" s="108"/>
      <c r="N12" s="97" cm="1">
        <f t="array" ref="N12">SUM(Q15:Q17)+SUM(_xlfn._xlws.FILTER(P15:P17,Q15:Q17=""))+SUM(_xlfn._xlws.FILTER(O15:O17,(P15:P17="")*(Q15:Q17="")))</f>
        <v>0</v>
      </c>
      <c r="O12" s="98"/>
      <c r="P12" s="98"/>
      <c r="Q12" s="98"/>
      <c r="R12" s="99"/>
      <c r="S12" s="97" cm="1">
        <f t="array" ref="S12">SUM(V15:V17)+SUM(_xlfn._xlws.FILTER(U15:U17,V15:V17=""))+SUM(_xlfn._xlws.FILTER(T15:T17,(U15:U17="")*(V15:V17="")))</f>
        <v>0</v>
      </c>
      <c r="T12" s="98"/>
      <c r="U12" s="98"/>
      <c r="V12" s="98"/>
      <c r="W12" s="99"/>
      <c r="X12" s="97" cm="1">
        <f t="array" ref="X12">SUM(AA15:AA17)+SUM(_xlfn._xlws.FILTER(Z15:Z17,AA15:AA17=""))+SUM(_xlfn._xlws.FILTER(Y15:Y17,(Z15:Z17="")*(AA15:AA17="")))</f>
        <v>0</v>
      </c>
      <c r="Y12" s="98"/>
      <c r="Z12" s="98"/>
      <c r="AA12" s="98"/>
      <c r="AB12" s="99"/>
      <c r="AC12" s="97" cm="1">
        <f t="array" ref="AC12">SUM(AF15:AF17)+SUM(_xlfn._xlws.FILTER(AE15:AE17,AF15:AF17=""))+SUM(_xlfn._xlws.FILTER(AD15:AD17,(AE15:AE17="")*(AF15:AF17="")))</f>
        <v>0</v>
      </c>
      <c r="AD12" s="98"/>
      <c r="AE12" s="98"/>
      <c r="AF12" s="98"/>
      <c r="AG12" s="99"/>
      <c r="AH12" s="97" cm="1">
        <f t="array" ref="AH12">SUM(AK15:AK17)+SUM(_xlfn._xlws.FILTER(AJ15:AJ17,AK15:AK17=""))+SUM(_xlfn._xlws.FILTER(AI15:AI17,(AJ15:AJ17="")*(AK15:AK17="")))</f>
        <v>0</v>
      </c>
      <c r="AI12" s="98"/>
      <c r="AJ12" s="98"/>
      <c r="AK12" s="98"/>
      <c r="AL12" s="99"/>
      <c r="AM12" s="97" cm="1">
        <f t="array" ref="AM12">SUM(AP15:AP17)+SUM(_xlfn._xlws.FILTER(AO15:AO17,AP15:AP17=""))+SUM(_xlfn._xlws.FILTER(AN15:AN17,(AO15:AO17="")*(AP15:AP17="")))</f>
        <v>0</v>
      </c>
      <c r="AN12" s="98"/>
      <c r="AO12" s="98"/>
      <c r="AP12" s="98"/>
      <c r="AQ12" s="99"/>
      <c r="AR12" s="97" cm="1">
        <f t="array" ref="AR12">SUM(AU15:AU17)+SUM(_xlfn._xlws.FILTER(AT15:AT17,AU15:AU17=""))+SUM(_xlfn._xlws.FILTER(AS15:AS17,(AT15:AT17="")*(AU15:AU17="")))</f>
        <v>0</v>
      </c>
      <c r="AS12" s="98"/>
      <c r="AT12" s="98"/>
      <c r="AU12" s="98"/>
      <c r="AV12" s="99"/>
      <c r="AW12" s="97" cm="1">
        <f t="array" ref="AW12">SUM(AZ15:AZ17)+SUM(_xlfn._xlws.FILTER(AY15:AY17,AZ15:AZ17=""))+SUM(_xlfn._xlws.FILTER(AX15:AX17,(AY15:AY17="")*(AZ15:AZ17="")))</f>
        <v>0</v>
      </c>
      <c r="AX12" s="98"/>
      <c r="AY12" s="98"/>
      <c r="AZ12" s="98"/>
      <c r="BA12" s="99"/>
      <c r="BB12" s="97" cm="1">
        <f t="array" ref="BB12">SUM(BE15:BE17)+SUM(_xlfn._xlws.FILTER(BD15:BD17,BE15:BE17=""))+SUM(_xlfn._xlws.FILTER(BC15:BC17,(BD15:BD17="")*(BE15:BE17="")))</f>
        <v>0</v>
      </c>
      <c r="BC12" s="98"/>
      <c r="BD12" s="98"/>
      <c r="BE12" s="98"/>
      <c r="BF12" s="99"/>
      <c r="BG12" s="97" cm="1">
        <f t="array" ref="BG12">SUM(BJ15:BJ17)+SUM(_xlfn._xlws.FILTER(BI15:BI17,BJ15:BJ17=""))+SUM(_xlfn._xlws.FILTER(BH15:BH17,(BI15:BI17="")*(BJ15:BJ17="")))</f>
        <v>0</v>
      </c>
      <c r="BH12" s="98"/>
      <c r="BI12" s="98"/>
      <c r="BJ12" s="98"/>
      <c r="BK12" s="99"/>
      <c r="BL12" s="97" cm="1">
        <f t="array" ref="BL12">SUM(BO15:BO17)+SUM(_xlfn._xlws.FILTER(BN15:BN17,BO15:BO17=""))+SUM(_xlfn._xlws.FILTER(BM15:BM17,(BN15:BN17="")*(BO15:BO17="")))</f>
        <v>0</v>
      </c>
      <c r="BM12" s="98"/>
      <c r="BN12" s="98"/>
      <c r="BO12" s="98"/>
      <c r="BP12" s="99"/>
      <c r="BQ12" s="97" cm="1">
        <f t="array" ref="BQ12">SUM(BT15:BT17)+SUM(_xlfn._xlws.FILTER(BS15:BS17,BT15:BT17=""))+SUM(_xlfn._xlws.FILTER(BR15:BR17,(BS15:BS17="")*(BT15:BT17="")))</f>
        <v>0</v>
      </c>
      <c r="BR12" s="98"/>
      <c r="BS12" s="98"/>
      <c r="BT12" s="98"/>
      <c r="BU12" s="99"/>
      <c r="BV12" s="4"/>
      <c r="BW12" s="5"/>
    </row>
    <row r="13" spans="1:139" ht="16.5" thickBot="1" x14ac:dyDescent="0.3">
      <c r="A13" s="6" t="s">
        <v>18</v>
      </c>
      <c r="H13" s="6"/>
      <c r="I13" s="6"/>
      <c r="J13" s="6"/>
      <c r="K13" s="54">
        <f>SUBTOTAL(9,K15:K16)</f>
        <v>0</v>
      </c>
      <c r="L13" s="107" t="s">
        <v>19</v>
      </c>
      <c r="M13" s="108"/>
      <c r="N13" s="100">
        <v>46053</v>
      </c>
      <c r="O13" s="101" t="s">
        <v>20</v>
      </c>
      <c r="P13" s="101"/>
      <c r="Q13" s="101"/>
      <c r="R13" s="101"/>
      <c r="S13" s="100">
        <v>46054</v>
      </c>
      <c r="T13" s="101"/>
      <c r="U13" s="101"/>
      <c r="V13" s="101"/>
      <c r="W13" s="102"/>
      <c r="X13" s="100">
        <v>46112</v>
      </c>
      <c r="Y13" s="101" t="s">
        <v>21</v>
      </c>
      <c r="Z13" s="101"/>
      <c r="AA13" s="101"/>
      <c r="AB13" s="102"/>
      <c r="AC13" s="100">
        <v>46142</v>
      </c>
      <c r="AD13" s="101" t="s">
        <v>22</v>
      </c>
      <c r="AE13" s="101"/>
      <c r="AF13" s="101"/>
      <c r="AG13" s="102"/>
      <c r="AH13" s="100">
        <v>46173</v>
      </c>
      <c r="AI13" s="101" t="s">
        <v>23</v>
      </c>
      <c r="AJ13" s="101"/>
      <c r="AK13" s="101"/>
      <c r="AL13" s="102"/>
      <c r="AM13" s="100">
        <v>46203</v>
      </c>
      <c r="AN13" s="101" t="s">
        <v>24</v>
      </c>
      <c r="AO13" s="101"/>
      <c r="AP13" s="101"/>
      <c r="AQ13" s="102"/>
      <c r="AR13" s="100">
        <v>46234</v>
      </c>
      <c r="AS13" s="101" t="s">
        <v>25</v>
      </c>
      <c r="AT13" s="101"/>
      <c r="AU13" s="101"/>
      <c r="AV13" s="102"/>
      <c r="AW13" s="100">
        <v>46265</v>
      </c>
      <c r="AX13" s="101" t="s">
        <v>26</v>
      </c>
      <c r="AY13" s="101"/>
      <c r="AZ13" s="101"/>
      <c r="BA13" s="102"/>
      <c r="BB13" s="100">
        <v>46295</v>
      </c>
      <c r="BC13" s="101" t="s">
        <v>27</v>
      </c>
      <c r="BD13" s="101"/>
      <c r="BE13" s="101"/>
      <c r="BF13" s="102"/>
      <c r="BG13" s="100">
        <v>46326</v>
      </c>
      <c r="BH13" s="101" t="s">
        <v>28</v>
      </c>
      <c r="BI13" s="101"/>
      <c r="BJ13" s="101"/>
      <c r="BK13" s="102"/>
      <c r="BL13" s="100">
        <v>46356</v>
      </c>
      <c r="BM13" s="101" t="s">
        <v>29</v>
      </c>
      <c r="BN13" s="101"/>
      <c r="BO13" s="101"/>
      <c r="BP13" s="102"/>
      <c r="BQ13" s="100">
        <v>46387</v>
      </c>
      <c r="BR13" s="101" t="s">
        <v>30</v>
      </c>
      <c r="BS13" s="101"/>
      <c r="BT13" s="101"/>
      <c r="BU13" s="102"/>
      <c r="BV13" s="7">
        <f>SUM(BV15:BV17)</f>
        <v>0</v>
      </c>
      <c r="BW13" s="8"/>
      <c r="BY13" s="3"/>
    </row>
    <row r="14" spans="1:139" ht="60.75" thickBot="1" x14ac:dyDescent="0.3">
      <c r="A14" s="56" t="s">
        <v>31</v>
      </c>
      <c r="B14" s="57" t="s">
        <v>32</v>
      </c>
      <c r="C14" s="58" t="s">
        <v>33</v>
      </c>
      <c r="D14" s="59" t="s">
        <v>34</v>
      </c>
      <c r="E14" s="60" t="s">
        <v>35</v>
      </c>
      <c r="F14" s="60" t="s">
        <v>36</v>
      </c>
      <c r="G14" s="58" t="s">
        <v>37</v>
      </c>
      <c r="H14" s="58" t="s">
        <v>38</v>
      </c>
      <c r="I14" s="58" t="s">
        <v>39</v>
      </c>
      <c r="J14" s="58" t="s">
        <v>7</v>
      </c>
      <c r="K14" s="61" t="s">
        <v>40</v>
      </c>
      <c r="L14" s="62" t="s">
        <v>41</v>
      </c>
      <c r="M14" s="48" t="s">
        <v>42</v>
      </c>
      <c r="N14" s="51" t="s">
        <v>43</v>
      </c>
      <c r="O14" s="52" t="s">
        <v>44</v>
      </c>
      <c r="P14" s="52" t="s">
        <v>45</v>
      </c>
      <c r="Q14" s="52" t="s">
        <v>46</v>
      </c>
      <c r="R14" s="50" t="s">
        <v>47</v>
      </c>
      <c r="S14" s="63" t="s">
        <v>48</v>
      </c>
      <c r="T14" s="52" t="s">
        <v>49</v>
      </c>
      <c r="U14" s="52" t="s">
        <v>50</v>
      </c>
      <c r="V14" s="64" t="s">
        <v>51</v>
      </c>
      <c r="W14" s="65" t="s">
        <v>47</v>
      </c>
      <c r="X14" s="63" t="s">
        <v>52</v>
      </c>
      <c r="Y14" s="52" t="s">
        <v>53</v>
      </c>
      <c r="Z14" s="52" t="s">
        <v>54</v>
      </c>
      <c r="AA14" s="64" t="s">
        <v>55</v>
      </c>
      <c r="AB14" s="65" t="s">
        <v>47</v>
      </c>
      <c r="AC14" s="63" t="s">
        <v>56</v>
      </c>
      <c r="AD14" s="52" t="s">
        <v>57</v>
      </c>
      <c r="AE14" s="52" t="s">
        <v>58</v>
      </c>
      <c r="AF14" s="64" t="s">
        <v>59</v>
      </c>
      <c r="AG14" s="65" t="s">
        <v>47</v>
      </c>
      <c r="AH14" s="63" t="s">
        <v>60</v>
      </c>
      <c r="AI14" s="52" t="s">
        <v>61</v>
      </c>
      <c r="AJ14" s="52" t="s">
        <v>62</v>
      </c>
      <c r="AK14" s="64" t="s">
        <v>63</v>
      </c>
      <c r="AL14" s="65" t="s">
        <v>47</v>
      </c>
      <c r="AM14" s="63" t="s">
        <v>64</v>
      </c>
      <c r="AN14" s="52" t="s">
        <v>65</v>
      </c>
      <c r="AO14" s="52" t="s">
        <v>66</v>
      </c>
      <c r="AP14" s="64" t="s">
        <v>67</v>
      </c>
      <c r="AQ14" s="65" t="s">
        <v>47</v>
      </c>
      <c r="AR14" s="63" t="s">
        <v>68</v>
      </c>
      <c r="AS14" s="52" t="s">
        <v>69</v>
      </c>
      <c r="AT14" s="52" t="s">
        <v>70</v>
      </c>
      <c r="AU14" s="64" t="s">
        <v>71</v>
      </c>
      <c r="AV14" s="65" t="s">
        <v>47</v>
      </c>
      <c r="AW14" s="63" t="s">
        <v>72</v>
      </c>
      <c r="AX14" s="52" t="s">
        <v>73</v>
      </c>
      <c r="AY14" s="52" t="s">
        <v>74</v>
      </c>
      <c r="AZ14" s="64" t="s">
        <v>75</v>
      </c>
      <c r="BA14" s="65" t="s">
        <v>47</v>
      </c>
      <c r="BB14" s="63" t="s">
        <v>76</v>
      </c>
      <c r="BC14" s="52" t="s">
        <v>77</v>
      </c>
      <c r="BD14" s="52" t="s">
        <v>78</v>
      </c>
      <c r="BE14" s="64" t="s">
        <v>79</v>
      </c>
      <c r="BF14" s="65" t="s">
        <v>47</v>
      </c>
      <c r="BG14" s="63" t="s">
        <v>80</v>
      </c>
      <c r="BH14" s="52" t="s">
        <v>81</v>
      </c>
      <c r="BI14" s="52" t="s">
        <v>82</v>
      </c>
      <c r="BJ14" s="64" t="s">
        <v>83</v>
      </c>
      <c r="BK14" s="65" t="s">
        <v>47</v>
      </c>
      <c r="BL14" s="63" t="s">
        <v>84</v>
      </c>
      <c r="BM14" s="52" t="s">
        <v>85</v>
      </c>
      <c r="BN14" s="52" t="s">
        <v>86</v>
      </c>
      <c r="BO14" s="64" t="s">
        <v>87</v>
      </c>
      <c r="BP14" s="65" t="s">
        <v>47</v>
      </c>
      <c r="BQ14" s="63" t="s">
        <v>88</v>
      </c>
      <c r="BR14" s="52" t="s">
        <v>89</v>
      </c>
      <c r="BS14" s="52" t="s">
        <v>90</v>
      </c>
      <c r="BT14" s="64" t="s">
        <v>91</v>
      </c>
      <c r="BU14" s="65" t="s">
        <v>47</v>
      </c>
      <c r="BV14" s="51" t="s">
        <v>92</v>
      </c>
      <c r="BW14" s="52" t="s">
        <v>93</v>
      </c>
      <c r="BX14" s="48" t="s">
        <v>94</v>
      </c>
    </row>
    <row r="15" spans="1:139" x14ac:dyDescent="0.25">
      <c r="A15" s="79"/>
      <c r="B15" s="109">
        <v>9500879389</v>
      </c>
      <c r="C15" s="80"/>
      <c r="D15" s="80"/>
      <c r="E15" s="81"/>
      <c r="F15" s="80"/>
      <c r="G15" s="80"/>
      <c r="H15" s="80"/>
      <c r="I15" s="80"/>
      <c r="J15" s="80"/>
      <c r="K15" s="82"/>
      <c r="L15" s="83"/>
      <c r="M15" s="84"/>
      <c r="N15" s="85"/>
      <c r="O15" s="86"/>
      <c r="P15" s="86"/>
      <c r="Q15" s="87"/>
      <c r="R15" s="87">
        <f>P15-Q15</f>
        <v>0</v>
      </c>
      <c r="S15" s="88"/>
      <c r="T15" s="86"/>
      <c r="U15" s="86"/>
      <c r="V15" s="87"/>
      <c r="W15" s="89">
        <f>U15-V15</f>
        <v>0</v>
      </c>
      <c r="X15" s="90"/>
      <c r="Y15" s="86"/>
      <c r="Z15" s="86"/>
      <c r="AA15" s="87"/>
      <c r="AB15" s="89">
        <f>Z15-AA15</f>
        <v>0</v>
      </c>
      <c r="AC15" s="90"/>
      <c r="AD15" s="86"/>
      <c r="AE15" s="86"/>
      <c r="AF15" s="86"/>
      <c r="AG15" s="89">
        <f>AE15-AF15</f>
        <v>0</v>
      </c>
      <c r="AH15" s="90"/>
      <c r="AI15" s="86"/>
      <c r="AJ15" s="86"/>
      <c r="AK15" s="86"/>
      <c r="AL15" s="89">
        <f>AJ15-AK15</f>
        <v>0</v>
      </c>
      <c r="AM15" s="90"/>
      <c r="AN15" s="86"/>
      <c r="AO15" s="86"/>
      <c r="AP15" s="86"/>
      <c r="AQ15" s="89">
        <f>AO15-AP15</f>
        <v>0</v>
      </c>
      <c r="AR15" s="90"/>
      <c r="AS15" s="86"/>
      <c r="AT15" s="86"/>
      <c r="AU15" s="86"/>
      <c r="AV15" s="89">
        <f>AT15-AU15</f>
        <v>0</v>
      </c>
      <c r="AW15" s="90"/>
      <c r="AX15" s="86"/>
      <c r="AY15" s="86"/>
      <c r="AZ15" s="86"/>
      <c r="BA15" s="89">
        <f>AY15-AZ15</f>
        <v>0</v>
      </c>
      <c r="BB15" s="90"/>
      <c r="BC15" s="86"/>
      <c r="BD15" s="86"/>
      <c r="BE15" s="86"/>
      <c r="BF15" s="89">
        <f>BD15-BE15</f>
        <v>0</v>
      </c>
      <c r="BG15" s="90"/>
      <c r="BH15" s="86"/>
      <c r="BI15" s="86"/>
      <c r="BJ15" s="86"/>
      <c r="BK15" s="89">
        <f>BI15-BJ15</f>
        <v>0</v>
      </c>
      <c r="BL15" s="90"/>
      <c r="BM15" s="86"/>
      <c r="BN15" s="86"/>
      <c r="BO15" s="86"/>
      <c r="BP15" s="89">
        <f>BN15-BO15</f>
        <v>0</v>
      </c>
      <c r="BQ15" s="90"/>
      <c r="BR15" s="86"/>
      <c r="BS15" s="86"/>
      <c r="BT15" s="86"/>
      <c r="BU15" s="89">
        <f>BS15-BT15</f>
        <v>0</v>
      </c>
      <c r="BV15" s="91">
        <v>0</v>
      </c>
      <c r="BW15" s="92"/>
      <c r="BX15" s="93"/>
      <c r="BY15" s="78"/>
      <c r="BZ15" s="78"/>
      <c r="CA15" s="78"/>
      <c r="CB15" s="78"/>
      <c r="CC15" s="78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78"/>
      <c r="EG15" s="78"/>
      <c r="EH15" s="78"/>
      <c r="EI15" s="78"/>
    </row>
    <row r="16" spans="1:139" x14ac:dyDescent="0.25">
      <c r="A16" s="94"/>
      <c r="B16" s="86">
        <v>9500882917</v>
      </c>
      <c r="C16" s="95"/>
      <c r="D16" s="95"/>
      <c r="E16" s="95"/>
      <c r="F16" s="95"/>
      <c r="G16" s="95"/>
      <c r="H16" s="95"/>
      <c r="I16" s="95"/>
      <c r="J16" s="95"/>
      <c r="K16" s="96"/>
      <c r="L16" s="95"/>
      <c r="M16" s="93"/>
      <c r="N16" s="85"/>
      <c r="O16" s="86"/>
      <c r="P16" s="86"/>
      <c r="Q16" s="87"/>
      <c r="R16" s="87">
        <f>P16-Q16</f>
        <v>0</v>
      </c>
      <c r="S16" s="88"/>
      <c r="T16" s="86"/>
      <c r="U16" s="86"/>
      <c r="V16" s="87"/>
      <c r="W16" s="89">
        <f>U16-V16</f>
        <v>0</v>
      </c>
      <c r="X16" s="90"/>
      <c r="Y16" s="86"/>
      <c r="Z16" s="86"/>
      <c r="AA16" s="87"/>
      <c r="AB16" s="89">
        <f>Z16-AA16</f>
        <v>0</v>
      </c>
      <c r="AC16" s="90"/>
      <c r="AD16" s="86"/>
      <c r="AE16" s="86"/>
      <c r="AF16" s="87"/>
      <c r="AG16" s="89">
        <f>AE16-AF16</f>
        <v>0</v>
      </c>
      <c r="AH16" s="90"/>
      <c r="AI16" s="86"/>
      <c r="AJ16" s="86"/>
      <c r="AK16" s="87"/>
      <c r="AL16" s="89">
        <f>AJ16-AK16</f>
        <v>0</v>
      </c>
      <c r="AM16" s="90"/>
      <c r="AN16" s="86"/>
      <c r="AO16" s="86"/>
      <c r="AP16" s="87"/>
      <c r="AQ16" s="89">
        <f>AO16-AP16</f>
        <v>0</v>
      </c>
      <c r="AR16" s="90"/>
      <c r="AS16" s="86"/>
      <c r="AT16" s="86"/>
      <c r="AU16" s="87"/>
      <c r="AV16" s="89">
        <f>AT16-AU16</f>
        <v>0</v>
      </c>
      <c r="AW16" s="90"/>
      <c r="AX16" s="86"/>
      <c r="AY16" s="86"/>
      <c r="AZ16" s="87"/>
      <c r="BA16" s="89">
        <f>AY16-AZ16</f>
        <v>0</v>
      </c>
      <c r="BB16" s="90"/>
      <c r="BC16" s="86"/>
      <c r="BD16" s="86"/>
      <c r="BE16" s="87"/>
      <c r="BF16" s="89">
        <f>BD16-BE16</f>
        <v>0</v>
      </c>
      <c r="BG16" s="90"/>
      <c r="BH16" s="86"/>
      <c r="BI16" s="86"/>
      <c r="BJ16" s="87"/>
      <c r="BK16" s="89">
        <f>BI16-BJ16</f>
        <v>0</v>
      </c>
      <c r="BL16" s="90"/>
      <c r="BM16" s="86"/>
      <c r="BN16" s="86"/>
      <c r="BO16" s="87"/>
      <c r="BP16" s="89">
        <f>BN16-BO16</f>
        <v>0</v>
      </c>
      <c r="BQ16" s="90"/>
      <c r="BR16" s="86"/>
      <c r="BS16" s="86"/>
      <c r="BT16" s="87"/>
      <c r="BU16" s="89">
        <f>BS16-BT16</f>
        <v>0</v>
      </c>
      <c r="BV16" s="88">
        <v>0</v>
      </c>
      <c r="BW16" s="92"/>
      <c r="BX16" s="93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</row>
    <row r="17" spans="1:139" s="9" customFormat="1" ht="15.75" thickBot="1" x14ac:dyDescent="0.3">
      <c r="A17" s="66" t="s">
        <v>95</v>
      </c>
      <c r="B17" s="67"/>
      <c r="C17" s="68"/>
      <c r="D17" s="68"/>
      <c r="E17" s="69"/>
      <c r="F17" s="69"/>
      <c r="G17" s="69"/>
      <c r="H17" s="69"/>
      <c r="I17" s="69"/>
      <c r="J17" s="69"/>
      <c r="K17" s="70"/>
      <c r="L17" s="69"/>
      <c r="M17" s="71"/>
      <c r="N17" s="72"/>
      <c r="O17" s="73"/>
      <c r="P17" s="73"/>
      <c r="Q17" s="74"/>
      <c r="R17" s="74" t="str">
        <f>IF(OR(P17="",Q17=""),"",P17-Q17)</f>
        <v/>
      </c>
      <c r="S17" s="75"/>
      <c r="T17" s="73"/>
      <c r="U17" s="73"/>
      <c r="V17" s="74"/>
      <c r="W17" s="76"/>
      <c r="X17" s="77"/>
      <c r="Y17" s="73"/>
      <c r="Z17" s="73"/>
      <c r="AA17" s="74"/>
      <c r="AB17" s="76"/>
      <c r="AC17" s="77"/>
      <c r="AD17" s="73"/>
      <c r="AE17" s="73"/>
      <c r="AF17" s="74"/>
      <c r="AG17" s="76" t="str">
        <f t="shared" ref="AG17" si="0">IF(OR(AE17="",AF17=""),"",AE17-AF17)</f>
        <v/>
      </c>
      <c r="AH17" s="77"/>
      <c r="AI17" s="73"/>
      <c r="AJ17" s="73"/>
      <c r="AK17" s="74"/>
      <c r="AL17" s="76" t="str">
        <f t="shared" ref="AL17" si="1">IF(OR(AJ17="",AK17=""),"",AJ17-AK17)</f>
        <v/>
      </c>
      <c r="AM17" s="77"/>
      <c r="AN17" s="73"/>
      <c r="AO17" s="73"/>
      <c r="AP17" s="74"/>
      <c r="AQ17" s="76" t="str">
        <f t="shared" ref="AQ17" si="2">IF(OR(AO17="",AP17=""),"",AO17-AP17)</f>
        <v/>
      </c>
      <c r="AR17" s="77"/>
      <c r="AS17" s="73"/>
      <c r="AT17" s="73"/>
      <c r="AU17" s="74"/>
      <c r="AV17" s="76" t="str">
        <f t="shared" ref="AV17" si="3">IF(OR(AT17="",AU17=""),"",AT17-AU17)</f>
        <v/>
      </c>
      <c r="AW17" s="77"/>
      <c r="AX17" s="73"/>
      <c r="AY17" s="73"/>
      <c r="AZ17" s="74"/>
      <c r="BA17" s="76" t="str">
        <f t="shared" ref="BA17" si="4">IF(OR(AY17="",AZ17=""),"",AY17-AZ17)</f>
        <v/>
      </c>
      <c r="BB17" s="77"/>
      <c r="BC17" s="73"/>
      <c r="BD17" s="73"/>
      <c r="BE17" s="74"/>
      <c r="BF17" s="76" t="str">
        <f t="shared" ref="BF17" si="5">IF(OR(BD17="",BE17=""),"",BD17-BE17)</f>
        <v/>
      </c>
      <c r="BG17" s="77"/>
      <c r="BH17" s="73"/>
      <c r="BI17" s="73"/>
      <c r="BJ17" s="74"/>
      <c r="BK17" s="76" t="str">
        <f t="shared" ref="BK17" si="6">IF(OR(BI17="",BJ17=""),"",BI17-BJ17)</f>
        <v/>
      </c>
      <c r="BL17" s="77"/>
      <c r="BM17" s="73"/>
      <c r="BN17" s="73"/>
      <c r="BO17" s="74"/>
      <c r="BP17" s="76" t="str">
        <f t="shared" ref="BP17" si="7">IF(OR(BN17="",BO17=""),"",BN17-BO17)</f>
        <v/>
      </c>
      <c r="BQ17" s="77"/>
      <c r="BR17" s="73"/>
      <c r="BS17" s="73"/>
      <c r="BT17" s="74"/>
      <c r="BU17" s="76" t="str">
        <f t="shared" ref="BU17" si="8">IF(OR(BS17="",BT17=""),"",BS17-BT17)</f>
        <v/>
      </c>
      <c r="BV17" s="75">
        <f t="shared" ref="BV17" si="9">SUM(IF(Q17&lt;&gt;"",Q17,IF(P17&lt;&gt;"",P17,O17)),IF(V17&lt;&gt;"",V17,IF(U17&lt;&gt;"",U17,T17)),IF(AA17&lt;&gt;"",AA17,IF(Z17&lt;&gt;"",Z17,Y17)),IF(AF17&lt;&gt;"",AF17,IF(AE17&lt;&gt;"",AE17,AD17)),IF(AK17&lt;&gt;"",AK17,IF(AJ17&lt;&gt;"",AJ17,AI17)),IF(AP17&lt;&gt;"",AP17,IF(AO17&lt;&gt;"",AO17,AN17)),IF(AU17&lt;&gt;"",AU17,IF(AT17&lt;&gt;"",AT17,AS17)),IF(AZ17&lt;&gt;"",AZ17,IF(AY17&lt;&gt;"",AY17,AX17)),IF(BE17&lt;&gt;"",BE17,IF(BD17&lt;&gt;"",BD17,BC17)),IF(BJ17&lt;&gt;"",BJ17,IF(BI17&lt;&gt;"",BI17,BH17)),IF(BO17&lt;&gt;"",BO17,IF(BN17&lt;&gt;"",BN17,BM17)),IF(BT17&lt;&gt;"",BT17,IF(BS17&lt;&gt;"",BS17,BR17)))</f>
        <v>0</v>
      </c>
      <c r="BW17" s="53"/>
      <c r="BX17" s="49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</row>
    <row r="18" spans="1:139" x14ac:dyDescent="0.25">
      <c r="A18" t="s">
        <v>96</v>
      </c>
      <c r="AA18" s="3"/>
    </row>
  </sheetData>
  <autoFilter ref="A14:BY18" xr:uid="{177F1DEB-197D-49C6-A2E3-152C1AC7B373}"/>
  <mergeCells count="40">
    <mergeCell ref="A9:B9"/>
    <mergeCell ref="BQ12:BU12"/>
    <mergeCell ref="L11:M11"/>
    <mergeCell ref="L12:M12"/>
    <mergeCell ref="L13:M13"/>
    <mergeCell ref="BB13:BF13"/>
    <mergeCell ref="BG13:BK13"/>
    <mergeCell ref="BL13:BP13"/>
    <mergeCell ref="N12:R12"/>
    <mergeCell ref="S12:W12"/>
    <mergeCell ref="X12:AB12"/>
    <mergeCell ref="AC12:AG12"/>
    <mergeCell ref="AH12:AL12"/>
    <mergeCell ref="AM12:AQ12"/>
    <mergeCell ref="AR12:AV12"/>
    <mergeCell ref="AW12:BA12"/>
    <mergeCell ref="BB12:BF12"/>
    <mergeCell ref="BG12:BK12"/>
    <mergeCell ref="BL12:BP12"/>
    <mergeCell ref="AC13:AG13"/>
    <mergeCell ref="AH13:AL13"/>
    <mergeCell ref="AM13:AQ13"/>
    <mergeCell ref="AR13:AV13"/>
    <mergeCell ref="AW13:BA13"/>
    <mergeCell ref="BQ11:BU11"/>
    <mergeCell ref="BQ13:BU13"/>
    <mergeCell ref="S11:W11"/>
    <mergeCell ref="N11:R11"/>
    <mergeCell ref="X11:AB11"/>
    <mergeCell ref="AC11:AG11"/>
    <mergeCell ref="AH11:AL11"/>
    <mergeCell ref="AM11:AQ11"/>
    <mergeCell ref="AR11:AV11"/>
    <mergeCell ref="AW11:BA11"/>
    <mergeCell ref="BB11:BF11"/>
    <mergeCell ref="BG11:BK11"/>
    <mergeCell ref="BL11:BP11"/>
    <mergeCell ref="S13:W13"/>
    <mergeCell ref="N13:R13"/>
    <mergeCell ref="X13:AB13"/>
  </mergeCells>
  <conditionalFormatting sqref="Q17 V17 AA17 AF17 AK17 AP17 AU17 AZ17 BE17 BJ17 BO17 BT17">
    <cfRule type="expression" dxfId="2" priority="8">
      <formula>IF(AND(P17&gt;0,Q17=0),TRUE,FALSE)</formula>
    </cfRule>
  </conditionalFormatting>
  <conditionalFormatting sqref="BT10 V17:X17 AB17:AC17 AG17:AH17 AL17:AM17 AQ17:AR17 AV17:AW17 BA17:BB17 BF17:BG17 BK17:BL17 BP17:BQ17 BU17">
    <cfRule type="expression" dxfId="1" priority="9">
      <formula>IF(AND(U10&lt;&gt;"",V10="",TODAY()&gt;DATE(YEAR(TODAY()),MONTH(DATEVALUE("1-"&amp;LEFT(#REF!,3)&amp;"-1900")),20)),TRUE,FALSE)</formula>
    </cfRule>
  </conditionalFormatting>
  <conditionalFormatting sqref="BW11:BW12">
    <cfRule type="expression" dxfId="0" priority="7">
      <formula>IF(BW11&lt;0,TRUE,FALSE)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6" ma:contentTypeDescription="Create a new document." ma:contentTypeScope="" ma:versionID="9038a3d09b9201f70a536d69b3ffdde9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c9f1b7b0d1eaccac7f713200a7ec3f32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B6774AE-0D33-4944-9922-507715E1B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infopath/2007/PartnerControls"/>
    <ds:schemaRef ds:uri="8aede0e7-b4a5-4e74-9fbf-51d976a6ba09"/>
    <ds:schemaRef ds:uri="19b1ad6d-7bbd-4338-adb0-a51e11e83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2026-02-18T19:49:11Z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  <property fmtid="{D5CDD505-2E9C-101B-9397-08002B2CF9AE}" pid="10" name="MediaServiceImageTags">
    <vt:lpwstr/>
  </property>
</Properties>
</file>