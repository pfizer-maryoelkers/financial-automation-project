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480" tabRatio="590" firstSheet="0" activeTab="0" autoFilterDateGrouping="1"/>
  </bookViews>
  <sheets>
    <sheet name="Template" sheetId="1" state="visible" r:id="rId1"/>
    <sheet name="Forecast Source Data" sheetId="2" state="visible" r:id="rId2"/>
    <sheet name="Transactions Source Data" sheetId="3" state="visible" r:id="rId3"/>
  </sheets>
  <definedNames>
    <definedName name="_xlnm._FilterDatabase" localSheetId="0" hidden="1">'Template'!$A$14:$BY$18</definedName>
    <definedName name="_xlnm._FilterDatabase" localSheetId="1" hidden="1">'Forecast Source Data'!$A$1:$BZ$2</definedName>
    <definedName name="_xlnm._FilterDatabase" localSheetId="2" hidden="1">'Transactions Source Data'!$A$1:$BH$44</definedName>
  </definedNames>
  <calcPr calcId="191028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0000"/>
    <numFmt numFmtId="166" formatCode="&quot;$&quot;#,##0.00"/>
    <numFmt numFmtId="167" formatCode="[$-409]dd\-mmm\-yy;@"/>
    <numFmt numFmtId="168" formatCode="&quot;$&quot;#,##0.00_);[Red]\(&quot;$&quot;#,##0.00\)"/>
    <numFmt numFmtId="169" formatCode="mmmm\-yyyy"/>
    <numFmt numFmtId="170" formatCode="yyyy-mm-dd h:mm:ss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4F4D4A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4F4D4A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rgb="FF000000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">
    <xf numFmtId="0" fontId="1" fillId="0" borderId="0"/>
    <xf numFmtId="0" fontId="4" fillId="0" borderId="0"/>
    <xf numFmtId="44" fontId="1" fillId="0" borderId="0"/>
    <xf numFmtId="0" fontId="8" fillId="0" borderId="0"/>
  </cellStyleXfs>
  <cellXfs count="139">
    <xf numFmtId="0" fontId="0" fillId="0" borderId="0" pivotButton="0" quotePrefix="0" xfId="0"/>
    <xf numFmtId="2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  <xf numFmtId="0" fontId="0" fillId="4" borderId="0" pivotButton="0" quotePrefix="0" xfId="0"/>
    <xf numFmtId="3" fontId="0" fillId="3" borderId="0" applyAlignment="1" pivotButton="0" quotePrefix="0" xfId="0">
      <alignment horizontal="left"/>
    </xf>
    <xf numFmtId="0" fontId="3" fillId="0" borderId="0" pivotButton="0" quotePrefix="0" xfId="0"/>
    <xf numFmtId="3" fontId="7" fillId="4" borderId="0" applyAlignment="1" pivotButton="0" quotePrefix="0" xfId="0">
      <alignment horizontal="left"/>
    </xf>
    <xf numFmtId="3" fontId="7" fillId="0" borderId="0" pivotButton="0" quotePrefix="0" xfId="0"/>
    <xf numFmtId="0" fontId="0" fillId="3" borderId="0" pivotButton="0" quotePrefix="0" xfId="0"/>
    <xf numFmtId="4" fontId="12" fillId="0" borderId="0" applyAlignment="1" pivotButton="0" quotePrefix="0" xfId="0">
      <alignment horizontal="center"/>
    </xf>
    <xf numFmtId="4" fontId="12" fillId="0" borderId="0" pivotButton="0" quotePrefix="0" xfId="0"/>
    <xf numFmtId="3" fontId="6" fillId="0" borderId="0" applyAlignment="1" pivotButton="0" quotePrefix="0" xfId="0">
      <alignment horizontal="center"/>
    </xf>
    <xf numFmtId="0" fontId="0" fillId="2" borderId="14" pivotButton="0" quotePrefix="0" xfId="0"/>
    <xf numFmtId="0" fontId="0" fillId="2" borderId="15" pivotButton="0" quotePrefix="0" xfId="0"/>
    <xf numFmtId="0" fontId="5" fillId="2" borderId="16" pivotButton="0" quotePrefix="0" xfId="0"/>
    <xf numFmtId="0" fontId="0" fillId="2" borderId="16" pivotButton="0" quotePrefix="0" xfId="0"/>
    <xf numFmtId="0" fontId="0" fillId="2" borderId="17" pivotButton="0" quotePrefix="0" xfId="0"/>
    <xf numFmtId="0" fontId="0" fillId="2" borderId="18" pivotButton="0" quotePrefix="0" xfId="0"/>
    <xf numFmtId="164" fontId="0" fillId="2" borderId="19" applyAlignment="1" pivotButton="0" quotePrefix="0" xfId="0">
      <alignment horizontal="right"/>
    </xf>
    <xf numFmtId="164" fontId="3" fillId="2" borderId="19" applyAlignment="1" pivotButton="0" quotePrefix="0" xfId="0">
      <alignment horizontal="center"/>
    </xf>
    <xf numFmtId="0" fontId="0" fillId="2" borderId="19" pivotButton="0" quotePrefix="0" xfId="0"/>
    <xf numFmtId="0" fontId="0" fillId="2" borderId="20" pivotButton="0" quotePrefix="0" xfId="0"/>
    <xf numFmtId="0" fontId="13" fillId="0" borderId="24" applyAlignment="1" pivotButton="0" quotePrefix="0" xfId="0">
      <alignment horizontal="left" vertical="center"/>
    </xf>
    <xf numFmtId="0" fontId="13" fillId="0" borderId="26" applyAlignment="1" pivotButton="0" quotePrefix="0" xfId="0">
      <alignment horizontal="left" vertical="center"/>
    </xf>
    <xf numFmtId="0" fontId="13" fillId="0" borderId="23" applyAlignment="1" pivotButton="0" quotePrefix="0" xfId="0">
      <alignment horizontal="left"/>
    </xf>
    <xf numFmtId="165" fontId="13" fillId="0" borderId="23" applyAlignment="1" pivotButton="0" quotePrefix="0" xfId="0">
      <alignment horizontal="left" vertical="center"/>
    </xf>
    <xf numFmtId="165" fontId="13" fillId="0" borderId="25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" borderId="15" applyAlignment="1" pivotButton="0" quotePrefix="0" xfId="0">
      <alignment horizontal="right"/>
    </xf>
    <xf numFmtId="0" fontId="4" fillId="2" borderId="0" applyAlignment="1" pivotButton="0" quotePrefix="0" xfId="1">
      <alignment horizontal="right"/>
    </xf>
    <xf numFmtId="0" fontId="0" fillId="2" borderId="28" pivotButton="0" quotePrefix="0" xfId="0"/>
    <xf numFmtId="0" fontId="0" fillId="2" borderId="0" applyAlignment="1" pivotButton="0" quotePrefix="0" xfId="0">
      <alignment horizontal="right" wrapText="1"/>
    </xf>
    <xf numFmtId="4" fontId="6" fillId="2" borderId="0" pivotButton="0" quotePrefix="0" xfId="0"/>
    <xf numFmtId="0" fontId="5" fillId="2" borderId="0" pivotButton="0" quotePrefix="0" xfId="0"/>
    <xf numFmtId="3" fontId="2" fillId="2" borderId="17" pivotButton="0" quotePrefix="0" xfId="0"/>
    <xf numFmtId="0" fontId="0" fillId="2" borderId="0" applyAlignment="1" pivotButton="0" quotePrefix="0" xfId="0">
      <alignment horizontal="right"/>
    </xf>
    <xf numFmtId="0" fontId="0" fillId="2" borderId="0" pivotButton="0" quotePrefix="0" xfId="0"/>
    <xf numFmtId="3" fontId="0" fillId="2" borderId="17" pivotButton="0" quotePrefix="0" xfId="0"/>
    <xf numFmtId="4" fontId="6" fillId="2" borderId="0" applyAlignment="1" pivotButton="0" quotePrefix="0" xfId="0">
      <alignment horizontal="right"/>
    </xf>
    <xf numFmtId="0" fontId="3" fillId="2" borderId="0" pivotButton="0" quotePrefix="0" xfId="0"/>
    <xf numFmtId="166" fontId="0" fillId="0" borderId="0" applyAlignment="1" pivotButton="0" quotePrefix="0" xfId="0">
      <alignment horizontal="left"/>
    </xf>
    <xf numFmtId="166" fontId="3" fillId="0" borderId="0" applyAlignment="1" pivotButton="0" quotePrefix="0" xfId="0">
      <alignment horizontal="left"/>
    </xf>
    <xf numFmtId="166" fontId="12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left"/>
    </xf>
    <xf numFmtId="0" fontId="3" fillId="6" borderId="29" pivotButton="0" quotePrefix="0" xfId="0"/>
    <xf numFmtId="3" fontId="2" fillId="2" borderId="0" pivotButton="0" quotePrefix="0" xfId="0"/>
    <xf numFmtId="3" fontId="0" fillId="2" borderId="0" pivotButton="0" quotePrefix="0" xfId="0"/>
    <xf numFmtId="0" fontId="9" fillId="2" borderId="31" applyAlignment="1" pivotButton="0" quotePrefix="0" xfId="3">
      <alignment wrapText="1"/>
    </xf>
    <xf numFmtId="0" fontId="0" fillId="3" borderId="34" pivotButton="0" quotePrefix="0" xfId="0"/>
    <xf numFmtId="164" fontId="9" fillId="2" borderId="15" applyAlignment="1" pivotButton="0" quotePrefix="0" xfId="3">
      <alignment horizontal="center" wrapText="1"/>
    </xf>
    <xf numFmtId="164" fontId="9" fillId="2" borderId="35" applyAlignment="1" pivotButton="0" quotePrefix="0" xfId="3">
      <alignment horizontal="center" wrapText="1"/>
    </xf>
    <xf numFmtId="164" fontId="9" fillId="2" borderId="30" applyAlignment="1" pivotButton="0" quotePrefix="0" xfId="3">
      <alignment horizontal="center" wrapText="1"/>
    </xf>
    <xf numFmtId="3" fontId="0" fillId="3" borderId="36" pivotButton="0" quotePrefix="0" xfId="0"/>
    <xf numFmtId="166" fontId="3" fillId="6" borderId="41" applyAlignment="1" pivotButton="0" quotePrefix="0" xfId="0">
      <alignment horizontal="left"/>
    </xf>
    <xf numFmtId="4" fontId="6" fillId="7" borderId="0" pivotButton="0" quotePrefix="0" xfId="0"/>
    <xf numFmtId="0" fontId="9" fillId="2" borderId="42" applyAlignment="1" pivotButton="0" quotePrefix="0" xfId="3">
      <alignment horizontal="left" wrapText="1"/>
    </xf>
    <xf numFmtId="1" fontId="10" fillId="2" borderId="30" applyAlignment="1" pivotButton="0" quotePrefix="0" xfId="3">
      <alignment horizontal="right" wrapText="1"/>
    </xf>
    <xf numFmtId="1" fontId="10" fillId="2" borderId="30" applyAlignment="1" pivotButton="0" quotePrefix="0" xfId="3">
      <alignment horizontal="center" wrapText="1"/>
    </xf>
    <xf numFmtId="167" fontId="10" fillId="2" borderId="30" applyAlignment="1" pivotButton="0" quotePrefix="0" xfId="3">
      <alignment horizontal="center" wrapText="1"/>
    </xf>
    <xf numFmtId="0" fontId="10" fillId="2" borderId="30" applyAlignment="1" pivotButton="0" quotePrefix="0" xfId="3">
      <alignment horizontal="center" wrapText="1"/>
    </xf>
    <xf numFmtId="166" fontId="9" fillId="2" borderId="30" applyAlignment="1" pivotButton="0" quotePrefix="0" xfId="3">
      <alignment horizontal="left" wrapText="1"/>
    </xf>
    <xf numFmtId="0" fontId="3" fillId="2" borderId="15" applyAlignment="1" pivotButton="0" quotePrefix="0" xfId="0">
      <alignment wrapText="1"/>
    </xf>
    <xf numFmtId="164" fontId="9" fillId="2" borderId="43" applyAlignment="1" pivotButton="0" quotePrefix="0" xfId="3">
      <alignment horizontal="center" wrapText="1"/>
    </xf>
    <xf numFmtId="164" fontId="9" fillId="2" borderId="44" applyAlignment="1" pivotButton="0" quotePrefix="0" xfId="3">
      <alignment horizontal="center" wrapText="1"/>
    </xf>
    <xf numFmtId="164" fontId="9" fillId="2" borderId="45" applyAlignment="1" pivotButton="0" quotePrefix="0" xfId="3">
      <alignment horizontal="center" wrapText="1"/>
    </xf>
    <xf numFmtId="0" fontId="0" fillId="3" borderId="46" pivotButton="0" quotePrefix="0" xfId="0"/>
    <xf numFmtId="0" fontId="0" fillId="3" borderId="47" applyAlignment="1" pivotButton="0" quotePrefix="0" xfId="0">
      <alignment horizontal="right"/>
    </xf>
    <xf numFmtId="14" fontId="0" fillId="3" borderId="47" pivotButton="0" quotePrefix="0" xfId="0"/>
    <xf numFmtId="0" fontId="0" fillId="3" borderId="47" pivotButton="0" quotePrefix="0" xfId="0"/>
    <xf numFmtId="166" fontId="0" fillId="3" borderId="47" applyAlignment="1" pivotButton="0" quotePrefix="0" xfId="0">
      <alignment horizontal="left"/>
    </xf>
    <xf numFmtId="0" fontId="0" fillId="3" borderId="48" pivotButton="0" quotePrefix="0" xfId="0"/>
    <xf numFmtId="3" fontId="0" fillId="3" borderId="49" pivotButton="0" quotePrefix="0" xfId="0"/>
    <xf numFmtId="3" fontId="0" fillId="3" borderId="47" pivotButton="0" quotePrefix="0" xfId="0"/>
    <xf numFmtId="3" fontId="0" fillId="3" borderId="50" pivotButton="0" quotePrefix="0" xfId="0"/>
    <xf numFmtId="3" fontId="0" fillId="3" borderId="51" pivotButton="0" quotePrefix="0" xfId="0"/>
    <xf numFmtId="3" fontId="0" fillId="3" borderId="52" pivotButton="0" quotePrefix="0" xfId="0"/>
    <xf numFmtId="3" fontId="0" fillId="3" borderId="19" pivotButton="0" quotePrefix="0" xfId="0"/>
    <xf numFmtId="0" fontId="14" fillId="0" borderId="0" pivotButton="0" quotePrefix="0" xfId="0"/>
    <xf numFmtId="0" fontId="14" fillId="0" borderId="23" pivotButton="0" quotePrefix="0" xfId="0"/>
    <xf numFmtId="0" fontId="14" fillId="0" borderId="27" pivotButton="0" quotePrefix="0" xfId="0"/>
    <xf numFmtId="0" fontId="14" fillId="0" borderId="39" pivotButton="0" quotePrefix="0" xfId="0"/>
    <xf numFmtId="0" fontId="14" fillId="0" borderId="10" pivotButton="0" quotePrefix="0" xfId="0"/>
    <xf numFmtId="0" fontId="14" fillId="0" borderId="8" pivotButton="0" quotePrefix="0" xfId="0"/>
    <xf numFmtId="0" fontId="14" fillId="0" borderId="9" pivotButton="0" quotePrefix="0" xfId="0"/>
    <xf numFmtId="0" fontId="14" fillId="0" borderId="7" pivotButton="0" quotePrefix="0" xfId="0"/>
    <xf numFmtId="0" fontId="14" fillId="0" borderId="11" pivotButton="0" quotePrefix="0" xfId="0"/>
    <xf numFmtId="0" fontId="14" fillId="0" borderId="12" pivotButton="0" quotePrefix="0" xfId="0"/>
    <xf numFmtId="0" fontId="14" fillId="0" borderId="3" pivotButton="0" quotePrefix="0" xfId="0"/>
    <xf numFmtId="0" fontId="14" fillId="8" borderId="10" pivotButton="0" quotePrefix="0" xfId="0"/>
    <xf numFmtId="0" fontId="14" fillId="0" borderId="33" pivotButton="0" quotePrefix="0" xfId="0"/>
    <xf numFmtId="0" fontId="14" fillId="0" borderId="32" pivotButton="0" quotePrefix="0" xfId="0"/>
    <xf numFmtId="0" fontId="14" fillId="0" borderId="13" pivotButton="0" quotePrefix="0" xfId="0"/>
    <xf numFmtId="0" fontId="14" fillId="0" borderId="13" applyAlignment="1" pivotButton="0" quotePrefix="0" xfId="0">
      <alignment horizontal="left"/>
    </xf>
    <xf numFmtId="0" fontId="14" fillId="0" borderId="53" pivotButton="0" quotePrefix="0" xfId="0"/>
    <xf numFmtId="0" fontId="14" fillId="0" borderId="54" pivotButton="0" quotePrefix="0" xfId="0"/>
    <xf numFmtId="14" fontId="14" fillId="0" borderId="27" pivotButton="0" quotePrefix="0" xfId="0"/>
    <xf numFmtId="168" fontId="14" fillId="0" borderId="27" applyAlignment="1" pivotButton="0" quotePrefix="0" xfId="0">
      <alignment horizontal="left"/>
    </xf>
    <xf numFmtId="14" fontId="14" fillId="0" borderId="13" pivotButton="0" quotePrefix="0" xfId="0"/>
    <xf numFmtId="168" fontId="14" fillId="0" borderId="13" applyAlignment="1" pivotButton="0" quotePrefix="0" xfId="0">
      <alignment horizontal="left"/>
    </xf>
    <xf numFmtId="0" fontId="14" fillId="0" borderId="55" applyAlignment="1" pivotButton="0" quotePrefix="0" xfId="0">
      <alignment wrapText="1"/>
    </xf>
    <xf numFmtId="0" fontId="14" fillId="0" borderId="22" pivotButton="0" quotePrefix="0" xfId="0"/>
    <xf numFmtId="0" fontId="14" fillId="0" borderId="27" applyAlignment="1" pivotButton="0" quotePrefix="0" xfId="0">
      <alignment wrapText="1"/>
    </xf>
    <xf numFmtId="0" fontId="14" fillId="0" borderId="24" pivotButton="0" quotePrefix="0" xfId="0"/>
    <xf numFmtId="0" fontId="14" fillId="0" borderId="40" applyAlignment="1" pivotButton="0" quotePrefix="0" xfId="0">
      <alignment wrapText="1"/>
    </xf>
    <xf numFmtId="0" fontId="3" fillId="5" borderId="21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center" vertical="center" wrapText="1"/>
    </xf>
    <xf numFmtId="3" fontId="3" fillId="2" borderId="4" applyAlignment="1" pivotButton="0" quotePrefix="0" xfId="0">
      <alignment horizontal="center"/>
    </xf>
    <xf numFmtId="3" fontId="3" fillId="2" borderId="5" applyAlignment="1" pivotButton="0" quotePrefix="0" xfId="0">
      <alignment horizontal="center"/>
    </xf>
    <xf numFmtId="3" fontId="3" fillId="2" borderId="6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7" fillId="0" borderId="2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2" applyAlignment="1" pivotButton="0" quotePrefix="0" xfId="0">
      <alignment horizontal="right"/>
    </xf>
    <xf numFmtId="169" fontId="3" fillId="2" borderId="37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169" fontId="3" fillId="2" borderId="38" applyAlignment="1" pivotButton="0" quotePrefix="0" xfId="0">
      <alignment horizontal="center"/>
    </xf>
    <xf numFmtId="166" fontId="0" fillId="0" borderId="0" applyAlignment="1" pivotButton="0" quotePrefix="0" xfId="0">
      <alignment horizontal="left"/>
    </xf>
    <xf numFmtId="166" fontId="3" fillId="0" borderId="0" applyAlignment="1" pivotButton="0" quotePrefix="0" xfId="0">
      <alignment horizontal="left"/>
    </xf>
    <xf numFmtId="0" fontId="0" fillId="0" borderId="59" pivotButton="0" quotePrefix="0" xfId="0"/>
    <xf numFmtId="166" fontId="12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left"/>
    </xf>
    <xf numFmtId="165" fontId="13" fillId="0" borderId="23" applyAlignment="1" pivotButton="0" quotePrefix="0" xfId="0">
      <alignment horizontal="left" vertical="center"/>
    </xf>
    <xf numFmtId="0" fontId="0" fillId="0" borderId="2" pivotButton="0" quotePrefix="0" xfId="0"/>
    <xf numFmtId="3" fontId="3" fillId="2" borderId="56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165" fontId="13" fillId="0" borderId="25" applyAlignment="1" pivotButton="0" quotePrefix="0" xfId="0">
      <alignment horizontal="left" vertical="center"/>
    </xf>
    <xf numFmtId="166" fontId="3" fillId="6" borderId="41" applyAlignment="1" pivotButton="0" quotePrefix="0" xfId="0">
      <alignment horizontal="left"/>
    </xf>
    <xf numFmtId="169" fontId="3" fillId="2" borderId="37" applyAlignment="1" pivotButton="0" quotePrefix="0" xfId="0">
      <alignment horizontal="center"/>
    </xf>
    <xf numFmtId="0" fontId="0" fillId="0" borderId="1" pivotButton="0" quotePrefix="0" xfId="0"/>
    <xf numFmtId="169" fontId="3" fillId="2" borderId="57" applyAlignment="1" pivotButton="0" quotePrefix="0" xfId="0">
      <alignment horizontal="center"/>
    </xf>
    <xf numFmtId="0" fontId="0" fillId="0" borderId="38" pivotButton="0" quotePrefix="0" xfId="0"/>
    <xf numFmtId="167" fontId="10" fillId="2" borderId="30" applyAlignment="1" pivotButton="0" quotePrefix="0" xfId="3">
      <alignment horizontal="center" wrapText="1"/>
    </xf>
    <xf numFmtId="166" fontId="9" fillId="2" borderId="30" applyAlignment="1" pivotButton="0" quotePrefix="0" xfId="3">
      <alignment horizontal="left" wrapText="1"/>
    </xf>
    <xf numFmtId="168" fontId="14" fillId="0" borderId="27" applyAlignment="1" pivotButton="0" quotePrefix="0" xfId="0">
      <alignment horizontal="left"/>
    </xf>
    <xf numFmtId="168" fontId="14" fillId="0" borderId="13" applyAlignment="1" pivotButton="0" quotePrefix="0" xfId="0">
      <alignment horizontal="left"/>
    </xf>
    <xf numFmtId="166" fontId="0" fillId="3" borderId="47" applyAlignment="1" pivotButton="0" quotePrefix="0" xfId="0">
      <alignment horizontal="left"/>
    </xf>
    <xf numFmtId="170" fontId="0" fillId="0" borderId="0" pivotButton="0" quotePrefix="0" xfId="0"/>
  </cellXfs>
  <cellStyles count="4">
    <cellStyle name="Normal" xfId="0" builtinId="0"/>
    <cellStyle name="Hyperlink 2" xfId="1"/>
    <cellStyle name="Currency 2" xfId="2"/>
    <cellStyle name="Normal 2 2" xfId="3"/>
  </cellStyles>
  <dxfs count="3"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66"/>
  <sheetViews>
    <sheetView showGridLines="0" tabSelected="1" zoomScale="80" zoomScaleNormal="80" workbookViewId="0">
      <selection activeCell="P15" sqref="P15"/>
    </sheetView>
  </sheetViews>
  <sheetFormatPr baseColWidth="8" defaultRowHeight="15"/>
  <cols>
    <col width="22.7109375" bestFit="1" customWidth="1" min="1" max="1"/>
    <col width="14.7109375" bestFit="1" customWidth="1" style="28" min="2" max="2"/>
    <col width="12.28515625" customWidth="1" min="3" max="3"/>
    <col width="11.5703125" customWidth="1" min="4" max="4"/>
    <col width="14.28515625" customWidth="1" min="5" max="5"/>
    <col width="24.42578125" bestFit="1" customWidth="1" min="6" max="6"/>
    <col width="13.85546875" bestFit="1" customWidth="1" min="7" max="7"/>
    <col width="10.85546875" customWidth="1" min="8" max="10"/>
    <col width="15.5703125" bestFit="1" customWidth="1" style="117" min="11" max="11"/>
    <col width="37.140625" customWidth="1" min="12" max="12"/>
    <col width="12.42578125" customWidth="1" min="13" max="13"/>
    <col width="8.85546875" customWidth="1" min="14" max="73"/>
    <col width="10.85546875" customWidth="1" min="74" max="74"/>
    <col width="15.5703125" customWidth="1" min="75" max="75"/>
    <col width="16.7109375" customWidth="1" min="76" max="76"/>
  </cols>
  <sheetData>
    <row r="1" ht="15.75" customHeight="1" thickBot="1"/>
    <row r="2">
      <c r="A2" s="13" t="n"/>
      <c r="B2" s="29" t="n"/>
      <c r="C2" s="14" t="n"/>
      <c r="D2" s="14" t="n"/>
      <c r="E2" s="14" t="n"/>
      <c r="F2" s="14" t="n"/>
      <c r="G2" s="31" t="n"/>
      <c r="H2" s="37" t="n"/>
      <c r="I2" s="37" t="n"/>
      <c r="J2" s="37" t="n"/>
    </row>
    <row r="3">
      <c r="A3" s="15" t="inlineStr">
        <is>
          <t xml:space="preserve">Overall Capital </t>
        </is>
      </c>
      <c r="B3" s="32" t="n"/>
      <c r="C3" s="33" t="n"/>
      <c r="D3" s="34" t="inlineStr">
        <is>
          <t>N/A</t>
        </is>
      </c>
      <c r="E3" s="34" t="n">
        <v>2026</v>
      </c>
      <c r="F3" s="34" t="n"/>
      <c r="G3" s="35">
        <f>C3</f>
        <v/>
      </c>
      <c r="H3" s="46" t="n"/>
      <c r="I3" s="46" t="n"/>
      <c r="J3" s="46" t="n"/>
      <c r="S3" s="1" t="n"/>
      <c r="T3" s="1" t="n"/>
      <c r="U3" s="1" t="n"/>
    </row>
    <row r="4">
      <c r="A4" s="15" t="inlineStr">
        <is>
          <t>Overall Expense</t>
        </is>
      </c>
      <c r="B4" s="36" t="inlineStr">
        <is>
          <t>WBS code</t>
        </is>
      </c>
      <c r="C4" s="33" t="n">
        <v>0</v>
      </c>
      <c r="D4" s="34" t="n">
        <v>2321511</v>
      </c>
      <c r="E4" s="34" t="n">
        <v>2026</v>
      </c>
      <c r="F4" s="34" t="n"/>
      <c r="G4" s="35" t="n">
        <v>0</v>
      </c>
      <c r="H4" s="46" t="n"/>
      <c r="I4" s="46" t="n"/>
      <c r="J4" s="46" t="n"/>
    </row>
    <row r="5">
      <c r="A5" s="16" t="inlineStr">
        <is>
          <t xml:space="preserve">P3 ID </t>
        </is>
      </c>
      <c r="B5" s="30" t="n"/>
      <c r="C5" s="37" t="n"/>
      <c r="D5" s="37" t="n"/>
      <c r="E5" s="37" t="n"/>
      <c r="F5" s="37" t="n"/>
      <c r="G5" s="38" t="n"/>
      <c r="H5" s="47" t="n"/>
      <c r="I5" s="47" t="n"/>
      <c r="J5" s="47" t="n"/>
    </row>
    <row r="6">
      <c r="A6" s="16" t="inlineStr">
        <is>
          <t>[Put P3 ID here]</t>
        </is>
      </c>
      <c r="B6" s="39" t="inlineStr">
        <is>
          <t>Type of Spend</t>
        </is>
      </c>
      <c r="C6" s="37" t="n"/>
      <c r="D6" s="37" t="n"/>
      <c r="E6" s="40">
        <f>IF(SUMIFS(BV:BV,A:A,"Contingency")&gt;0,"Contingency is "&amp;TEXT(SUMIFS(BV:BV,A:A,"Contingency"),"$#,##"),IF(SUMIFS(BV:BV,A:A,"Contingency")&lt;0,"Overspent by "&amp;TEXT(SUMIFS(BV:BV,A:A,"Contingency"),"$#,##"),"No contingency"))</f>
        <v/>
      </c>
      <c r="F6" s="40" t="n"/>
      <c r="G6" s="17" t="n"/>
      <c r="H6" s="37" t="n"/>
      <c r="I6" s="37" t="n"/>
      <c r="J6" s="37" t="n"/>
      <c r="K6" s="118" t="n"/>
      <c r="L6" s="6" t="n"/>
    </row>
    <row r="7" ht="15.75" customHeight="1" thickBot="1">
      <c r="A7" s="18" t="n"/>
      <c r="B7" s="19" t="n"/>
      <c r="C7" s="20" t="n"/>
      <c r="D7" s="20" t="n"/>
      <c r="E7" s="21" t="n"/>
      <c r="F7" s="21" t="n"/>
      <c r="G7" s="22" t="n"/>
      <c r="H7" s="37" t="n"/>
      <c r="I7" s="37" t="n"/>
      <c r="J7" s="37" t="n"/>
      <c r="S7" s="2" t="n"/>
      <c r="T7" s="2" t="n"/>
      <c r="U7" s="2" t="n"/>
    </row>
    <row r="8" ht="15.75" customHeight="1" thickBot="1"/>
    <row r="9">
      <c r="A9" s="105" t="inlineStr">
        <is>
          <t>Cost Center</t>
        </is>
      </c>
      <c r="B9" s="119" t="n"/>
      <c r="D9" s="55" t="inlineStr">
        <is>
          <t>Open Query</t>
        </is>
      </c>
      <c r="E9" s="10" t="n"/>
      <c r="F9" s="10" t="n"/>
      <c r="G9" s="10" t="n"/>
      <c r="H9" s="10" t="n"/>
      <c r="I9" s="10" t="n"/>
      <c r="J9" s="10" t="n"/>
      <c r="K9" s="120" t="n"/>
    </row>
    <row r="10" ht="15.75" customHeight="1" thickBot="1">
      <c r="A10" s="25" t="inlineStr">
        <is>
          <t>2321511/1400</t>
        </is>
      </c>
      <c r="B10" s="23" t="inlineStr">
        <is>
          <t>Leslie</t>
        </is>
      </c>
      <c r="D10" s="11" t="n"/>
      <c r="E10" s="12" t="n"/>
      <c r="F10" s="12" t="n"/>
      <c r="G10" s="12" t="n"/>
      <c r="H10" s="12" t="n"/>
      <c r="I10" s="12" t="n"/>
      <c r="J10" s="12" t="n"/>
      <c r="K10" s="121" t="n"/>
      <c r="BW10" s="9" t="inlineStr">
        <is>
          <t>Contingency:</t>
        </is>
      </c>
    </row>
    <row r="11" ht="15.75" customHeight="1">
      <c r="A11" s="122" t="inlineStr">
        <is>
          <t>2340691/1400</t>
        </is>
      </c>
      <c r="B11" s="23" t="inlineStr">
        <is>
          <t>Leslie</t>
        </is>
      </c>
      <c r="D11" s="11" t="n"/>
      <c r="E11" s="12" t="n"/>
      <c r="F11" s="12" t="n"/>
      <c r="G11" s="12" t="n"/>
      <c r="H11" s="12" t="n"/>
      <c r="I11" s="12" t="n"/>
      <c r="J11" s="12" t="n"/>
      <c r="K11" s="121" t="n"/>
      <c r="L11" s="111" t="inlineStr">
        <is>
          <t>Planful Actuals</t>
        </is>
      </c>
      <c r="M11" s="123" t="n"/>
      <c r="N11" s="124">
        <f t="array" ref="N11">SUM(Q15:Q65)+SUM(_xlfn._xlws.FILTER(P15:P65,Q15:Q65=""))+SUM(_xlfn._xlws.FILTER(O15:O65,(P15:P65="")*(Q15:Q65="")))+SUMIFS(R15:R65,Q15:Q65,"&lt;&gt;"&amp;"",$P$15:$P$65,"&lt;&gt;"&amp;"")+SUM(N15:N65)</f>
        <v/>
      </c>
      <c r="O11" s="125" t="n"/>
      <c r="P11" s="125" t="n"/>
      <c r="Q11" s="125" t="n"/>
      <c r="R11" s="126" t="n"/>
      <c r="S11" s="124">
        <f t="array" ref="S11">SUM(V15:V65)+SUM(_xlfn._xlws.FILTER(U15:U65,V15:V65=""))+SUM(_xlfn._xlws.FILTER(T15:T65,(U15:U65="")*(V15:V65="")))+SUMIFS(W15:W65,V15:V65,"&lt;&gt;"&amp;"",$P$15:$P$65,"&lt;&gt;"&amp;"")+SUM(S15:S65)</f>
        <v/>
      </c>
      <c r="T11" s="125" t="n"/>
      <c r="U11" s="125" t="n"/>
      <c r="V11" s="125" t="n"/>
      <c r="W11" s="126" t="n"/>
      <c r="X11" s="124">
        <f t="array" ref="X11">SUM(AA15:AA65)+SUM(_xlfn._xlws.FILTER(Z15:Z65,AA15:AA65=""))+SUM(_xlfn._xlws.FILTER(Y15:Y65,(Z15:Z65="")*(AA15:AA65="")))+SUMIFS(AB15:AB65,AA15:AA65,"&lt;&gt;"&amp;"",$P$15:$P$65,"&lt;&gt;"&amp;"")+SUM(X15:X65)</f>
        <v/>
      </c>
      <c r="Y11" s="125" t="n"/>
      <c r="Z11" s="125" t="n"/>
      <c r="AA11" s="125" t="n"/>
      <c r="AB11" s="126" t="n"/>
      <c r="AC11" s="124">
        <f t="array" ref="AC11">SUM(AF15:AF65)+SUM(_xlfn._xlws.FILTER(AE15:AE65,AF15:AF65=""))+SUM(_xlfn._xlws.FILTER(AD15:AD65,(AE15:AE65="")*(AF15:AF65="")))+SUMIFS(AG15:AG65,AF15:AF65,"&lt;&gt;"&amp;"",$P$15:$P$65,"&lt;&gt;"&amp;"")+SUM(AC15:AC65)</f>
        <v/>
      </c>
      <c r="AD11" s="125" t="n"/>
      <c r="AE11" s="125" t="n"/>
      <c r="AF11" s="125" t="n"/>
      <c r="AG11" s="126" t="n"/>
      <c r="AH11" s="124">
        <f t="array" ref="AH11">SUM(AK15:AK65)+SUM(_xlfn._xlws.FILTER(AJ15:AJ65,AK15:AK65=""))+SUM(_xlfn._xlws.FILTER(AI15:AI65,(AJ15:AJ65="")*(AK15:AK65="")))+SUMIFS(AL15:AL65,AK15:AK65,"&lt;&gt;"&amp;"",$P$15:$P$65,"&lt;&gt;"&amp;"")+SUM(AH15:AH65)</f>
        <v/>
      </c>
      <c r="AI11" s="125" t="n"/>
      <c r="AJ11" s="125" t="n"/>
      <c r="AK11" s="125" t="n"/>
      <c r="AL11" s="126" t="n"/>
      <c r="AM11" s="124">
        <f t="array" ref="AM11">SUM(AP15:AP65)+SUM(_xlfn._xlws.FILTER(AO15:AO65,AP15:AP65=""))+SUM(_xlfn._xlws.FILTER(AN15:AN65,(AO15:AO65="")*(AP15:AP65="")))+SUMIFS(AQ15:AQ65,AP15:AP65,"&lt;&gt;"&amp;"",$P$15:$P$65,"&lt;&gt;"&amp;"")+SUM(AM15:AM65)</f>
        <v/>
      </c>
      <c r="AN11" s="125" t="n"/>
      <c r="AO11" s="125" t="n"/>
      <c r="AP11" s="125" t="n"/>
      <c r="AQ11" s="126" t="n"/>
      <c r="AR11" s="124">
        <f t="array" ref="AR11">SUM(AU15:AU65)+SUM(_xlfn._xlws.FILTER(AT15:AT65,AU15:AU65=""))+SUM(_xlfn._xlws.FILTER(AS15:AS65,(AT15:AT65="")*(AU15:AU65="")))+SUMIFS(AV15:AV65,AU15:AU65,"&lt;&gt;"&amp;"",$P$15:$P$65,"&lt;&gt;"&amp;"")+SUM(AR15:AR65)</f>
        <v/>
      </c>
      <c r="AS11" s="125" t="n"/>
      <c r="AT11" s="125" t="n"/>
      <c r="AU11" s="125" t="n"/>
      <c r="AV11" s="126" t="n"/>
      <c r="AW11" s="124">
        <f t="array" ref="AW11">SUM(AZ15:AZ65)+SUM(_xlfn._xlws.FILTER(AY15:AY65,AZ15:AZ65=""))+SUM(_xlfn._xlws.FILTER(AX15:AX65,(AY15:AY65="")*(AZ15:AZ65="")))+SUMIFS(BA15:BA65,AZ15:AZ65,"&lt;&gt;"&amp;"",$P$15:$P$65,"&lt;&gt;"&amp;"")+SUM(AW15:AW65)</f>
        <v/>
      </c>
      <c r="AX11" s="125" t="n"/>
      <c r="AY11" s="125" t="n"/>
      <c r="AZ11" s="125" t="n"/>
      <c r="BA11" s="126" t="n"/>
      <c r="BB11" s="124">
        <f t="array" ref="BB11">SUM(BE15:BE65)+SUM(_xlfn._xlws.FILTER(BD15:BD65,BE15:BE65=""))+SUM(_xlfn._xlws.FILTER(BC15:BC65,(BD15:BD65="")*(BE15:BE65="")))+SUMIFS(BF15:BF65,BE15:BE65,"&lt;&gt;"&amp;"",$P$15:$P$65,"&lt;&gt;"&amp;"")+SUM(BB15:BB65)</f>
        <v/>
      </c>
      <c r="BC11" s="125" t="n"/>
      <c r="BD11" s="125" t="n"/>
      <c r="BE11" s="125" t="n"/>
      <c r="BF11" s="126" t="n"/>
      <c r="BG11" s="124">
        <f t="array" ref="BG11">SUM(BJ15:BJ65)+SUM(_xlfn._xlws.FILTER(BI15:BI65,BJ15:BJ65=""))+SUM(_xlfn._xlws.FILTER(BH15:BH65,(BI15:BI65="")*(BJ15:BJ65="")))+SUMIFS(BK15:BK65,BJ15:BJ65,"&lt;&gt;"&amp;"",$P$15:$P$65,"&lt;&gt;"&amp;"")+SUM(BG15:BG65)</f>
        <v/>
      </c>
      <c r="BH11" s="125" t="n"/>
      <c r="BI11" s="125" t="n"/>
      <c r="BJ11" s="125" t="n"/>
      <c r="BK11" s="126" t="n"/>
      <c r="BL11" s="124">
        <f t="array" ref="BL11">SUM(BO15:BO65)+SUM(_xlfn._xlws.FILTER(BN15:BN65,BO15:BO65=""))+SUM(_xlfn._xlws.FILTER(BM15:BM65,(BN15:BN65="")*(BO15:BO65="")))+SUMIFS(BP15:BP65,BO15:BO65,"&lt;&gt;"&amp;"",$P$15:$P$65,"&lt;&gt;"&amp;"")+SUM(BL15:BL65)</f>
        <v/>
      </c>
      <c r="BM11" s="125" t="n"/>
      <c r="BN11" s="125" t="n"/>
      <c r="BO11" s="125" t="n"/>
      <c r="BP11" s="126" t="n"/>
      <c r="BQ11" s="124">
        <f t="array" ref="BQ11">SUM(BT15:BT65)+SUM(_xlfn._xlws.FILTER(BS15:BS65,BT15:BT65=""))+SUM(_xlfn._xlws.FILTER(BR15:BR65,(BS15:BS65="")*(BT15:BT65="")))+SUMIFS(BU15:BU65,BT15:BT65,"&lt;&gt;"&amp;"",$P$15:$P$65,"&lt;&gt;"&amp;"")+SUM(BQ15:BQ65)</f>
        <v/>
      </c>
      <c r="BR11" s="125" t="n"/>
      <c r="BS11" s="125" t="n"/>
      <c r="BT11" s="125" t="n"/>
      <c r="BU11" s="126" t="n"/>
      <c r="BV11" s="4" t="inlineStr">
        <is>
          <t>Total:</t>
        </is>
      </c>
      <c r="BW11" s="5">
        <f>BW13-BV13</f>
        <v/>
      </c>
    </row>
    <row r="12">
      <c r="A12" s="127" t="inlineStr">
        <is>
          <t>2329948/1400</t>
        </is>
      </c>
      <c r="B12" s="24" t="inlineStr">
        <is>
          <t>Leslie</t>
        </is>
      </c>
      <c r="D12" s="11" t="n"/>
      <c r="E12" s="12" t="n"/>
      <c r="F12" s="12" t="n"/>
      <c r="G12" s="12" t="n"/>
      <c r="H12" s="12" t="n"/>
      <c r="I12" s="12" t="n"/>
      <c r="J12" s="12" t="n"/>
      <c r="K12" s="45" t="inlineStr">
        <is>
          <t>PO TOTAL</t>
        </is>
      </c>
      <c r="L12" s="113" t="inlineStr">
        <is>
          <t xml:space="preserve">Forecast Spreadsheet Actuals: </t>
        </is>
      </c>
      <c r="M12" s="123" t="n"/>
      <c r="N12" s="124">
        <f t="array" ref="N12">SUM(Q15:Q65)+SUM(_xlfn._xlws.FILTER(P15:P65,Q15:Q65=""))+SUM(_xlfn._xlws.FILTER(O15:O65,(P15:P65="")*(Q15:Q65="")))</f>
        <v/>
      </c>
      <c r="O12" s="125" t="n"/>
      <c r="P12" s="125" t="n"/>
      <c r="Q12" s="125" t="n"/>
      <c r="R12" s="126" t="n"/>
      <c r="S12" s="124">
        <f t="array" ref="S12">SUM(V15:V65)+SUM(_xlfn._xlws.FILTER(U15:U65,V15:V65=""))+SUM(_xlfn._xlws.FILTER(T15:T65,(U15:U65="")*(V15:V65="")))</f>
        <v/>
      </c>
      <c r="T12" s="125" t="n"/>
      <c r="U12" s="125" t="n"/>
      <c r="V12" s="125" t="n"/>
      <c r="W12" s="126" t="n"/>
      <c r="X12" s="124">
        <f t="array" ref="X12">SUM(AA15:AA65)+SUM(_xlfn._xlws.FILTER(Z15:Z65,AA15:AA65=""))+SUM(_xlfn._xlws.FILTER(Y15:Y65,(Z15:Z65="")*(AA15:AA65="")))</f>
        <v/>
      </c>
      <c r="Y12" s="125" t="n"/>
      <c r="Z12" s="125" t="n"/>
      <c r="AA12" s="125" t="n"/>
      <c r="AB12" s="126" t="n"/>
      <c r="AC12" s="124">
        <f t="array" ref="AC12">SUM(AF15:AF65)+SUM(_xlfn._xlws.FILTER(AE15:AE65,AF15:AF65=""))+SUM(_xlfn._xlws.FILTER(AD15:AD65,(AE15:AE65="")*(AF15:AF65="")))</f>
        <v/>
      </c>
      <c r="AD12" s="125" t="n"/>
      <c r="AE12" s="125" t="n"/>
      <c r="AF12" s="125" t="n"/>
      <c r="AG12" s="126" t="n"/>
      <c r="AH12" s="124">
        <f t="array" ref="AH12">SUM(AK15:AK65)+SUM(_xlfn._xlws.FILTER(AJ15:AJ65,AK15:AK65=""))+SUM(_xlfn._xlws.FILTER(AI15:AI65,(AJ15:AJ65="")*(AK15:AK65="")))</f>
        <v/>
      </c>
      <c r="AI12" s="125" t="n"/>
      <c r="AJ12" s="125" t="n"/>
      <c r="AK12" s="125" t="n"/>
      <c r="AL12" s="126" t="n"/>
      <c r="AM12" s="124">
        <f t="array" ref="AM12">SUM(AP15:AP65)+SUM(_xlfn._xlws.FILTER(AO15:AO65,AP15:AP65=""))+SUM(_xlfn._xlws.FILTER(AN15:AN65,(AO15:AO65="")*(AP15:AP65="")))</f>
        <v/>
      </c>
      <c r="AN12" s="125" t="n"/>
      <c r="AO12" s="125" t="n"/>
      <c r="AP12" s="125" t="n"/>
      <c r="AQ12" s="126" t="n"/>
      <c r="AR12" s="124">
        <f t="array" ref="AR12">SUM(AU15:AU65)+SUM(_xlfn._xlws.FILTER(AT15:AT65,AU15:AU65=""))+SUM(_xlfn._xlws.FILTER(AS15:AS65,(AT15:AT65="")*(AU15:AU65="")))</f>
        <v/>
      </c>
      <c r="AS12" s="125" t="n"/>
      <c r="AT12" s="125" t="n"/>
      <c r="AU12" s="125" t="n"/>
      <c r="AV12" s="126" t="n"/>
      <c r="AW12" s="124">
        <f t="array" ref="AW12">SUM(AZ15:AZ65)+SUM(_xlfn._xlws.FILTER(AY15:AY65,AZ15:AZ65=""))+SUM(_xlfn._xlws.FILTER(AX15:AX65,(AY15:AY65="")*(AZ15:AZ65="")))</f>
        <v/>
      </c>
      <c r="AX12" s="125" t="n"/>
      <c r="AY12" s="125" t="n"/>
      <c r="AZ12" s="125" t="n"/>
      <c r="BA12" s="126" t="n"/>
      <c r="BB12" s="124">
        <f t="array" ref="BB12">SUM(BE15:BE65)+SUM(_xlfn._xlws.FILTER(BD15:BD65,BE15:BE65=""))+SUM(_xlfn._xlws.FILTER(BC15:BC65,(BD15:BD65="")*(BE15:BE65="")))</f>
        <v/>
      </c>
      <c r="BC12" s="125" t="n"/>
      <c r="BD12" s="125" t="n"/>
      <c r="BE12" s="125" t="n"/>
      <c r="BF12" s="126" t="n"/>
      <c r="BG12" s="124">
        <f t="array" ref="BG12">SUM(BJ15:BJ65)+SUM(_xlfn._xlws.FILTER(BI15:BI65,BJ15:BJ65=""))+SUM(_xlfn._xlws.FILTER(BH15:BH65,(BI15:BI65="")*(BJ15:BJ65="")))</f>
        <v/>
      </c>
      <c r="BH12" s="125" t="n"/>
      <c r="BI12" s="125" t="n"/>
      <c r="BJ12" s="125" t="n"/>
      <c r="BK12" s="126" t="n"/>
      <c r="BL12" s="124">
        <f t="array" ref="BL12">SUM(BO15:BO65)+SUM(_xlfn._xlws.FILTER(BN15:BN65,BO15:BO65=""))+SUM(_xlfn._xlws.FILTER(BM15:BM65,(BN15:BN65="")*(BO15:BO65="")))</f>
        <v/>
      </c>
      <c r="BM12" s="125" t="n"/>
      <c r="BN12" s="125" t="n"/>
      <c r="BO12" s="125" t="n"/>
      <c r="BP12" s="126" t="n"/>
      <c r="BQ12" s="124">
        <f t="array" ref="BQ12">SUM(BT15:BT65)+SUM(_xlfn._xlws.FILTER(BS15:BS65,BT15:BT65=""))+SUM(_xlfn._xlws.FILTER(BR15:BR65,(BS15:BS65="")*(BT15:BT65="")))</f>
        <v/>
      </c>
      <c r="BR12" s="125" t="n"/>
      <c r="BS12" s="125" t="n"/>
      <c r="BT12" s="125" t="n"/>
      <c r="BU12" s="126" t="n"/>
      <c r="BV12" s="4" t="n"/>
      <c r="BW12" s="5" t="n"/>
    </row>
    <row r="13" ht="16.5" customHeight="1" thickBot="1">
      <c r="A13" s="6" t="inlineStr">
        <is>
          <t>EXPENSE</t>
        </is>
      </c>
      <c r="H13" s="6" t="n"/>
      <c r="I13" s="6" t="n"/>
      <c r="J13" s="6" t="n"/>
      <c r="K13" s="128">
        <f>SUBTOTAL(9,K15:K16)</f>
        <v/>
      </c>
      <c r="L13" s="113" t="inlineStr">
        <is>
          <t xml:space="preserve">Month: </t>
        </is>
      </c>
      <c r="M13" s="123" t="n"/>
      <c r="N13" s="129" t="n">
        <v>46053</v>
      </c>
      <c r="O13" s="130" t="n"/>
      <c r="P13" s="130" t="n"/>
      <c r="Q13" s="130" t="n"/>
      <c r="R13" s="130" t="n"/>
      <c r="S13" s="131" t="n">
        <v>46054</v>
      </c>
      <c r="T13" s="130" t="n"/>
      <c r="U13" s="130" t="n"/>
      <c r="V13" s="130" t="n"/>
      <c r="W13" s="132" t="n"/>
      <c r="X13" s="131" t="n">
        <v>46112</v>
      </c>
      <c r="Y13" s="130" t="n"/>
      <c r="Z13" s="130" t="n"/>
      <c r="AA13" s="130" t="n"/>
      <c r="AB13" s="132" t="n"/>
      <c r="AC13" s="131" t="n">
        <v>46142</v>
      </c>
      <c r="AD13" s="130" t="n"/>
      <c r="AE13" s="130" t="n"/>
      <c r="AF13" s="130" t="n"/>
      <c r="AG13" s="132" t="n"/>
      <c r="AH13" s="131" t="n">
        <v>46173</v>
      </c>
      <c r="AI13" s="130" t="n"/>
      <c r="AJ13" s="130" t="n"/>
      <c r="AK13" s="130" t="n"/>
      <c r="AL13" s="132" t="n"/>
      <c r="AM13" s="131" t="n">
        <v>46203</v>
      </c>
      <c r="AN13" s="130" t="n"/>
      <c r="AO13" s="130" t="n"/>
      <c r="AP13" s="130" t="n"/>
      <c r="AQ13" s="132" t="n"/>
      <c r="AR13" s="131" t="n">
        <v>46234</v>
      </c>
      <c r="AS13" s="130" t="n"/>
      <c r="AT13" s="130" t="n"/>
      <c r="AU13" s="130" t="n"/>
      <c r="AV13" s="132" t="n"/>
      <c r="AW13" s="131" t="n">
        <v>46265</v>
      </c>
      <c r="AX13" s="130" t="n"/>
      <c r="AY13" s="130" t="n"/>
      <c r="AZ13" s="130" t="n"/>
      <c r="BA13" s="132" t="n"/>
      <c r="BB13" s="131" t="n">
        <v>46295</v>
      </c>
      <c r="BC13" s="130" t="n"/>
      <c r="BD13" s="130" t="n"/>
      <c r="BE13" s="130" t="n"/>
      <c r="BF13" s="132" t="n"/>
      <c r="BG13" s="131" t="n">
        <v>46326</v>
      </c>
      <c r="BH13" s="130" t="n"/>
      <c r="BI13" s="130" t="n"/>
      <c r="BJ13" s="130" t="n"/>
      <c r="BK13" s="132" t="n"/>
      <c r="BL13" s="131" t="n">
        <v>46356</v>
      </c>
      <c r="BM13" s="130" t="n"/>
      <c r="BN13" s="130" t="n"/>
      <c r="BO13" s="130" t="n"/>
      <c r="BP13" s="132" t="n"/>
      <c r="BQ13" s="131" t="n">
        <v>46387</v>
      </c>
      <c r="BR13" s="130" t="n"/>
      <c r="BS13" s="130" t="n"/>
      <c r="BT13" s="130" t="n"/>
      <c r="BU13" s="132" t="n"/>
      <c r="BV13" s="7">
        <f>SUM(BV15:BV65)</f>
        <v/>
      </c>
      <c r="BW13" s="8" t="n"/>
      <c r="BY13" s="3" t="n"/>
    </row>
    <row r="14" ht="60.75" customHeight="1" thickBot="1">
      <c r="A14" s="56" t="inlineStr">
        <is>
          <t>Contact for PO/ER</t>
        </is>
      </c>
      <c r="B14" s="57" t="inlineStr">
        <is>
          <t>PO Number/
ER Number</t>
        </is>
      </c>
      <c r="C14" s="58" t="inlineStr">
        <is>
          <t>PO Start Date</t>
        </is>
      </c>
      <c r="D14" s="133" t="inlineStr">
        <is>
          <t>PO end date</t>
        </is>
      </c>
      <c r="E14" s="60" t="inlineStr">
        <is>
          <t>Vendor Name</t>
        </is>
      </c>
      <c r="F14" s="60" t="inlineStr">
        <is>
          <t>WBS</t>
        </is>
      </c>
      <c r="G14" s="58" t="inlineStr">
        <is>
          <t>G/L Account</t>
        </is>
      </c>
      <c r="H14" s="58" t="inlineStr">
        <is>
          <t>LE</t>
        </is>
      </c>
      <c r="I14" s="58" t="inlineStr">
        <is>
          <t>Country</t>
        </is>
      </c>
      <c r="J14" s="58" t="inlineStr">
        <is>
          <t>Cost Center</t>
        </is>
      </c>
      <c r="K14" s="134" t="inlineStr">
        <is>
          <t>Gross PO Value  (USD)</t>
        </is>
      </c>
      <c r="L14" s="62" t="inlineStr">
        <is>
          <t>Requisition 
Title</t>
        </is>
      </c>
      <c r="M14" s="48" t="inlineStr">
        <is>
          <t>PO Status</t>
        </is>
      </c>
      <c r="N14" s="51" t="inlineStr">
        <is>
          <t>Accrual Reversal Dec</t>
        </is>
      </c>
      <c r="O14" s="52" t="inlineStr">
        <is>
          <t>Forecast Jan</t>
        </is>
      </c>
      <c r="P14" s="52" t="inlineStr">
        <is>
          <t>Accrual Jan</t>
        </is>
      </c>
      <c r="Q14" s="52" t="inlineStr">
        <is>
          <t>Actual   Jan</t>
        </is>
      </c>
      <c r="R14" s="50" t="inlineStr">
        <is>
          <t>Variance (Actuals/Accruals</t>
        </is>
      </c>
      <c r="S14" s="63" t="inlineStr">
        <is>
          <t>Accrual Reversal Jan</t>
        </is>
      </c>
      <c r="T14" s="52" t="inlineStr">
        <is>
          <t>Forecast Feb</t>
        </is>
      </c>
      <c r="U14" s="52" t="inlineStr">
        <is>
          <t>Accrual Feb</t>
        </is>
      </c>
      <c r="V14" s="64" t="inlineStr">
        <is>
          <t>Actual   Feb</t>
        </is>
      </c>
      <c r="W14" s="65" t="inlineStr">
        <is>
          <t>Variance (Actuals/Accruals</t>
        </is>
      </c>
      <c r="X14" s="63" t="inlineStr">
        <is>
          <t>Accrual Reversal Feb</t>
        </is>
      </c>
      <c r="Y14" s="52" t="inlineStr">
        <is>
          <t>Forecast March</t>
        </is>
      </c>
      <c r="Z14" s="52" t="inlineStr">
        <is>
          <t>Accrual March</t>
        </is>
      </c>
      <c r="AA14" s="64" t="inlineStr">
        <is>
          <t>Actual March</t>
        </is>
      </c>
      <c r="AB14" s="65" t="inlineStr">
        <is>
          <t>Variance (Actuals/Accruals</t>
        </is>
      </c>
      <c r="AC14" s="63" t="inlineStr">
        <is>
          <t>Accrual Reversal Mar</t>
        </is>
      </c>
      <c r="AD14" s="52" t="inlineStr">
        <is>
          <t>Forecast April</t>
        </is>
      </c>
      <c r="AE14" s="52" t="inlineStr">
        <is>
          <t>Accrual April</t>
        </is>
      </c>
      <c r="AF14" s="64" t="inlineStr">
        <is>
          <t>Actual April</t>
        </is>
      </c>
      <c r="AG14" s="65" t="inlineStr">
        <is>
          <t>Variance (Actuals/Accruals</t>
        </is>
      </c>
      <c r="AH14" s="63" t="inlineStr">
        <is>
          <t>Accrual Reversal Apr</t>
        </is>
      </c>
      <c r="AI14" s="52" t="inlineStr">
        <is>
          <t>Forecast May</t>
        </is>
      </c>
      <c r="AJ14" s="52" t="inlineStr">
        <is>
          <t>Accrual May</t>
        </is>
      </c>
      <c r="AK14" s="64" t="inlineStr">
        <is>
          <t>Actual May</t>
        </is>
      </c>
      <c r="AL14" s="65" t="inlineStr">
        <is>
          <t>Variance (Actuals/Accruals</t>
        </is>
      </c>
      <c r="AM14" s="63" t="inlineStr">
        <is>
          <t>Accrual Reversal May</t>
        </is>
      </c>
      <c r="AN14" s="52" t="inlineStr">
        <is>
          <t>Forecast June</t>
        </is>
      </c>
      <c r="AO14" s="52" t="inlineStr">
        <is>
          <t>Accrual   June</t>
        </is>
      </c>
      <c r="AP14" s="64" t="inlineStr">
        <is>
          <t>Actual June</t>
        </is>
      </c>
      <c r="AQ14" s="65" t="inlineStr">
        <is>
          <t>Variance (Actuals/Accruals</t>
        </is>
      </c>
      <c r="AR14" s="63" t="inlineStr">
        <is>
          <t>Accrual Reversal Jun</t>
        </is>
      </c>
      <c r="AS14" s="52" t="inlineStr">
        <is>
          <t>Forecast July</t>
        </is>
      </c>
      <c r="AT14" s="52" t="inlineStr">
        <is>
          <t>Accrual July</t>
        </is>
      </c>
      <c r="AU14" s="64" t="inlineStr">
        <is>
          <t>Actual  July</t>
        </is>
      </c>
      <c r="AV14" s="65" t="inlineStr">
        <is>
          <t>Variance (Actuals/Accruals</t>
        </is>
      </c>
      <c r="AW14" s="63" t="inlineStr">
        <is>
          <t>Accrual Reversal Jul</t>
        </is>
      </c>
      <c r="AX14" s="52" t="inlineStr">
        <is>
          <t>Forecast Aug</t>
        </is>
      </c>
      <c r="AY14" s="52" t="inlineStr">
        <is>
          <t>Accrual Aug</t>
        </is>
      </c>
      <c r="AZ14" s="64" t="inlineStr">
        <is>
          <t>Actual Aug</t>
        </is>
      </c>
      <c r="BA14" s="65" t="inlineStr">
        <is>
          <t>Variance (Actuals/Accruals</t>
        </is>
      </c>
      <c r="BB14" s="63" t="inlineStr">
        <is>
          <t>Accrual Reversal Aug</t>
        </is>
      </c>
      <c r="BC14" s="52" t="inlineStr">
        <is>
          <t>Forecast Sept</t>
        </is>
      </c>
      <c r="BD14" s="52" t="inlineStr">
        <is>
          <t>Accrual Sept</t>
        </is>
      </c>
      <c r="BE14" s="64" t="inlineStr">
        <is>
          <t>Actual Sept</t>
        </is>
      </c>
      <c r="BF14" s="65" t="inlineStr">
        <is>
          <t>Variance (Actuals/Accruals</t>
        </is>
      </c>
      <c r="BG14" s="63" t="inlineStr">
        <is>
          <t>Accrual Reversal Sep</t>
        </is>
      </c>
      <c r="BH14" s="52" t="inlineStr">
        <is>
          <t>Forecast Oct</t>
        </is>
      </c>
      <c r="BI14" s="52" t="inlineStr">
        <is>
          <t>Accrual Oct</t>
        </is>
      </c>
      <c r="BJ14" s="64" t="inlineStr">
        <is>
          <t xml:space="preserve">Actual Oct  </t>
        </is>
      </c>
      <c r="BK14" s="65" t="inlineStr">
        <is>
          <t>Variance (Actuals/Accruals</t>
        </is>
      </c>
      <c r="BL14" s="63" t="inlineStr">
        <is>
          <t>Accrual Reversal Oct</t>
        </is>
      </c>
      <c r="BM14" s="52" t="inlineStr">
        <is>
          <t>Forecast Nov</t>
        </is>
      </c>
      <c r="BN14" s="52" t="inlineStr">
        <is>
          <t>Accrual Nov</t>
        </is>
      </c>
      <c r="BO14" s="64" t="inlineStr">
        <is>
          <t>Actual Nov</t>
        </is>
      </c>
      <c r="BP14" s="65" t="inlineStr">
        <is>
          <t>Variance (Actuals/Accruals</t>
        </is>
      </c>
      <c r="BQ14" s="63" t="inlineStr">
        <is>
          <t>Accrual Reversal Nov</t>
        </is>
      </c>
      <c r="BR14" s="52" t="inlineStr">
        <is>
          <t>Forecast Dec</t>
        </is>
      </c>
      <c r="BS14" s="52" t="inlineStr">
        <is>
          <t xml:space="preserve">Accrual Dec </t>
        </is>
      </c>
      <c r="BT14" s="64" t="inlineStr">
        <is>
          <t>Actual Dec</t>
        </is>
      </c>
      <c r="BU14" s="65" t="inlineStr">
        <is>
          <t>Variance (Actuals/Accruals</t>
        </is>
      </c>
      <c r="BV14" s="51" t="inlineStr">
        <is>
          <t>Total 2026</t>
        </is>
      </c>
      <c r="BW14" s="52" t="inlineStr">
        <is>
          <t>CPA Budget &lt;YEAR&gt;</t>
        </is>
      </c>
      <c r="BX14" s="48" t="inlineStr">
        <is>
          <t>Comments</t>
        </is>
      </c>
    </row>
    <row r="15">
      <c r="A15" s="79" t="inlineStr">
        <is>
          <t>Ram</t>
        </is>
      </c>
      <c r="B15" s="94" t="inlineStr">
        <is>
          <t>9501133449</t>
        </is>
      </c>
      <c r="C15" s="96" t="n">
        <v>45993</v>
      </c>
      <c r="D15" s="96" t="n">
        <v>46173</v>
      </c>
      <c r="E15" s="81" t="inlineStr">
        <is>
          <t>Infosys</t>
        </is>
      </c>
      <c r="F15" s="80" t="inlineStr">
        <is>
          <t>IT-FBT0393-OG-JP-00</t>
        </is>
      </c>
      <c r="G15" s="80" t="n">
        <v>41500000</v>
      </c>
      <c r="H15" s="80" t="n">
        <v>3840</v>
      </c>
      <c r="I15" s="80" t="inlineStr">
        <is>
          <t>JAPAN</t>
        </is>
      </c>
      <c r="J15" s="80" t="n">
        <v>2430238</v>
      </c>
      <c r="K15" s="135" t="n">
        <v>66363</v>
      </c>
      <c r="L15" s="100" t="inlineStr">
        <is>
          <t>SAP FICO L2 Support 2026H1</t>
        </is>
      </c>
      <c r="M15" s="101" t="inlineStr">
        <is>
          <t>OPEN</t>
        </is>
      </c>
      <c r="N15" s="82" t="n">
        <v>0</v>
      </c>
      <c r="O15" s="83" t="n">
        <v>0</v>
      </c>
      <c r="P15" s="83" t="n">
        <v>0</v>
      </c>
      <c r="Q15" s="84" t="n">
        <v>10656.33</v>
      </c>
      <c r="R15" s="84">
        <f>P15-Q15</f>
        <v/>
      </c>
      <c r="S15" s="85" t="n">
        <v>-11347.01</v>
      </c>
      <c r="T15" s="83" t="n">
        <v>0</v>
      </c>
      <c r="U15" s="83" t="n">
        <v>10146.52</v>
      </c>
      <c r="V15" s="84" t="n">
        <v>0</v>
      </c>
      <c r="W15" s="86">
        <f>U15-V15</f>
        <v/>
      </c>
      <c r="X15" s="87" t="n">
        <v>0</v>
      </c>
      <c r="Y15" s="83" t="n">
        <v>0</v>
      </c>
      <c r="Z15" s="83" t="n">
        <v>0</v>
      </c>
      <c r="AA15" s="84" t="n">
        <v>0</v>
      </c>
      <c r="AB15" s="86">
        <f>Z15-AA15</f>
        <v/>
      </c>
      <c r="AC15" s="87" t="n">
        <v>0</v>
      </c>
      <c r="AD15" s="83" t="n">
        <v>0</v>
      </c>
      <c r="AE15" s="83" t="n">
        <v>0</v>
      </c>
      <c r="AF15" s="83" t="n">
        <v>0</v>
      </c>
      <c r="AG15" s="86">
        <f>AE15-AF15</f>
        <v/>
      </c>
      <c r="AH15" s="87" t="n">
        <v>0</v>
      </c>
      <c r="AI15" s="83" t="n">
        <v>0</v>
      </c>
      <c r="AJ15" s="83" t="n">
        <v>0</v>
      </c>
      <c r="AK15" s="83" t="n">
        <v>0</v>
      </c>
      <c r="AL15" s="86">
        <f>AJ15-AK15</f>
        <v/>
      </c>
      <c r="AM15" s="87" t="n">
        <v>0</v>
      </c>
      <c r="AN15" s="83" t="n">
        <v>0</v>
      </c>
      <c r="AO15" s="83" t="n">
        <v>0</v>
      </c>
      <c r="AP15" s="83" t="n">
        <v>0</v>
      </c>
      <c r="AQ15" s="86">
        <f>AO15-AP15</f>
        <v/>
      </c>
      <c r="AR15" s="87" t="n">
        <v>0</v>
      </c>
      <c r="AS15" s="83" t="n">
        <v>0</v>
      </c>
      <c r="AT15" s="83" t="n">
        <v>0</v>
      </c>
      <c r="AU15" s="83" t="n">
        <v>0</v>
      </c>
      <c r="AV15" s="86">
        <f>AT15-AU15</f>
        <v/>
      </c>
      <c r="AW15" s="87" t="n">
        <v>0</v>
      </c>
      <c r="AX15" s="83" t="n">
        <v>0</v>
      </c>
      <c r="AY15" s="83" t="n">
        <v>0</v>
      </c>
      <c r="AZ15" s="83" t="n">
        <v>0</v>
      </c>
      <c r="BA15" s="86">
        <f>AY15-AZ15</f>
        <v/>
      </c>
      <c r="BB15" s="87" t="n">
        <v>0</v>
      </c>
      <c r="BC15" s="83" t="n">
        <v>0</v>
      </c>
      <c r="BD15" s="83" t="n">
        <v>0</v>
      </c>
      <c r="BE15" s="83" t="n">
        <v>0</v>
      </c>
      <c r="BF15" s="86">
        <f>BD15-BE15</f>
        <v/>
      </c>
      <c r="BG15" s="87" t="n">
        <v>0</v>
      </c>
      <c r="BH15" s="83" t="n">
        <v>0</v>
      </c>
      <c r="BI15" s="83" t="n">
        <v>0</v>
      </c>
      <c r="BJ15" s="83" t="n">
        <v>0</v>
      </c>
      <c r="BK15" s="86">
        <f>BI15-BJ15</f>
        <v/>
      </c>
      <c r="BL15" s="87" t="n">
        <v>0</v>
      </c>
      <c r="BM15" s="83" t="n">
        <v>0</v>
      </c>
      <c r="BN15" s="83" t="n">
        <v>0</v>
      </c>
      <c r="BO15" s="83" t="n">
        <v>0</v>
      </c>
      <c r="BP15" s="86">
        <f>BN15-BO15</f>
        <v/>
      </c>
      <c r="BQ15" s="87" t="n">
        <v>0</v>
      </c>
      <c r="BR15" s="83" t="n">
        <v>0</v>
      </c>
      <c r="BS15" s="83" t="n">
        <v>0</v>
      </c>
      <c r="BT15" s="83" t="n">
        <v>0</v>
      </c>
      <c r="BU15" s="86">
        <f>BS15-BT15</f>
        <v/>
      </c>
      <c r="BV15" s="88" t="n">
        <v>0</v>
      </c>
      <c r="BW15" s="89" t="n"/>
      <c r="BX15" s="90" t="n"/>
      <c r="BY15" s="78" t="n"/>
      <c r="BZ15" s="78" t="n"/>
      <c r="CA15" s="78" t="n"/>
      <c r="CB15" s="78" t="n"/>
      <c r="CC15" s="78" t="n"/>
      <c r="CD15" s="78" t="n"/>
      <c r="CE15" s="78" t="n"/>
      <c r="CF15" s="78" t="n"/>
      <c r="CG15" s="78" t="n"/>
      <c r="CH15" s="78" t="n"/>
      <c r="CI15" s="78" t="n"/>
      <c r="CJ15" s="78" t="n"/>
      <c r="CK15" s="78" t="n"/>
      <c r="CL15" s="78" t="n"/>
      <c r="CM15" s="78" t="n"/>
      <c r="CN15" s="78" t="n"/>
      <c r="CO15" s="78" t="n"/>
      <c r="CP15" s="78" t="n"/>
      <c r="CQ15" s="78" t="n"/>
      <c r="CR15" s="78" t="n"/>
      <c r="CS15" s="78" t="n"/>
      <c r="CT15" s="78" t="n"/>
      <c r="CU15" s="78" t="n"/>
      <c r="CV15" s="78" t="n"/>
      <c r="CW15" s="78" t="n"/>
      <c r="CX15" s="78" t="n"/>
      <c r="CY15" s="78" t="n"/>
      <c r="CZ15" s="78" t="n"/>
      <c r="DA15" s="78" t="n"/>
      <c r="DB15" s="78" t="n"/>
      <c r="DC15" s="78" t="n"/>
      <c r="DD15" s="78" t="n"/>
      <c r="DE15" s="78" t="n"/>
      <c r="DF15" s="78" t="n"/>
      <c r="DG15" s="78" t="n"/>
      <c r="DH15" s="78" t="n"/>
      <c r="DI15" s="78" t="n"/>
      <c r="DJ15" s="78" t="n"/>
      <c r="DK15" s="78" t="n"/>
      <c r="DL15" s="78" t="n"/>
      <c r="DM15" s="78" t="n"/>
      <c r="DN15" s="78" t="n"/>
      <c r="DO15" s="78" t="n"/>
      <c r="DP15" s="78" t="n"/>
      <c r="DQ15" s="78" t="n"/>
      <c r="DR15" s="78" t="n"/>
      <c r="DS15" s="78" t="n"/>
      <c r="DT15" s="78" t="n"/>
      <c r="DU15" s="78" t="n"/>
      <c r="DV15" s="78" t="n"/>
      <c r="DW15" s="78" t="n"/>
      <c r="DX15" s="78" t="n"/>
      <c r="DY15" s="78" t="n"/>
      <c r="DZ15" s="78" t="n"/>
      <c r="EA15" s="78" t="n"/>
      <c r="EB15" s="78" t="n"/>
      <c r="EC15" s="78" t="n"/>
      <c r="ED15" s="78" t="n"/>
      <c r="EE15" s="78" t="n"/>
      <c r="EF15" s="78" t="n"/>
      <c r="EG15" s="78" t="n"/>
      <c r="EH15" s="78" t="n"/>
      <c r="EI15" s="78" t="n"/>
    </row>
    <row r="16">
      <c r="A16" s="91" t="inlineStr">
        <is>
          <t>Ram</t>
        </is>
      </c>
      <c r="B16" s="83" t="inlineStr">
        <is>
          <t>9501133442</t>
        </is>
      </c>
      <c r="C16" s="98" t="n">
        <v>45993</v>
      </c>
      <c r="D16" s="98" t="n">
        <v>46356</v>
      </c>
      <c r="E16" s="92" t="inlineStr">
        <is>
          <t>Tenon</t>
        </is>
      </c>
      <c r="F16" s="92" t="inlineStr">
        <is>
          <t>IT-FBT0638-OG-JP-00</t>
        </is>
      </c>
      <c r="G16" s="92" t="n">
        <v>41500000</v>
      </c>
      <c r="H16" s="92" t="n">
        <v>3840</v>
      </c>
      <c r="I16" s="92" t="inlineStr">
        <is>
          <t>JAPAN</t>
        </is>
      </c>
      <c r="J16" s="92" t="n">
        <v>2430238</v>
      </c>
      <c r="K16" s="136" t="n">
        <v>124418</v>
      </c>
      <c r="L16" s="102" t="inlineStr">
        <is>
          <t>Finance System Support FY2026</t>
        </is>
      </c>
      <c r="M16" s="103" t="inlineStr">
        <is>
          <t>OPEN</t>
        </is>
      </c>
      <c r="N16" s="82" t="n">
        <v>0</v>
      </c>
      <c r="O16" s="83" t="n">
        <v>0</v>
      </c>
      <c r="P16" s="83" t="n">
        <v>0</v>
      </c>
      <c r="Q16" s="84" t="n">
        <v>10636.8</v>
      </c>
      <c r="R16" s="84">
        <f>P16-Q16</f>
        <v/>
      </c>
      <c r="S16" s="85" t="n">
        <v>-10548.89</v>
      </c>
      <c r="T16" s="83" t="n">
        <v>0</v>
      </c>
      <c r="U16" s="83" t="n">
        <v>8702.83</v>
      </c>
      <c r="V16" s="84" t="n">
        <v>0</v>
      </c>
      <c r="W16" s="86">
        <f>U16-V16</f>
        <v/>
      </c>
      <c r="X16" s="87" t="n">
        <v>0</v>
      </c>
      <c r="Y16" s="83" t="n">
        <v>0</v>
      </c>
      <c r="Z16" s="83" t="n">
        <v>0</v>
      </c>
      <c r="AA16" s="84" t="n">
        <v>0</v>
      </c>
      <c r="AB16" s="86">
        <f>Z16-AA16</f>
        <v/>
      </c>
      <c r="AC16" s="87" t="n">
        <v>0</v>
      </c>
      <c r="AD16" s="83" t="n">
        <v>0</v>
      </c>
      <c r="AE16" s="83" t="n">
        <v>0</v>
      </c>
      <c r="AF16" s="84" t="n">
        <v>0</v>
      </c>
      <c r="AG16" s="86">
        <f>AE16-AF16</f>
        <v/>
      </c>
      <c r="AH16" s="87" t="n">
        <v>0</v>
      </c>
      <c r="AI16" s="83" t="n">
        <v>0</v>
      </c>
      <c r="AJ16" s="83" t="n">
        <v>0</v>
      </c>
      <c r="AK16" s="84" t="n">
        <v>0</v>
      </c>
      <c r="AL16" s="86">
        <f>AJ16-AK16</f>
        <v/>
      </c>
      <c r="AM16" s="87" t="n">
        <v>0</v>
      </c>
      <c r="AN16" s="83" t="n">
        <v>0</v>
      </c>
      <c r="AO16" s="83" t="n">
        <v>0</v>
      </c>
      <c r="AP16" s="84" t="n">
        <v>0</v>
      </c>
      <c r="AQ16" s="86">
        <f>AO16-AP16</f>
        <v/>
      </c>
      <c r="AR16" s="87" t="n">
        <v>0</v>
      </c>
      <c r="AS16" s="83" t="n">
        <v>0</v>
      </c>
      <c r="AT16" s="83" t="n">
        <v>0</v>
      </c>
      <c r="AU16" s="84" t="n">
        <v>0</v>
      </c>
      <c r="AV16" s="86">
        <f>AT16-AU16</f>
        <v/>
      </c>
      <c r="AW16" s="87" t="n">
        <v>0</v>
      </c>
      <c r="AX16" s="83" t="n">
        <v>0</v>
      </c>
      <c r="AY16" s="83" t="n">
        <v>0</v>
      </c>
      <c r="AZ16" s="84" t="n">
        <v>0</v>
      </c>
      <c r="BA16" s="86">
        <f>AY16-AZ16</f>
        <v/>
      </c>
      <c r="BB16" s="87" t="n">
        <v>0</v>
      </c>
      <c r="BC16" s="83" t="n">
        <v>0</v>
      </c>
      <c r="BD16" s="83" t="n">
        <v>0</v>
      </c>
      <c r="BE16" s="84" t="n">
        <v>0</v>
      </c>
      <c r="BF16" s="86">
        <f>BD16-BE16</f>
        <v/>
      </c>
      <c r="BG16" s="87" t="n">
        <v>0</v>
      </c>
      <c r="BH16" s="83" t="n">
        <v>0</v>
      </c>
      <c r="BI16" s="83" t="n">
        <v>0</v>
      </c>
      <c r="BJ16" s="84" t="n">
        <v>0</v>
      </c>
      <c r="BK16" s="86">
        <f>BI16-BJ16</f>
        <v/>
      </c>
      <c r="BL16" s="87" t="n">
        <v>0</v>
      </c>
      <c r="BM16" s="83" t="n">
        <v>0</v>
      </c>
      <c r="BN16" s="83" t="n">
        <v>0</v>
      </c>
      <c r="BO16" s="84" t="n">
        <v>0</v>
      </c>
      <c r="BP16" s="86">
        <f>BN16-BO16</f>
        <v/>
      </c>
      <c r="BQ16" s="87" t="n">
        <v>0</v>
      </c>
      <c r="BR16" s="83" t="n">
        <v>0</v>
      </c>
      <c r="BS16" s="83" t="n">
        <v>0</v>
      </c>
      <c r="BT16" s="84" t="n">
        <v>0</v>
      </c>
      <c r="BU16" s="86">
        <f>BS16-BT16</f>
        <v/>
      </c>
      <c r="BV16" s="85" t="n">
        <v>0</v>
      </c>
      <c r="BW16" s="89" t="n"/>
      <c r="BX16" s="90" t="n"/>
      <c r="BY16" s="78" t="n"/>
      <c r="BZ16" s="78" t="n"/>
      <c r="CA16" s="78" t="n"/>
      <c r="CB16" s="78" t="n"/>
      <c r="CC16" s="78" t="n"/>
      <c r="CD16" s="78" t="n"/>
      <c r="CE16" s="78" t="n"/>
      <c r="CF16" s="78" t="n"/>
      <c r="CG16" s="78" t="n"/>
      <c r="CH16" s="78" t="n"/>
      <c r="CI16" s="78" t="n"/>
      <c r="CJ16" s="78" t="n"/>
      <c r="CK16" s="78" t="n"/>
      <c r="CL16" s="78" t="n"/>
      <c r="CM16" s="78" t="n"/>
      <c r="CN16" s="78" t="n"/>
      <c r="CO16" s="78" t="n"/>
      <c r="CP16" s="78" t="n"/>
      <c r="CQ16" s="78" t="n"/>
      <c r="CR16" s="78" t="n"/>
      <c r="CS16" s="78" t="n"/>
      <c r="CT16" s="78" t="n"/>
      <c r="CU16" s="78" t="n"/>
      <c r="CV16" s="78" t="n"/>
      <c r="CW16" s="78" t="n"/>
      <c r="CX16" s="78" t="n"/>
      <c r="CY16" s="78" t="n"/>
      <c r="CZ16" s="78" t="n"/>
      <c r="DA16" s="78" t="n"/>
      <c r="DB16" s="78" t="n"/>
      <c r="DC16" s="78" t="n"/>
      <c r="DD16" s="78" t="n"/>
      <c r="DE16" s="78" t="n"/>
      <c r="DF16" s="78" t="n"/>
      <c r="DG16" s="78" t="n"/>
      <c r="DH16" s="78" t="n"/>
      <c r="DI16" s="78" t="n"/>
      <c r="DJ16" s="78" t="n"/>
      <c r="DK16" s="78" t="n"/>
      <c r="DL16" s="78" t="n"/>
      <c r="DM16" s="78" t="n"/>
      <c r="DN16" s="78" t="n"/>
      <c r="DO16" s="78" t="n"/>
      <c r="DP16" s="78" t="n"/>
      <c r="DQ16" s="78" t="n"/>
      <c r="DR16" s="78" t="n"/>
      <c r="DS16" s="78" t="n"/>
      <c r="DT16" s="78" t="n"/>
      <c r="DU16" s="78" t="n"/>
      <c r="DV16" s="78" t="n"/>
      <c r="DW16" s="78" t="n"/>
      <c r="DX16" s="78" t="n"/>
      <c r="DY16" s="78" t="n"/>
      <c r="DZ16" s="78" t="n"/>
      <c r="EA16" s="78" t="n"/>
      <c r="EB16" s="78" t="n"/>
      <c r="EC16" s="78" t="n"/>
      <c r="ED16" s="78" t="n"/>
      <c r="EE16" s="78" t="n"/>
      <c r="EF16" s="78" t="n"/>
      <c r="EG16" s="78" t="n"/>
      <c r="EH16" s="78" t="n"/>
      <c r="EI16" s="78" t="n"/>
    </row>
    <row r="17" ht="30" customHeight="1">
      <c r="A17" s="91" t="inlineStr">
        <is>
          <t>Ram</t>
        </is>
      </c>
      <c r="B17" s="83" t="inlineStr">
        <is>
          <t>9100561560</t>
        </is>
      </c>
      <c r="C17" s="98" t="n">
        <v>46137</v>
      </c>
      <c r="D17" s="98" t="n">
        <v>46501</v>
      </c>
      <c r="E17" s="92" t="inlineStr">
        <is>
          <t>SHI INTERNATIONAL CORP</t>
        </is>
      </c>
      <c r="F17" s="92" t="inlineStr">
        <is>
          <t>IT-SFT1434-OG-US-00</t>
        </is>
      </c>
      <c r="G17" s="92" t="n">
        <v>61010000</v>
      </c>
      <c r="H17" s="92" t="n">
        <v>1400</v>
      </c>
      <c r="I17" s="92" t="inlineStr">
        <is>
          <t>US</t>
        </is>
      </c>
      <c r="J17" s="92" t="n">
        <v>2321403</v>
      </c>
      <c r="K17" s="136" t="n">
        <v>21098.22</v>
      </c>
      <c r="L17" s="104" t="inlineStr">
        <is>
          <t>SWC Elasticsearch (4/25/2026 – 4/24/2027) (LeslieM)</t>
        </is>
      </c>
      <c r="M17" s="103" t="inlineStr">
        <is>
          <t>OPEN</t>
        </is>
      </c>
      <c r="N17" s="82" t="n"/>
      <c r="O17" s="83" t="n"/>
      <c r="P17" s="83" t="n"/>
      <c r="Q17" s="84" t="n"/>
      <c r="R17" s="84">
        <f>P17-Q17</f>
        <v/>
      </c>
      <c r="S17" s="85" t="n"/>
      <c r="T17" s="83" t="n"/>
      <c r="U17" s="83" t="n"/>
      <c r="V17" s="84" t="n"/>
      <c r="W17" s="86">
        <f>U17-V17</f>
        <v/>
      </c>
      <c r="X17" s="87" t="n"/>
      <c r="Y17" s="83" t="n"/>
      <c r="Z17" s="83" t="n"/>
      <c r="AA17" s="84" t="n"/>
      <c r="AB17" s="86">
        <f>Z17-AA17</f>
        <v/>
      </c>
      <c r="AC17" s="87" t="n"/>
      <c r="AD17" s="83" t="n"/>
      <c r="AE17" s="83" t="n"/>
      <c r="AF17" s="84" t="n"/>
      <c r="AG17" s="86">
        <f>AE17-AF17</f>
        <v/>
      </c>
      <c r="AH17" s="87" t="n"/>
      <c r="AI17" s="83" t="n"/>
      <c r="AJ17" s="83" t="n"/>
      <c r="AK17" s="84" t="n"/>
      <c r="AL17" s="86">
        <f>AJ17-AK17</f>
        <v/>
      </c>
      <c r="AM17" s="87" t="n"/>
      <c r="AN17" s="83" t="n"/>
      <c r="AO17" s="83" t="n"/>
      <c r="AP17" s="84" t="n"/>
      <c r="AQ17" s="86">
        <f>AO17-AP17</f>
        <v/>
      </c>
      <c r="AR17" s="87" t="n"/>
      <c r="AS17" s="83" t="n"/>
      <c r="AT17" s="83" t="n"/>
      <c r="AU17" s="84" t="n"/>
      <c r="AV17" s="86">
        <f>AT17-AU17</f>
        <v/>
      </c>
      <c r="AW17" s="87" t="n"/>
      <c r="AX17" s="83" t="n"/>
      <c r="AY17" s="83" t="n"/>
      <c r="AZ17" s="84" t="n"/>
      <c r="BA17" s="86">
        <f>AY17-AZ17</f>
        <v/>
      </c>
      <c r="BB17" s="87" t="n"/>
      <c r="BC17" s="83" t="n"/>
      <c r="BD17" s="83" t="n"/>
      <c r="BE17" s="84" t="n"/>
      <c r="BF17" s="86">
        <f>BD17-BE17</f>
        <v/>
      </c>
      <c r="BG17" s="87" t="n"/>
      <c r="BH17" s="83" t="n"/>
      <c r="BI17" s="83" t="n"/>
      <c r="BJ17" s="84" t="n"/>
      <c r="BK17" s="86">
        <f>BI17-BJ17</f>
        <v/>
      </c>
      <c r="BL17" s="87" t="n"/>
      <c r="BM17" s="83" t="n"/>
      <c r="BN17" s="83" t="n"/>
      <c r="BO17" s="84" t="n"/>
      <c r="BP17" s="86">
        <f>BN17-BO17</f>
        <v/>
      </c>
      <c r="BQ17" s="87" t="n"/>
      <c r="BR17" s="83" t="n"/>
      <c r="BS17" s="83" t="n"/>
      <c r="BT17" s="84" t="n"/>
      <c r="BU17" s="86">
        <f>BS17-BT17</f>
        <v/>
      </c>
      <c r="BV17" s="85" t="n">
        <v>0</v>
      </c>
      <c r="BW17" s="89" t="n"/>
      <c r="BX17" s="90" t="n"/>
    </row>
    <row r="18">
      <c r="A18" s="91" t="inlineStr">
        <is>
          <t>Ram</t>
        </is>
      </c>
      <c r="B18" s="83" t="inlineStr">
        <is>
          <t>9501079958</t>
        </is>
      </c>
      <c r="C18" s="98" t="n">
        <v>45931</v>
      </c>
      <c r="D18" s="98" t="n">
        <v>46265</v>
      </c>
      <c r="E18" s="92" t="inlineStr">
        <is>
          <t>ORACLE AMERICA INC</t>
        </is>
      </c>
      <c r="F18" s="92" t="n"/>
      <c r="G18" s="92" t="n"/>
      <c r="H18" s="92" t="n"/>
      <c r="I18" s="92" t="n"/>
      <c r="J18" s="92" t="n"/>
      <c r="K18" s="93" t="n"/>
      <c r="L18" s="104" t="n"/>
      <c r="M18" s="103" t="n"/>
      <c r="N18" s="82" t="n">
        <v>0</v>
      </c>
      <c r="O18" s="83" t="n">
        <v>0</v>
      </c>
      <c r="P18" s="83" t="n">
        <v>0</v>
      </c>
      <c r="Q18" s="84" t="n">
        <v>-118715.37</v>
      </c>
      <c r="R18" s="84">
        <f>P18-Q18</f>
        <v/>
      </c>
      <c r="S18" s="85" t="n">
        <v>0</v>
      </c>
      <c r="T18" s="83" t="n">
        <v>0</v>
      </c>
      <c r="U18" s="83" t="n">
        <v>0</v>
      </c>
      <c r="V18" s="84" t="n">
        <v>0</v>
      </c>
      <c r="W18" s="86">
        <f>U18-V18</f>
        <v/>
      </c>
      <c r="X18" s="87" t="n">
        <v>0</v>
      </c>
      <c r="Y18" s="83" t="n">
        <v>0</v>
      </c>
      <c r="Z18" s="83" t="n">
        <v>0</v>
      </c>
      <c r="AA18" s="84" t="n">
        <v>0</v>
      </c>
      <c r="AB18" s="86">
        <f>Z18-AA18</f>
        <v/>
      </c>
      <c r="AC18" s="87" t="n">
        <v>0</v>
      </c>
      <c r="AD18" s="83" t="n">
        <v>0</v>
      </c>
      <c r="AE18" s="83" t="n">
        <v>0</v>
      </c>
      <c r="AF18" s="84" t="n">
        <v>0</v>
      </c>
      <c r="AG18" s="86">
        <f>AE18-AF18</f>
        <v/>
      </c>
      <c r="AH18" s="87" t="n">
        <v>0</v>
      </c>
      <c r="AI18" s="83" t="n">
        <v>0</v>
      </c>
      <c r="AJ18" s="83" t="n">
        <v>0</v>
      </c>
      <c r="AK18" s="84" t="n">
        <v>0</v>
      </c>
      <c r="AL18" s="86">
        <f>AJ18-AK18</f>
        <v/>
      </c>
      <c r="AM18" s="87" t="n">
        <v>0</v>
      </c>
      <c r="AN18" s="83" t="n">
        <v>0</v>
      </c>
      <c r="AO18" s="83" t="n">
        <v>0</v>
      </c>
      <c r="AP18" s="84" t="n">
        <v>0</v>
      </c>
      <c r="AQ18" s="86">
        <f>AO18-AP18</f>
        <v/>
      </c>
      <c r="AR18" s="87" t="n">
        <v>0</v>
      </c>
      <c r="AS18" s="83" t="n">
        <v>0</v>
      </c>
      <c r="AT18" s="83" t="n">
        <v>0</v>
      </c>
      <c r="AU18" s="84" t="n">
        <v>0</v>
      </c>
      <c r="AV18" s="86">
        <f>AT18-AU18</f>
        <v/>
      </c>
      <c r="AW18" s="87" t="n">
        <v>0</v>
      </c>
      <c r="AX18" s="83" t="n">
        <v>0</v>
      </c>
      <c r="AY18" s="83" t="n">
        <v>0</v>
      </c>
      <c r="AZ18" s="84" t="n">
        <v>0</v>
      </c>
      <c r="BA18" s="86">
        <f>AY18-AZ18</f>
        <v/>
      </c>
      <c r="BB18" s="87" t="n">
        <v>0</v>
      </c>
      <c r="BC18" s="83" t="n">
        <v>0</v>
      </c>
      <c r="BD18" s="83" t="n">
        <v>0</v>
      </c>
      <c r="BE18" s="84" t="n">
        <v>0</v>
      </c>
      <c r="BF18" s="86">
        <f>BD18-BE18</f>
        <v/>
      </c>
      <c r="BG18" s="87" t="n">
        <v>0</v>
      </c>
      <c r="BH18" s="83" t="n">
        <v>0</v>
      </c>
      <c r="BI18" s="83" t="n">
        <v>0</v>
      </c>
      <c r="BJ18" s="84" t="n">
        <v>0</v>
      </c>
      <c r="BK18" s="86">
        <f>BI18-BJ18</f>
        <v/>
      </c>
      <c r="BL18" s="87" t="n">
        <v>0</v>
      </c>
      <c r="BM18" s="83" t="n">
        <v>0</v>
      </c>
      <c r="BN18" s="83" t="n">
        <v>0</v>
      </c>
      <c r="BO18" s="84" t="n">
        <v>0</v>
      </c>
      <c r="BP18" s="86">
        <f>BN18-BO18</f>
        <v/>
      </c>
      <c r="BQ18" s="87" t="n">
        <v>0</v>
      </c>
      <c r="BR18" s="83" t="n">
        <v>0</v>
      </c>
      <c r="BS18" s="83" t="n">
        <v>0</v>
      </c>
      <c r="BT18" s="84" t="n">
        <v>0</v>
      </c>
      <c r="BU18" s="86">
        <f>BS18-BT18</f>
        <v/>
      </c>
      <c r="BV18" s="85" t="n">
        <v>0</v>
      </c>
      <c r="BW18" s="89" t="n"/>
      <c r="BX18" s="90" t="n"/>
    </row>
    <row r="19">
      <c r="A19" s="91" t="inlineStr">
        <is>
          <t>Ram 50-50</t>
        </is>
      </c>
      <c r="B19" s="83" t="inlineStr">
        <is>
          <t>9501215650</t>
        </is>
      </c>
      <c r="C19" s="98" t="n">
        <v>46065</v>
      </c>
      <c r="D19" s="98" t="n">
        <v>46387</v>
      </c>
      <c r="E19" s="92" t="inlineStr">
        <is>
          <t>SAP</t>
        </is>
      </c>
      <c r="F19" s="92" t="inlineStr">
        <is>
          <t>IT-FBT0528-OG-US-0</t>
        </is>
      </c>
      <c r="G19" s="92" t="n">
        <v>41500000</v>
      </c>
      <c r="H19" s="92" t="n">
        <v>1400</v>
      </c>
      <c r="I19" s="92" t="inlineStr">
        <is>
          <t>US</t>
        </is>
      </c>
      <c r="J19" s="92" t="n">
        <v>2340693</v>
      </c>
      <c r="K19" s="136" t="n">
        <v>54880</v>
      </c>
      <c r="L19" s="104" t="inlineStr">
        <is>
          <t xml:space="preserve">Ariba Offshore Technical Consultant </t>
        </is>
      </c>
      <c r="M19" s="103" t="inlineStr">
        <is>
          <t>OPEN</t>
        </is>
      </c>
      <c r="N19" s="82" t="n"/>
      <c r="O19" s="83" t="n"/>
      <c r="P19" s="83" t="n"/>
      <c r="Q19" s="84" t="n"/>
      <c r="R19" s="84">
        <f>P19-Q19</f>
        <v/>
      </c>
      <c r="S19" s="85" t="n"/>
      <c r="T19" s="83" t="n"/>
      <c r="U19" s="83" t="n"/>
      <c r="V19" s="84" t="n"/>
      <c r="W19" s="86">
        <f>U19-V19</f>
        <v/>
      </c>
      <c r="X19" s="87" t="n"/>
      <c r="Y19" s="83" t="n"/>
      <c r="Z19" s="83" t="n"/>
      <c r="AA19" s="84" t="n"/>
      <c r="AB19" s="86">
        <f>Z19-AA19</f>
        <v/>
      </c>
      <c r="AC19" s="87" t="n"/>
      <c r="AD19" s="83" t="n"/>
      <c r="AE19" s="83" t="n"/>
      <c r="AF19" s="84" t="n"/>
      <c r="AG19" s="86">
        <f>AE19-AF19</f>
        <v/>
      </c>
      <c r="AH19" s="87" t="n"/>
      <c r="AI19" s="83" t="n"/>
      <c r="AJ19" s="83" t="n"/>
      <c r="AK19" s="84" t="n"/>
      <c r="AL19" s="86">
        <f>AJ19-AK19</f>
        <v/>
      </c>
      <c r="AM19" s="87" t="n"/>
      <c r="AN19" s="83" t="n"/>
      <c r="AO19" s="83" t="n"/>
      <c r="AP19" s="84" t="n"/>
      <c r="AQ19" s="86">
        <f>AO19-AP19</f>
        <v/>
      </c>
      <c r="AR19" s="87" t="n"/>
      <c r="AS19" s="83" t="n"/>
      <c r="AT19" s="83" t="n"/>
      <c r="AU19" s="84" t="n"/>
      <c r="AV19" s="86">
        <f>AT19-AU19</f>
        <v/>
      </c>
      <c r="AW19" s="87" t="n"/>
      <c r="AX19" s="83" t="n"/>
      <c r="AY19" s="83" t="n"/>
      <c r="AZ19" s="84" t="n"/>
      <c r="BA19" s="86">
        <f>AY19-AZ19</f>
        <v/>
      </c>
      <c r="BB19" s="87" t="n"/>
      <c r="BC19" s="83" t="n"/>
      <c r="BD19" s="83" t="n"/>
      <c r="BE19" s="84" t="n"/>
      <c r="BF19" s="86">
        <f>BD19-BE19</f>
        <v/>
      </c>
      <c r="BG19" s="87" t="n"/>
      <c r="BH19" s="83" t="n"/>
      <c r="BI19" s="83" t="n"/>
      <c r="BJ19" s="84" t="n"/>
      <c r="BK19" s="86">
        <f>BI19-BJ19</f>
        <v/>
      </c>
      <c r="BL19" s="87" t="n"/>
      <c r="BM19" s="83" t="n"/>
      <c r="BN19" s="83" t="n"/>
      <c r="BO19" s="84" t="n"/>
      <c r="BP19" s="86">
        <f>BN19-BO19</f>
        <v/>
      </c>
      <c r="BQ19" s="87" t="n"/>
      <c r="BR19" s="83" t="n"/>
      <c r="BS19" s="83" t="n"/>
      <c r="BT19" s="84" t="n"/>
      <c r="BU19" s="86">
        <f>BS19-BT19</f>
        <v/>
      </c>
      <c r="BV19" s="85" t="n">
        <v>0</v>
      </c>
      <c r="BW19" s="89" t="n"/>
      <c r="BX19" s="90" t="n"/>
    </row>
    <row r="20" ht="30" customHeight="1">
      <c r="A20" s="91" t="n"/>
      <c r="B20" s="83" t="inlineStr">
        <is>
          <t>From Karla to Ram on 2/13</t>
        </is>
      </c>
      <c r="C20" s="92" t="n"/>
      <c r="D20" s="92" t="n"/>
      <c r="E20" s="92" t="n"/>
      <c r="F20" s="92" t="inlineStr">
        <is>
          <t xml:space="preserve">IT-FBT0245-OG-US-00 </t>
        </is>
      </c>
      <c r="G20" s="92" t="n"/>
      <c r="H20" s="92" t="n"/>
      <c r="I20" s="92" t="n"/>
      <c r="J20" s="92" t="n"/>
      <c r="K20" s="136" t="n">
        <v>150000</v>
      </c>
      <c r="L20" s="102" t="inlineStr">
        <is>
          <t>Enterprise Integration Hub (EIH) repository and support</t>
        </is>
      </c>
      <c r="M20" s="103" t="n"/>
      <c r="N20" s="82" t="n"/>
      <c r="O20" s="83" t="n"/>
      <c r="P20" s="83" t="n"/>
      <c r="Q20" s="84" t="n"/>
      <c r="R20" s="84">
        <f>P20-Q20</f>
        <v/>
      </c>
      <c r="S20" s="85" t="n"/>
      <c r="T20" s="83" t="n"/>
      <c r="U20" s="83" t="n"/>
      <c r="V20" s="84" t="n"/>
      <c r="W20" s="86">
        <f>U20-V20</f>
        <v/>
      </c>
      <c r="X20" s="87" t="n"/>
      <c r="Y20" s="83" t="n"/>
      <c r="Z20" s="83" t="n"/>
      <c r="AA20" s="84" t="n"/>
      <c r="AB20" s="86">
        <f>Z20-AA20</f>
        <v/>
      </c>
      <c r="AC20" s="87" t="n"/>
      <c r="AD20" s="83" t="n"/>
      <c r="AE20" s="83" t="n"/>
      <c r="AF20" s="84" t="n"/>
      <c r="AG20" s="86">
        <f>AE20-AF20</f>
        <v/>
      </c>
      <c r="AH20" s="87" t="n"/>
      <c r="AI20" s="83" t="n"/>
      <c r="AJ20" s="83" t="n"/>
      <c r="AK20" s="84" t="n"/>
      <c r="AL20" s="86">
        <f>AJ20-AK20</f>
        <v/>
      </c>
      <c r="AM20" s="87" t="n"/>
      <c r="AN20" s="83" t="n"/>
      <c r="AO20" s="83" t="n"/>
      <c r="AP20" s="84" t="n"/>
      <c r="AQ20" s="86">
        <f>AO20-AP20</f>
        <v/>
      </c>
      <c r="AR20" s="87" t="n"/>
      <c r="AS20" s="83" t="n"/>
      <c r="AT20" s="83" t="n"/>
      <c r="AU20" s="84" t="n"/>
      <c r="AV20" s="86">
        <f>AT20-AU20</f>
        <v/>
      </c>
      <c r="AW20" s="87" t="n"/>
      <c r="AX20" s="83" t="n"/>
      <c r="AY20" s="83" t="n"/>
      <c r="AZ20" s="84" t="n"/>
      <c r="BA20" s="86">
        <f>AY20-AZ20</f>
        <v/>
      </c>
      <c r="BB20" s="87" t="n"/>
      <c r="BC20" s="83" t="n"/>
      <c r="BD20" s="83" t="n"/>
      <c r="BE20" s="84" t="n"/>
      <c r="BF20" s="86">
        <f>BD20-BE20</f>
        <v/>
      </c>
      <c r="BG20" s="87" t="n"/>
      <c r="BH20" s="83" t="n"/>
      <c r="BI20" s="83" t="n"/>
      <c r="BJ20" s="84" t="n"/>
      <c r="BK20" s="86">
        <f>BI20-BJ20</f>
        <v/>
      </c>
      <c r="BL20" s="87" t="n"/>
      <c r="BM20" s="83" t="n"/>
      <c r="BN20" s="83" t="n"/>
      <c r="BO20" s="84" t="n"/>
      <c r="BP20" s="86">
        <f>BN20-BO20</f>
        <v/>
      </c>
      <c r="BQ20" s="87" t="n"/>
      <c r="BR20" s="83" t="n"/>
      <c r="BS20" s="83" t="n"/>
      <c r="BT20" s="84" t="n"/>
      <c r="BU20" s="86">
        <f>BS20-BT20</f>
        <v/>
      </c>
      <c r="BV20" s="85" t="n">
        <v>0</v>
      </c>
      <c r="BW20" s="89" t="n"/>
      <c r="BX20" s="90" t="n"/>
    </row>
    <row r="21">
      <c r="A21" s="91" t="inlineStr">
        <is>
          <t>To Do in October 2026</t>
        </is>
      </c>
      <c r="B21" s="83" t="n"/>
      <c r="C21" s="92" t="n"/>
      <c r="D21" s="92" t="n"/>
      <c r="E21" s="92" t="inlineStr">
        <is>
          <t>Tenon</t>
        </is>
      </c>
      <c r="F21" s="92" t="inlineStr">
        <is>
          <t>IT-FBT0638-OG-JP-00</t>
        </is>
      </c>
      <c r="G21" s="92" t="n">
        <v>41500000</v>
      </c>
      <c r="H21" s="92" t="n">
        <v>1400</v>
      </c>
      <c r="I21" s="92" t="inlineStr">
        <is>
          <t>US</t>
        </is>
      </c>
      <c r="J21" s="92" t="n">
        <v>2321403</v>
      </c>
      <c r="K21" s="93" t="n"/>
      <c r="L21" s="102" t="inlineStr">
        <is>
          <t>Tenon: Japan SAP BI &amp; SD Support</t>
        </is>
      </c>
      <c r="M21" s="103" t="n"/>
      <c r="N21" s="82" t="n"/>
      <c r="O21" s="83" t="n"/>
      <c r="P21" s="83" t="n"/>
      <c r="Q21" s="84" t="n"/>
      <c r="R21" s="84">
        <f>P21-Q21</f>
        <v/>
      </c>
      <c r="S21" s="85" t="n"/>
      <c r="T21" s="83" t="n"/>
      <c r="U21" s="83" t="n"/>
      <c r="V21" s="84" t="n"/>
      <c r="W21" s="86">
        <f>U21-V21</f>
        <v/>
      </c>
      <c r="X21" s="87" t="n"/>
      <c r="Y21" s="83" t="n"/>
      <c r="Z21" s="83" t="n"/>
      <c r="AA21" s="84" t="n"/>
      <c r="AB21" s="86">
        <f>Z21-AA21</f>
        <v/>
      </c>
      <c r="AC21" s="87" t="n"/>
      <c r="AD21" s="83" t="n"/>
      <c r="AE21" s="83" t="n"/>
      <c r="AF21" s="84" t="n"/>
      <c r="AG21" s="86">
        <f>AE21-AF21</f>
        <v/>
      </c>
      <c r="AH21" s="87" t="n"/>
      <c r="AI21" s="83" t="n"/>
      <c r="AJ21" s="83" t="n"/>
      <c r="AK21" s="84" t="n"/>
      <c r="AL21" s="86">
        <f>AJ21-AK21</f>
        <v/>
      </c>
      <c r="AM21" s="87" t="n"/>
      <c r="AN21" s="83" t="n"/>
      <c r="AO21" s="83" t="n"/>
      <c r="AP21" s="84" t="n"/>
      <c r="AQ21" s="86">
        <f>AO21-AP21</f>
        <v/>
      </c>
      <c r="AR21" s="87" t="n"/>
      <c r="AS21" s="83" t="n"/>
      <c r="AT21" s="83" t="n"/>
      <c r="AU21" s="84" t="n"/>
      <c r="AV21" s="86">
        <f>AT21-AU21</f>
        <v/>
      </c>
      <c r="AW21" s="87" t="n"/>
      <c r="AX21" s="83" t="n"/>
      <c r="AY21" s="83" t="n"/>
      <c r="AZ21" s="84" t="n"/>
      <c r="BA21" s="86">
        <f>AY21-AZ21</f>
        <v/>
      </c>
      <c r="BB21" s="87" t="n"/>
      <c r="BC21" s="83" t="n"/>
      <c r="BD21" s="83" t="n"/>
      <c r="BE21" s="84" t="n"/>
      <c r="BF21" s="86">
        <f>BD21-BE21</f>
        <v/>
      </c>
      <c r="BG21" s="87" t="n"/>
      <c r="BH21" s="83" t="n"/>
      <c r="BI21" s="83" t="n"/>
      <c r="BJ21" s="84" t="n"/>
      <c r="BK21" s="86">
        <f>BI21-BJ21</f>
        <v/>
      </c>
      <c r="BL21" s="87" t="n"/>
      <c r="BM21" s="83" t="n"/>
      <c r="BN21" s="83" t="n"/>
      <c r="BO21" s="84" t="n"/>
      <c r="BP21" s="86">
        <f>BN21-BO21</f>
        <v/>
      </c>
      <c r="BQ21" s="87" t="n"/>
      <c r="BR21" s="83" t="n"/>
      <c r="BS21" s="83" t="n"/>
      <c r="BT21" s="84" t="n"/>
      <c r="BU21" s="86">
        <f>BS21-BT21</f>
        <v/>
      </c>
      <c r="BV21" s="85" t="n">
        <v>0</v>
      </c>
      <c r="BW21" s="89" t="n"/>
      <c r="BX21" s="90" t="n"/>
    </row>
    <row r="22" ht="30" customHeight="1">
      <c r="A22" s="91" t="n"/>
      <c r="B22" s="83" t="n"/>
      <c r="C22" s="92" t="n"/>
      <c r="D22" s="92" t="n"/>
      <c r="E22" s="92" t="n"/>
      <c r="F22" s="92" t="inlineStr">
        <is>
          <t>IT-SFT0170-86-OG-US</t>
        </is>
      </c>
      <c r="G22" s="92" t="n"/>
      <c r="H22" s="92" t="n"/>
      <c r="I22" s="92" t="n"/>
      <c r="J22" s="92" t="n"/>
      <c r="K22" s="93" t="n"/>
      <c r="L22" s="102" t="inlineStr">
        <is>
          <t>IT-SFT0170-86-OG-US - Broadcom (Job Scheduler)</t>
        </is>
      </c>
      <c r="M22" s="103" t="n"/>
      <c r="N22" s="82" t="n"/>
      <c r="O22" s="83" t="n"/>
      <c r="P22" s="83" t="n"/>
      <c r="Q22" s="84" t="n"/>
      <c r="R22" s="84">
        <f>P22-Q22</f>
        <v/>
      </c>
      <c r="S22" s="85" t="n"/>
      <c r="T22" s="83" t="n"/>
      <c r="U22" s="83" t="n"/>
      <c r="V22" s="84" t="n"/>
      <c r="W22" s="86">
        <f>U22-V22</f>
        <v/>
      </c>
      <c r="X22" s="87" t="n"/>
      <c r="Y22" s="83" t="n"/>
      <c r="Z22" s="83" t="n"/>
      <c r="AA22" s="84" t="n"/>
      <c r="AB22" s="86">
        <f>Z22-AA22</f>
        <v/>
      </c>
      <c r="AC22" s="87" t="n"/>
      <c r="AD22" s="83" t="n"/>
      <c r="AE22" s="83" t="n"/>
      <c r="AF22" s="84" t="n"/>
      <c r="AG22" s="86">
        <f>AE22-AF22</f>
        <v/>
      </c>
      <c r="AH22" s="87" t="n"/>
      <c r="AI22" s="83" t="n"/>
      <c r="AJ22" s="83" t="n"/>
      <c r="AK22" s="84" t="n"/>
      <c r="AL22" s="86">
        <f>AJ22-AK22</f>
        <v/>
      </c>
      <c r="AM22" s="87" t="n"/>
      <c r="AN22" s="83" t="n"/>
      <c r="AO22" s="83" t="n"/>
      <c r="AP22" s="84" t="n"/>
      <c r="AQ22" s="86">
        <f>AO22-AP22</f>
        <v/>
      </c>
      <c r="AR22" s="87" t="n"/>
      <c r="AS22" s="83" t="n"/>
      <c r="AT22" s="83" t="n"/>
      <c r="AU22" s="84" t="n"/>
      <c r="AV22" s="86">
        <f>AT22-AU22</f>
        <v/>
      </c>
      <c r="AW22" s="87" t="n"/>
      <c r="AX22" s="83" t="n"/>
      <c r="AY22" s="83" t="n"/>
      <c r="AZ22" s="84" t="n"/>
      <c r="BA22" s="86">
        <f>AY22-AZ22</f>
        <v/>
      </c>
      <c r="BB22" s="87" t="n"/>
      <c r="BC22" s="83" t="n"/>
      <c r="BD22" s="83" t="n"/>
      <c r="BE22" s="84" t="n"/>
      <c r="BF22" s="86">
        <f>BD22-BE22</f>
        <v/>
      </c>
      <c r="BG22" s="87" t="n"/>
      <c r="BH22" s="83" t="n"/>
      <c r="BI22" s="83" t="n"/>
      <c r="BJ22" s="84" t="n"/>
      <c r="BK22" s="86">
        <f>BI22-BJ22</f>
        <v/>
      </c>
      <c r="BL22" s="87" t="n"/>
      <c r="BM22" s="83" t="n"/>
      <c r="BN22" s="83" t="n"/>
      <c r="BO22" s="84" t="n"/>
      <c r="BP22" s="86">
        <f>BN22-BO22</f>
        <v/>
      </c>
      <c r="BQ22" s="87" t="n"/>
      <c r="BR22" s="83" t="n"/>
      <c r="BS22" s="83" t="n"/>
      <c r="BT22" s="84" t="n"/>
      <c r="BU22" s="86">
        <f>BS22-BT22</f>
        <v/>
      </c>
      <c r="BV22" s="85" t="n">
        <v>0</v>
      </c>
      <c r="BW22" s="89" t="n"/>
      <c r="BX22" s="90" t="n"/>
    </row>
    <row r="23" ht="30" customHeight="1">
      <c r="A23" s="91" t="n"/>
      <c r="B23" s="83" t="n"/>
      <c r="C23" s="92" t="n"/>
      <c r="D23" s="92" t="n"/>
      <c r="E23" s="92" t="n"/>
      <c r="F23" s="92" t="inlineStr">
        <is>
          <t>IT-SFT1441-OG-US-00</t>
        </is>
      </c>
      <c r="G23" s="92" t="n"/>
      <c r="H23" s="92" t="n"/>
      <c r="I23" s="92" t="n"/>
      <c r="J23" s="92" t="n"/>
      <c r="K23" s="93" t="n"/>
      <c r="L23" s="102" t="inlineStr">
        <is>
          <t>IT-SFT1441-OG-US-00 - AIOps - IBM Process Automation Manager</t>
        </is>
      </c>
      <c r="M23" s="103" t="n"/>
      <c r="N23" s="82" t="n"/>
      <c r="O23" s="83" t="n"/>
      <c r="P23" s="83" t="n"/>
      <c r="Q23" s="84" t="n"/>
      <c r="R23" s="84">
        <f>P23-Q23</f>
        <v/>
      </c>
      <c r="S23" s="85" t="n"/>
      <c r="T23" s="83" t="n"/>
      <c r="U23" s="83" t="n"/>
      <c r="V23" s="84" t="n"/>
      <c r="W23" s="86">
        <f>U23-V23</f>
        <v/>
      </c>
      <c r="X23" s="87" t="n"/>
      <c r="Y23" s="83" t="n"/>
      <c r="Z23" s="83" t="n"/>
      <c r="AA23" s="84" t="n"/>
      <c r="AB23" s="86">
        <f>Z23-AA23</f>
        <v/>
      </c>
      <c r="AC23" s="87" t="n"/>
      <c r="AD23" s="83" t="n"/>
      <c r="AE23" s="83" t="n"/>
      <c r="AF23" s="84" t="n"/>
      <c r="AG23" s="86">
        <f>AE23-AF23</f>
        <v/>
      </c>
      <c r="AH23" s="87" t="n"/>
      <c r="AI23" s="83" t="n"/>
      <c r="AJ23" s="83" t="n"/>
      <c r="AK23" s="84" t="n"/>
      <c r="AL23" s="86">
        <f>AJ23-AK23</f>
        <v/>
      </c>
      <c r="AM23" s="87" t="n"/>
      <c r="AN23" s="83" t="n"/>
      <c r="AO23" s="83" t="n"/>
      <c r="AP23" s="84" t="n"/>
      <c r="AQ23" s="86">
        <f>AO23-AP23</f>
        <v/>
      </c>
      <c r="AR23" s="87" t="n"/>
      <c r="AS23" s="83" t="n"/>
      <c r="AT23" s="83" t="n"/>
      <c r="AU23" s="84" t="n"/>
      <c r="AV23" s="86">
        <f>AT23-AU23</f>
        <v/>
      </c>
      <c r="AW23" s="87" t="n"/>
      <c r="AX23" s="83" t="n"/>
      <c r="AY23" s="83" t="n"/>
      <c r="AZ23" s="84" t="n"/>
      <c r="BA23" s="86">
        <f>AY23-AZ23</f>
        <v/>
      </c>
      <c r="BB23" s="87" t="n"/>
      <c r="BC23" s="83" t="n"/>
      <c r="BD23" s="83" t="n"/>
      <c r="BE23" s="84" t="n"/>
      <c r="BF23" s="86">
        <f>BD23-BE23</f>
        <v/>
      </c>
      <c r="BG23" s="87" t="n"/>
      <c r="BH23" s="83" t="n"/>
      <c r="BI23" s="83" t="n"/>
      <c r="BJ23" s="84" t="n"/>
      <c r="BK23" s="86">
        <f>BI23-BJ23</f>
        <v/>
      </c>
      <c r="BL23" s="87" t="n"/>
      <c r="BM23" s="83" t="n"/>
      <c r="BN23" s="83" t="n"/>
      <c r="BO23" s="84" t="n"/>
      <c r="BP23" s="86">
        <f>BN23-BO23</f>
        <v/>
      </c>
      <c r="BQ23" s="87" t="n"/>
      <c r="BR23" s="83" t="n"/>
      <c r="BS23" s="83" t="n"/>
      <c r="BT23" s="84" t="n"/>
      <c r="BU23" s="86">
        <f>BS23-BT23</f>
        <v/>
      </c>
      <c r="BV23" s="85" t="n">
        <v>0</v>
      </c>
      <c r="BW23" s="89" t="n"/>
      <c r="BX23" s="90" t="n"/>
    </row>
    <row r="24" ht="45" customHeight="1">
      <c r="A24" s="91" t="n"/>
      <c r="B24" s="83" t="n"/>
      <c r="C24" s="92" t="n"/>
      <c r="D24" s="92" t="n"/>
      <c r="E24" s="92" t="n"/>
      <c r="F24" s="92" t="inlineStr">
        <is>
          <t>IT-FBT0588-OG-US-00</t>
        </is>
      </c>
      <c r="G24" s="92" t="n"/>
      <c r="H24" s="92" t="n"/>
      <c r="I24" s="92" t="n"/>
      <c r="J24" s="92" t="n"/>
      <c r="K24" s="93" t="n"/>
      <c r="L24" s="102" t="inlineStr">
        <is>
          <t>IT-FBT0588-OG-US-00 - Infrastructure Charges - SSL VPN - Partner Connect (SAP AG iVPN site-to-site)</t>
        </is>
      </c>
      <c r="M24" s="103" t="n"/>
      <c r="N24" s="82" t="n"/>
      <c r="O24" s="83" t="n"/>
      <c r="P24" s="83" t="n"/>
      <c r="Q24" s="84" t="n"/>
      <c r="R24" s="84">
        <f>P24-Q24</f>
        <v/>
      </c>
      <c r="S24" s="85" t="n"/>
      <c r="T24" s="83" t="n"/>
      <c r="U24" s="83" t="n"/>
      <c r="V24" s="84" t="n"/>
      <c r="W24" s="86">
        <f>U24-V24</f>
        <v/>
      </c>
      <c r="X24" s="87" t="n"/>
      <c r="Y24" s="83" t="n"/>
      <c r="Z24" s="83" t="n"/>
      <c r="AA24" s="84" t="n"/>
      <c r="AB24" s="86">
        <f>Z24-AA24</f>
        <v/>
      </c>
      <c r="AC24" s="87" t="n"/>
      <c r="AD24" s="83" t="n"/>
      <c r="AE24" s="83" t="n"/>
      <c r="AF24" s="84" t="n"/>
      <c r="AG24" s="86">
        <f>AE24-AF24</f>
        <v/>
      </c>
      <c r="AH24" s="87" t="n"/>
      <c r="AI24" s="83" t="n"/>
      <c r="AJ24" s="83" t="n"/>
      <c r="AK24" s="84" t="n"/>
      <c r="AL24" s="86">
        <f>AJ24-AK24</f>
        <v/>
      </c>
      <c r="AM24" s="87" t="n"/>
      <c r="AN24" s="83" t="n"/>
      <c r="AO24" s="83" t="n"/>
      <c r="AP24" s="84" t="n"/>
      <c r="AQ24" s="86">
        <f>AO24-AP24</f>
        <v/>
      </c>
      <c r="AR24" s="87" t="n"/>
      <c r="AS24" s="83" t="n"/>
      <c r="AT24" s="83" t="n"/>
      <c r="AU24" s="84" t="n"/>
      <c r="AV24" s="86">
        <f>AT24-AU24</f>
        <v/>
      </c>
      <c r="AW24" s="87" t="n"/>
      <c r="AX24" s="83" t="n"/>
      <c r="AY24" s="83" t="n"/>
      <c r="AZ24" s="84" t="n"/>
      <c r="BA24" s="86">
        <f>AY24-AZ24</f>
        <v/>
      </c>
      <c r="BB24" s="87" t="n"/>
      <c r="BC24" s="83" t="n"/>
      <c r="BD24" s="83" t="n"/>
      <c r="BE24" s="84" t="n"/>
      <c r="BF24" s="86">
        <f>BD24-BE24</f>
        <v/>
      </c>
      <c r="BG24" s="87" t="n"/>
      <c r="BH24" s="83" t="n"/>
      <c r="BI24" s="83" t="n"/>
      <c r="BJ24" s="84" t="n"/>
      <c r="BK24" s="86">
        <f>BI24-BJ24</f>
        <v/>
      </c>
      <c r="BL24" s="87" t="n"/>
      <c r="BM24" s="83" t="n"/>
      <c r="BN24" s="83" t="n"/>
      <c r="BO24" s="84" t="n"/>
      <c r="BP24" s="86">
        <f>BN24-BO24</f>
        <v/>
      </c>
      <c r="BQ24" s="87" t="n"/>
      <c r="BR24" s="83" t="n"/>
      <c r="BS24" s="83" t="n"/>
      <c r="BT24" s="84" t="n"/>
      <c r="BU24" s="86">
        <f>BS24-BT24</f>
        <v/>
      </c>
      <c r="BV24" s="85" t="n">
        <v>0</v>
      </c>
      <c r="BW24" s="89" t="n"/>
      <c r="BX24" s="90" t="n"/>
    </row>
    <row r="25" ht="45" customHeight="1">
      <c r="A25" s="91" t="n"/>
      <c r="B25" s="83" t="n"/>
      <c r="C25" s="92" t="n"/>
      <c r="D25" s="92" t="n"/>
      <c r="E25" s="92" t="n"/>
      <c r="F25" s="92" t="inlineStr">
        <is>
          <t>IT-FBT0403-OG-US-00</t>
        </is>
      </c>
      <c r="G25" s="92" t="n"/>
      <c r="H25" s="92" t="n"/>
      <c r="I25" s="92" t="n"/>
      <c r="J25" s="92" t="n"/>
      <c r="K25" s="93" t="n"/>
      <c r="L25" s="102" t="inlineStr">
        <is>
          <t>AI Center of Excellence (COE) Infrastructure Support &amp; GDO Support for Ariba Bot</t>
        </is>
      </c>
      <c r="M25" s="103" t="n"/>
      <c r="N25" s="82" t="n"/>
      <c r="O25" s="83" t="n"/>
      <c r="P25" s="83" t="n"/>
      <c r="Q25" s="84" t="n"/>
      <c r="R25" s="84">
        <f>P25-Q25</f>
        <v/>
      </c>
      <c r="S25" s="85" t="n"/>
      <c r="T25" s="83" t="n"/>
      <c r="U25" s="83" t="n"/>
      <c r="V25" s="84" t="n"/>
      <c r="W25" s="86">
        <f>U25-V25</f>
        <v/>
      </c>
      <c r="X25" s="87" t="n"/>
      <c r="Y25" s="83" t="n"/>
      <c r="Z25" s="83" t="n"/>
      <c r="AA25" s="84" t="n"/>
      <c r="AB25" s="86">
        <f>Z25-AA25</f>
        <v/>
      </c>
      <c r="AC25" s="87" t="n"/>
      <c r="AD25" s="83" t="n"/>
      <c r="AE25" s="83" t="n"/>
      <c r="AF25" s="84" t="n"/>
      <c r="AG25" s="86">
        <f>AE25-AF25</f>
        <v/>
      </c>
      <c r="AH25" s="87" t="n"/>
      <c r="AI25" s="83" t="n"/>
      <c r="AJ25" s="83" t="n"/>
      <c r="AK25" s="84" t="n"/>
      <c r="AL25" s="86">
        <f>AJ25-AK25</f>
        <v/>
      </c>
      <c r="AM25" s="87" t="n"/>
      <c r="AN25" s="83" t="n"/>
      <c r="AO25" s="83" t="n"/>
      <c r="AP25" s="84" t="n"/>
      <c r="AQ25" s="86">
        <f>AO25-AP25</f>
        <v/>
      </c>
      <c r="AR25" s="87" t="n"/>
      <c r="AS25" s="83" t="n"/>
      <c r="AT25" s="83" t="n"/>
      <c r="AU25" s="84" t="n"/>
      <c r="AV25" s="86">
        <f>AT25-AU25</f>
        <v/>
      </c>
      <c r="AW25" s="87" t="n"/>
      <c r="AX25" s="83" t="n"/>
      <c r="AY25" s="83" t="n"/>
      <c r="AZ25" s="84" t="n"/>
      <c r="BA25" s="86">
        <f>AY25-AZ25</f>
        <v/>
      </c>
      <c r="BB25" s="87" t="n"/>
      <c r="BC25" s="83" t="n"/>
      <c r="BD25" s="83" t="n"/>
      <c r="BE25" s="84" t="n"/>
      <c r="BF25" s="86">
        <f>BD25-BE25</f>
        <v/>
      </c>
      <c r="BG25" s="87" t="n"/>
      <c r="BH25" s="83" t="n"/>
      <c r="BI25" s="83" t="n"/>
      <c r="BJ25" s="84" t="n"/>
      <c r="BK25" s="86">
        <f>BI25-BJ25</f>
        <v/>
      </c>
      <c r="BL25" s="87" t="n"/>
      <c r="BM25" s="83" t="n"/>
      <c r="BN25" s="83" t="n"/>
      <c r="BO25" s="84" t="n"/>
      <c r="BP25" s="86">
        <f>BN25-BO25</f>
        <v/>
      </c>
      <c r="BQ25" s="87" t="n"/>
      <c r="BR25" s="83" t="n"/>
      <c r="BS25" s="83" t="n"/>
      <c r="BT25" s="84" t="n"/>
      <c r="BU25" s="86">
        <f>BS25-BT25</f>
        <v/>
      </c>
      <c r="BV25" s="85" t="n">
        <v>0</v>
      </c>
      <c r="BW25" s="89" t="n"/>
      <c r="BX25" s="90" t="n"/>
    </row>
    <row r="26">
      <c r="A26" s="91" t="n"/>
      <c r="B26" s="83" t="n"/>
      <c r="C26" s="92" t="n"/>
      <c r="D26" s="92" t="n"/>
      <c r="E26" s="92" t="n"/>
      <c r="F26" s="92" t="inlineStr">
        <is>
          <t>IT-FBT0770-OT-US-00</t>
        </is>
      </c>
      <c r="G26" s="92" t="n"/>
      <c r="H26" s="92" t="n"/>
      <c r="I26" s="92" t="n"/>
      <c r="J26" s="92" t="n"/>
      <c r="K26" s="93" t="n"/>
      <c r="L26" s="102" t="inlineStr">
        <is>
          <t>Legacy PS HR &amp; GRW Related charges</t>
        </is>
      </c>
      <c r="M26" s="103" t="n"/>
      <c r="N26" s="82" t="n"/>
      <c r="O26" s="83" t="n"/>
      <c r="P26" s="83" t="n"/>
      <c r="Q26" s="84" t="n"/>
      <c r="R26" s="84">
        <f>P26-Q26</f>
        <v/>
      </c>
      <c r="S26" s="85" t="n"/>
      <c r="T26" s="83" t="n"/>
      <c r="U26" s="83" t="n"/>
      <c r="V26" s="84" t="n"/>
      <c r="W26" s="86">
        <f>U26-V26</f>
        <v/>
      </c>
      <c r="X26" s="87" t="n"/>
      <c r="Y26" s="83" t="n"/>
      <c r="Z26" s="83" t="n"/>
      <c r="AA26" s="84" t="n"/>
      <c r="AB26" s="86">
        <f>Z26-AA26</f>
        <v/>
      </c>
      <c r="AC26" s="87" t="n"/>
      <c r="AD26" s="83" t="n"/>
      <c r="AE26" s="83" t="n"/>
      <c r="AF26" s="84" t="n"/>
      <c r="AG26" s="86">
        <f>AE26-AF26</f>
        <v/>
      </c>
      <c r="AH26" s="87" t="n"/>
      <c r="AI26" s="83" t="n"/>
      <c r="AJ26" s="83" t="n"/>
      <c r="AK26" s="84" t="n"/>
      <c r="AL26" s="86">
        <f>AJ26-AK26</f>
        <v/>
      </c>
      <c r="AM26" s="87" t="n"/>
      <c r="AN26" s="83" t="n"/>
      <c r="AO26" s="83" t="n"/>
      <c r="AP26" s="84" t="n"/>
      <c r="AQ26" s="86">
        <f>AO26-AP26</f>
        <v/>
      </c>
      <c r="AR26" s="87" t="n"/>
      <c r="AS26" s="83" t="n"/>
      <c r="AT26" s="83" t="n"/>
      <c r="AU26" s="84" t="n"/>
      <c r="AV26" s="86">
        <f>AT26-AU26</f>
        <v/>
      </c>
      <c r="AW26" s="87" t="n"/>
      <c r="AX26" s="83" t="n"/>
      <c r="AY26" s="83" t="n"/>
      <c r="AZ26" s="84" t="n"/>
      <c r="BA26" s="86">
        <f>AY26-AZ26</f>
        <v/>
      </c>
      <c r="BB26" s="87" t="n"/>
      <c r="BC26" s="83" t="n"/>
      <c r="BD26" s="83" t="n"/>
      <c r="BE26" s="84" t="n"/>
      <c r="BF26" s="86">
        <f>BD26-BE26</f>
        <v/>
      </c>
      <c r="BG26" s="87" t="n"/>
      <c r="BH26" s="83" t="n"/>
      <c r="BI26" s="83" t="n"/>
      <c r="BJ26" s="84" t="n"/>
      <c r="BK26" s="86">
        <f>BI26-BJ26</f>
        <v/>
      </c>
      <c r="BL26" s="87" t="n"/>
      <c r="BM26" s="83" t="n"/>
      <c r="BN26" s="83" t="n"/>
      <c r="BO26" s="84" t="n"/>
      <c r="BP26" s="86">
        <f>BN26-BO26</f>
        <v/>
      </c>
      <c r="BQ26" s="87" t="n"/>
      <c r="BR26" s="83" t="n"/>
      <c r="BS26" s="83" t="n"/>
      <c r="BT26" s="84" t="n"/>
      <c r="BU26" s="86">
        <f>BS26-BT26</f>
        <v/>
      </c>
      <c r="BV26" s="85" t="n">
        <v>0</v>
      </c>
      <c r="BW26" s="89" t="n"/>
      <c r="BX26" s="90" t="n"/>
    </row>
    <row r="27" ht="30" customHeight="1">
      <c r="A27" s="91" t="n"/>
      <c r="B27" s="83" t="n"/>
      <c r="C27" s="92" t="n"/>
      <c r="D27" s="92" t="n"/>
      <c r="E27" s="92" t="n"/>
      <c r="F27" s="92" t="inlineStr">
        <is>
          <t>IT-FBT0665-OG-US-00</t>
        </is>
      </c>
      <c r="G27" s="92" t="n"/>
      <c r="H27" s="92" t="n"/>
      <c r="I27" s="92" t="n"/>
      <c r="J27" s="92" t="n"/>
      <c r="K27" s="93" t="n"/>
      <c r="L27" s="102" t="inlineStr">
        <is>
          <t>Infrastructure Charges - SAP Backoffice - Cloud AWS</t>
        </is>
      </c>
      <c r="M27" s="103" t="n"/>
      <c r="N27" s="82" t="n"/>
      <c r="O27" s="83" t="n"/>
      <c r="P27" s="83" t="n"/>
      <c r="Q27" s="84" t="n"/>
      <c r="R27" s="84">
        <f>P27-Q27</f>
        <v/>
      </c>
      <c r="S27" s="85" t="n"/>
      <c r="T27" s="83" t="n"/>
      <c r="U27" s="83" t="n"/>
      <c r="V27" s="84" t="n"/>
      <c r="W27" s="86">
        <f>U27-V27</f>
        <v/>
      </c>
      <c r="X27" s="87" t="n"/>
      <c r="Y27" s="83" t="n"/>
      <c r="Z27" s="83" t="n"/>
      <c r="AA27" s="84" t="n"/>
      <c r="AB27" s="86">
        <f>Z27-AA27</f>
        <v/>
      </c>
      <c r="AC27" s="87" t="n"/>
      <c r="AD27" s="83" t="n"/>
      <c r="AE27" s="83" t="n"/>
      <c r="AF27" s="84" t="n"/>
      <c r="AG27" s="86">
        <f>AE27-AF27</f>
        <v/>
      </c>
      <c r="AH27" s="87" t="n"/>
      <c r="AI27" s="83" t="n"/>
      <c r="AJ27" s="83" t="n"/>
      <c r="AK27" s="84" t="n"/>
      <c r="AL27" s="86">
        <f>AJ27-AK27</f>
        <v/>
      </c>
      <c r="AM27" s="87" t="n"/>
      <c r="AN27" s="83" t="n"/>
      <c r="AO27" s="83" t="n"/>
      <c r="AP27" s="84" t="n"/>
      <c r="AQ27" s="86">
        <f>AO27-AP27</f>
        <v/>
      </c>
      <c r="AR27" s="87" t="n"/>
      <c r="AS27" s="83" t="n"/>
      <c r="AT27" s="83" t="n"/>
      <c r="AU27" s="84" t="n"/>
      <c r="AV27" s="86">
        <f>AT27-AU27</f>
        <v/>
      </c>
      <c r="AW27" s="87" t="n"/>
      <c r="AX27" s="83" t="n"/>
      <c r="AY27" s="83" t="n"/>
      <c r="AZ27" s="84" t="n"/>
      <c r="BA27" s="86">
        <f>AY27-AZ27</f>
        <v/>
      </c>
      <c r="BB27" s="87" t="n"/>
      <c r="BC27" s="83" t="n"/>
      <c r="BD27" s="83" t="n"/>
      <c r="BE27" s="84" t="n"/>
      <c r="BF27" s="86">
        <f>BD27-BE27</f>
        <v/>
      </c>
      <c r="BG27" s="87" t="n"/>
      <c r="BH27" s="83" t="n"/>
      <c r="BI27" s="83" t="n"/>
      <c r="BJ27" s="84" t="n"/>
      <c r="BK27" s="86">
        <f>BI27-BJ27</f>
        <v/>
      </c>
      <c r="BL27" s="87" t="n"/>
      <c r="BM27" s="83" t="n"/>
      <c r="BN27" s="83" t="n"/>
      <c r="BO27" s="84" t="n"/>
      <c r="BP27" s="86">
        <f>BN27-BO27</f>
        <v/>
      </c>
      <c r="BQ27" s="87" t="n"/>
      <c r="BR27" s="83" t="n"/>
      <c r="BS27" s="83" t="n"/>
      <c r="BT27" s="84" t="n"/>
      <c r="BU27" s="86">
        <f>BS27-BT27</f>
        <v/>
      </c>
      <c r="BV27" s="85" t="n">
        <v>0</v>
      </c>
      <c r="BW27" s="89" t="n"/>
      <c r="BX27" s="90" t="n"/>
    </row>
    <row r="28">
      <c r="A28" s="91" t="n"/>
      <c r="B28" s="83" t="n"/>
      <c r="C28" s="92" t="n"/>
      <c r="D28" s="92" t="n"/>
      <c r="E28" s="92" t="n"/>
      <c r="F28" s="92" t="inlineStr">
        <is>
          <t>IT-FBT0675-OG-US-00</t>
        </is>
      </c>
      <c r="G28" s="92" t="n"/>
      <c r="H28" s="92" t="n"/>
      <c r="I28" s="92" t="n"/>
      <c r="J28" s="92" t="n"/>
      <c r="K28" s="93" t="n"/>
      <c r="L28" s="102" t="inlineStr">
        <is>
          <t>Infrastructure Charges</t>
        </is>
      </c>
      <c r="M28" s="103" t="n"/>
      <c r="N28" s="82" t="n"/>
      <c r="O28" s="83" t="n"/>
      <c r="P28" s="83" t="n"/>
      <c r="Q28" s="84" t="n"/>
      <c r="R28" s="84">
        <f>P28-Q28</f>
        <v/>
      </c>
      <c r="S28" s="85" t="n"/>
      <c r="T28" s="83" t="n"/>
      <c r="U28" s="83" t="n"/>
      <c r="V28" s="84" t="n"/>
      <c r="W28" s="86">
        <f>U28-V28</f>
        <v/>
      </c>
      <c r="X28" s="87" t="n"/>
      <c r="Y28" s="83" t="n"/>
      <c r="Z28" s="83" t="n"/>
      <c r="AA28" s="84" t="n"/>
      <c r="AB28" s="86">
        <f>Z28-AA28</f>
        <v/>
      </c>
      <c r="AC28" s="87" t="n"/>
      <c r="AD28" s="83" t="n"/>
      <c r="AE28" s="83" t="n"/>
      <c r="AF28" s="84" t="n"/>
      <c r="AG28" s="86">
        <f>AE28-AF28</f>
        <v/>
      </c>
      <c r="AH28" s="87" t="n"/>
      <c r="AI28" s="83" t="n"/>
      <c r="AJ28" s="83" t="n"/>
      <c r="AK28" s="84" t="n"/>
      <c r="AL28" s="86">
        <f>AJ28-AK28</f>
        <v/>
      </c>
      <c r="AM28" s="87" t="n"/>
      <c r="AN28" s="83" t="n"/>
      <c r="AO28" s="83" t="n"/>
      <c r="AP28" s="84" t="n"/>
      <c r="AQ28" s="86">
        <f>AO28-AP28</f>
        <v/>
      </c>
      <c r="AR28" s="87" t="n"/>
      <c r="AS28" s="83" t="n"/>
      <c r="AT28" s="83" t="n"/>
      <c r="AU28" s="84" t="n"/>
      <c r="AV28" s="86">
        <f>AT28-AU28</f>
        <v/>
      </c>
      <c r="AW28" s="87" t="n"/>
      <c r="AX28" s="83" t="n"/>
      <c r="AY28" s="83" t="n"/>
      <c r="AZ28" s="84" t="n"/>
      <c r="BA28" s="86">
        <f>AY28-AZ28</f>
        <v/>
      </c>
      <c r="BB28" s="87" t="n"/>
      <c r="BC28" s="83" t="n"/>
      <c r="BD28" s="83" t="n"/>
      <c r="BE28" s="84" t="n"/>
      <c r="BF28" s="86">
        <f>BD28-BE28</f>
        <v/>
      </c>
      <c r="BG28" s="87" t="n"/>
      <c r="BH28" s="83" t="n"/>
      <c r="BI28" s="83" t="n"/>
      <c r="BJ28" s="84" t="n"/>
      <c r="BK28" s="86">
        <f>BI28-BJ28</f>
        <v/>
      </c>
      <c r="BL28" s="87" t="n"/>
      <c r="BM28" s="83" t="n"/>
      <c r="BN28" s="83" t="n"/>
      <c r="BO28" s="84" t="n"/>
      <c r="BP28" s="86">
        <f>BN28-BO28</f>
        <v/>
      </c>
      <c r="BQ28" s="87" t="n"/>
      <c r="BR28" s="83" t="n"/>
      <c r="BS28" s="83" t="n"/>
      <c r="BT28" s="84" t="n"/>
      <c r="BU28" s="86">
        <f>BS28-BT28</f>
        <v/>
      </c>
      <c r="BV28" s="85" t="n">
        <v>0</v>
      </c>
      <c r="BW28" s="89" t="n"/>
      <c r="BX28" s="90" t="n"/>
    </row>
    <row r="29">
      <c r="A29" s="91" t="n"/>
      <c r="B29" s="83" t="n"/>
      <c r="C29" s="92" t="n"/>
      <c r="D29" s="92" t="n"/>
      <c r="E29" s="92" t="n"/>
      <c r="F29" s="92" t="inlineStr">
        <is>
          <t>IT-FBT0693-OG-US-00</t>
        </is>
      </c>
      <c r="G29" s="92" t="n"/>
      <c r="H29" s="92" t="n"/>
      <c r="I29" s="92" t="n"/>
      <c r="J29" s="92" t="n"/>
      <c r="K29" s="93" t="n"/>
      <c r="L29" s="102" t="inlineStr">
        <is>
          <t>Infrastructure Charges</t>
        </is>
      </c>
      <c r="M29" s="103" t="n"/>
      <c r="N29" s="82" t="n"/>
      <c r="O29" s="83" t="n"/>
      <c r="P29" s="83" t="n"/>
      <c r="Q29" s="84" t="n"/>
      <c r="R29" s="84">
        <f>P29-Q29</f>
        <v/>
      </c>
      <c r="S29" s="85" t="n"/>
      <c r="T29" s="83" t="n"/>
      <c r="U29" s="83" t="n"/>
      <c r="V29" s="84" t="n"/>
      <c r="W29" s="86">
        <f>U29-V29</f>
        <v/>
      </c>
      <c r="X29" s="87" t="n"/>
      <c r="Y29" s="83" t="n"/>
      <c r="Z29" s="83" t="n"/>
      <c r="AA29" s="84" t="n"/>
      <c r="AB29" s="86">
        <f>Z29-AA29</f>
        <v/>
      </c>
      <c r="AC29" s="87" t="n"/>
      <c r="AD29" s="83" t="n"/>
      <c r="AE29" s="83" t="n"/>
      <c r="AF29" s="84" t="n"/>
      <c r="AG29" s="86">
        <f>AE29-AF29</f>
        <v/>
      </c>
      <c r="AH29" s="87" t="n"/>
      <c r="AI29" s="83" t="n"/>
      <c r="AJ29" s="83" t="n"/>
      <c r="AK29" s="84" t="n"/>
      <c r="AL29" s="86">
        <f>AJ29-AK29</f>
        <v/>
      </c>
      <c r="AM29" s="87" t="n"/>
      <c r="AN29" s="83" t="n"/>
      <c r="AO29" s="83" t="n"/>
      <c r="AP29" s="84" t="n"/>
      <c r="AQ29" s="86">
        <f>AO29-AP29</f>
        <v/>
      </c>
      <c r="AR29" s="87" t="n"/>
      <c r="AS29" s="83" t="n"/>
      <c r="AT29" s="83" t="n"/>
      <c r="AU29" s="84" t="n"/>
      <c r="AV29" s="86">
        <f>AT29-AU29</f>
        <v/>
      </c>
      <c r="AW29" s="87" t="n"/>
      <c r="AX29" s="83" t="n"/>
      <c r="AY29" s="83" t="n"/>
      <c r="AZ29" s="84" t="n"/>
      <c r="BA29" s="86">
        <f>AY29-AZ29</f>
        <v/>
      </c>
      <c r="BB29" s="87" t="n"/>
      <c r="BC29" s="83" t="n"/>
      <c r="BD29" s="83" t="n"/>
      <c r="BE29" s="84" t="n"/>
      <c r="BF29" s="86">
        <f>BD29-BE29</f>
        <v/>
      </c>
      <c r="BG29" s="87" t="n"/>
      <c r="BH29" s="83" t="n"/>
      <c r="BI29" s="83" t="n"/>
      <c r="BJ29" s="84" t="n"/>
      <c r="BK29" s="86">
        <f>BI29-BJ29</f>
        <v/>
      </c>
      <c r="BL29" s="87" t="n"/>
      <c r="BM29" s="83" t="n"/>
      <c r="BN29" s="83" t="n"/>
      <c r="BO29" s="84" t="n"/>
      <c r="BP29" s="86">
        <f>BN29-BO29</f>
        <v/>
      </c>
      <c r="BQ29" s="87" t="n"/>
      <c r="BR29" s="83" t="n"/>
      <c r="BS29" s="83" t="n"/>
      <c r="BT29" s="84" t="n"/>
      <c r="BU29" s="86">
        <f>BS29-BT29</f>
        <v/>
      </c>
      <c r="BV29" s="85" t="n">
        <v>0</v>
      </c>
      <c r="BW29" s="89" t="n"/>
      <c r="BX29" s="90" t="n"/>
    </row>
    <row r="30" ht="30" customHeight="1">
      <c r="A30" s="91" t="n"/>
      <c r="B30" s="83" t="n"/>
      <c r="C30" s="92" t="n"/>
      <c r="D30" s="92" t="n"/>
      <c r="E30" s="92" t="n"/>
      <c r="F30" s="92" t="inlineStr">
        <is>
          <t>IT-FBT0769-OT-US-00</t>
        </is>
      </c>
      <c r="G30" s="92" t="n"/>
      <c r="H30" s="92" t="n"/>
      <c r="I30" s="92" t="n"/>
      <c r="J30" s="92" t="n"/>
      <c r="K30" s="93" t="n"/>
      <c r="L30" s="102" t="inlineStr">
        <is>
          <t>PFIZER APPS related charges (Cloud AWS, Data Protection)</t>
        </is>
      </c>
      <c r="M30" s="103" t="n"/>
      <c r="N30" s="82" t="n"/>
      <c r="O30" s="83" t="n"/>
      <c r="P30" s="83" t="n"/>
      <c r="Q30" s="84" t="n"/>
      <c r="R30" s="84">
        <f>P30-Q30</f>
        <v/>
      </c>
      <c r="S30" s="85" t="n"/>
      <c r="T30" s="83" t="n"/>
      <c r="U30" s="83" t="n"/>
      <c r="V30" s="84" t="n"/>
      <c r="W30" s="86">
        <f>U30-V30</f>
        <v/>
      </c>
      <c r="X30" s="87" t="n"/>
      <c r="Y30" s="83" t="n"/>
      <c r="Z30" s="83" t="n"/>
      <c r="AA30" s="84" t="n"/>
      <c r="AB30" s="86">
        <f>Z30-AA30</f>
        <v/>
      </c>
      <c r="AC30" s="87" t="n"/>
      <c r="AD30" s="83" t="n"/>
      <c r="AE30" s="83" t="n"/>
      <c r="AF30" s="84" t="n"/>
      <c r="AG30" s="86">
        <f>AE30-AF30</f>
        <v/>
      </c>
      <c r="AH30" s="87" t="n"/>
      <c r="AI30" s="83" t="n"/>
      <c r="AJ30" s="83" t="n"/>
      <c r="AK30" s="84" t="n"/>
      <c r="AL30" s="86">
        <f>AJ30-AK30</f>
        <v/>
      </c>
      <c r="AM30" s="87" t="n"/>
      <c r="AN30" s="83" t="n"/>
      <c r="AO30" s="83" t="n"/>
      <c r="AP30" s="84" t="n"/>
      <c r="AQ30" s="86">
        <f>AO30-AP30</f>
        <v/>
      </c>
      <c r="AR30" s="87" t="n"/>
      <c r="AS30" s="83" t="n"/>
      <c r="AT30" s="83" t="n"/>
      <c r="AU30" s="84" t="n"/>
      <c r="AV30" s="86">
        <f>AT30-AU30</f>
        <v/>
      </c>
      <c r="AW30" s="87" t="n"/>
      <c r="AX30" s="83" t="n"/>
      <c r="AY30" s="83" t="n"/>
      <c r="AZ30" s="84" t="n"/>
      <c r="BA30" s="86">
        <f>AY30-AZ30</f>
        <v/>
      </c>
      <c r="BB30" s="87" t="n"/>
      <c r="BC30" s="83" t="n"/>
      <c r="BD30" s="83" t="n"/>
      <c r="BE30" s="84" t="n"/>
      <c r="BF30" s="86">
        <f>BD30-BE30</f>
        <v/>
      </c>
      <c r="BG30" s="87" t="n"/>
      <c r="BH30" s="83" t="n"/>
      <c r="BI30" s="83" t="n"/>
      <c r="BJ30" s="84" t="n"/>
      <c r="BK30" s="86">
        <f>BI30-BJ30</f>
        <v/>
      </c>
      <c r="BL30" s="87" t="n"/>
      <c r="BM30" s="83" t="n"/>
      <c r="BN30" s="83" t="n"/>
      <c r="BO30" s="84" t="n"/>
      <c r="BP30" s="86">
        <f>BN30-BO30</f>
        <v/>
      </c>
      <c r="BQ30" s="87" t="n"/>
      <c r="BR30" s="83" t="n"/>
      <c r="BS30" s="83" t="n"/>
      <c r="BT30" s="84" t="n"/>
      <c r="BU30" s="86">
        <f>BS30-BT30</f>
        <v/>
      </c>
      <c r="BV30" s="85" t="n">
        <v>0</v>
      </c>
      <c r="BW30" s="89" t="n"/>
      <c r="BX30" s="90" t="n"/>
    </row>
    <row r="31" ht="30" customHeight="1">
      <c r="A31" s="91" t="n"/>
      <c r="B31" s="83" t="n"/>
      <c r="C31" s="92" t="n"/>
      <c r="D31" s="92" t="n"/>
      <c r="E31" s="92" t="n"/>
      <c r="F31" s="92" t="inlineStr">
        <is>
          <t>IT-FGS0298-SW-US-00</t>
        </is>
      </c>
      <c r="G31" s="92" t="n"/>
      <c r="H31" s="92" t="n"/>
      <c r="I31" s="92" t="n"/>
      <c r="J31" s="92" t="n"/>
      <c r="K31" s="93" t="n"/>
      <c r="L31" s="102" t="inlineStr">
        <is>
          <t>JFrog Artifactory Repository Monthly Charge</t>
        </is>
      </c>
      <c r="M31" s="103" t="n"/>
      <c r="N31" s="82" t="n"/>
      <c r="O31" s="83" t="n"/>
      <c r="P31" s="83" t="n"/>
      <c r="Q31" s="84" t="n"/>
      <c r="R31" s="84">
        <f>P31-Q31</f>
        <v/>
      </c>
      <c r="S31" s="85" t="n"/>
      <c r="T31" s="83" t="n"/>
      <c r="U31" s="83" t="n"/>
      <c r="V31" s="84" t="n"/>
      <c r="W31" s="86">
        <f>U31-V31</f>
        <v/>
      </c>
      <c r="X31" s="87" t="n"/>
      <c r="Y31" s="83" t="n"/>
      <c r="Z31" s="83" t="n"/>
      <c r="AA31" s="84" t="n"/>
      <c r="AB31" s="86">
        <f>Z31-AA31</f>
        <v/>
      </c>
      <c r="AC31" s="87" t="n"/>
      <c r="AD31" s="83" t="n"/>
      <c r="AE31" s="83" t="n"/>
      <c r="AF31" s="84" t="n"/>
      <c r="AG31" s="86">
        <f>AE31-AF31</f>
        <v/>
      </c>
      <c r="AH31" s="87" t="n"/>
      <c r="AI31" s="83" t="n"/>
      <c r="AJ31" s="83" t="n"/>
      <c r="AK31" s="84" t="n"/>
      <c r="AL31" s="86">
        <f>AJ31-AK31</f>
        <v/>
      </c>
      <c r="AM31" s="87" t="n"/>
      <c r="AN31" s="83" t="n"/>
      <c r="AO31" s="83" t="n"/>
      <c r="AP31" s="84" t="n"/>
      <c r="AQ31" s="86">
        <f>AO31-AP31</f>
        <v/>
      </c>
      <c r="AR31" s="87" t="n"/>
      <c r="AS31" s="83" t="n"/>
      <c r="AT31" s="83" t="n"/>
      <c r="AU31" s="84" t="n"/>
      <c r="AV31" s="86">
        <f>AT31-AU31</f>
        <v/>
      </c>
      <c r="AW31" s="87" t="n"/>
      <c r="AX31" s="83" t="n"/>
      <c r="AY31" s="83" t="n"/>
      <c r="AZ31" s="84" t="n"/>
      <c r="BA31" s="86">
        <f>AY31-AZ31</f>
        <v/>
      </c>
      <c r="BB31" s="87" t="n"/>
      <c r="BC31" s="83" t="n"/>
      <c r="BD31" s="83" t="n"/>
      <c r="BE31" s="84" t="n"/>
      <c r="BF31" s="86">
        <f>BD31-BE31</f>
        <v/>
      </c>
      <c r="BG31" s="87" t="n"/>
      <c r="BH31" s="83" t="n"/>
      <c r="BI31" s="83" t="n"/>
      <c r="BJ31" s="84" t="n"/>
      <c r="BK31" s="86">
        <f>BI31-BJ31</f>
        <v/>
      </c>
      <c r="BL31" s="87" t="n"/>
      <c r="BM31" s="83" t="n"/>
      <c r="BN31" s="83" t="n"/>
      <c r="BO31" s="84" t="n"/>
      <c r="BP31" s="86">
        <f>BN31-BO31</f>
        <v/>
      </c>
      <c r="BQ31" s="87" t="n"/>
      <c r="BR31" s="83" t="n"/>
      <c r="BS31" s="83" t="n"/>
      <c r="BT31" s="84" t="n"/>
      <c r="BU31" s="86">
        <f>BS31-BT31</f>
        <v/>
      </c>
      <c r="BV31" s="85" t="n">
        <v>0</v>
      </c>
      <c r="BW31" s="89" t="n"/>
      <c r="BX31" s="90" t="n"/>
    </row>
    <row r="32" ht="45" customHeight="1">
      <c r="A32" s="91" t="n"/>
      <c r="B32" s="83" t="n"/>
      <c r="C32" s="92" t="n"/>
      <c r="D32" s="92" t="n"/>
      <c r="E32" s="92" t="n"/>
      <c r="F32" s="92" t="inlineStr">
        <is>
          <t>IT-FGS0299-OG-US-00</t>
        </is>
      </c>
      <c r="G32" s="92" t="n"/>
      <c r="H32" s="92" t="n"/>
      <c r="I32" s="92" t="n"/>
      <c r="J32" s="92" t="n"/>
      <c r="K32" s="93" t="n"/>
      <c r="L32" s="102" t="inlineStr">
        <is>
          <t>Others (Vending, Meeting event, Devices Unreturned, Applecare, Mac-mgmt, IT Onboard, etc.)</t>
        </is>
      </c>
      <c r="M32" s="103" t="n"/>
      <c r="N32" s="82" t="n"/>
      <c r="O32" s="83" t="n"/>
      <c r="P32" s="83" t="n"/>
      <c r="Q32" s="84" t="n"/>
      <c r="R32" s="84">
        <f>P32-Q32</f>
        <v/>
      </c>
      <c r="S32" s="85" t="n"/>
      <c r="T32" s="83" t="n"/>
      <c r="U32" s="83" t="n"/>
      <c r="V32" s="84" t="n"/>
      <c r="W32" s="86">
        <f>U32-V32</f>
        <v/>
      </c>
      <c r="X32" s="87" t="n"/>
      <c r="Y32" s="83" t="n"/>
      <c r="Z32" s="83" t="n"/>
      <c r="AA32" s="84" t="n"/>
      <c r="AB32" s="86">
        <f>Z32-AA32</f>
        <v/>
      </c>
      <c r="AC32" s="87" t="n"/>
      <c r="AD32" s="83" t="n"/>
      <c r="AE32" s="83" t="n"/>
      <c r="AF32" s="84" t="n"/>
      <c r="AG32" s="86">
        <f>AE32-AF32</f>
        <v/>
      </c>
      <c r="AH32" s="87" t="n"/>
      <c r="AI32" s="83" t="n"/>
      <c r="AJ32" s="83" t="n"/>
      <c r="AK32" s="84" t="n"/>
      <c r="AL32" s="86">
        <f>AJ32-AK32</f>
        <v/>
      </c>
      <c r="AM32" s="87" t="n"/>
      <c r="AN32" s="83" t="n"/>
      <c r="AO32" s="83" t="n"/>
      <c r="AP32" s="84" t="n"/>
      <c r="AQ32" s="86">
        <f>AO32-AP32</f>
        <v/>
      </c>
      <c r="AR32" s="87" t="n"/>
      <c r="AS32" s="83" t="n"/>
      <c r="AT32" s="83" t="n"/>
      <c r="AU32" s="84" t="n"/>
      <c r="AV32" s="86">
        <f>AT32-AU32</f>
        <v/>
      </c>
      <c r="AW32" s="87" t="n"/>
      <c r="AX32" s="83" t="n"/>
      <c r="AY32" s="83" t="n"/>
      <c r="AZ32" s="84" t="n"/>
      <c r="BA32" s="86">
        <f>AY32-AZ32</f>
        <v/>
      </c>
      <c r="BB32" s="87" t="n"/>
      <c r="BC32" s="83" t="n"/>
      <c r="BD32" s="83" t="n"/>
      <c r="BE32" s="84" t="n"/>
      <c r="BF32" s="86">
        <f>BD32-BE32</f>
        <v/>
      </c>
      <c r="BG32" s="87" t="n"/>
      <c r="BH32" s="83" t="n"/>
      <c r="BI32" s="83" t="n"/>
      <c r="BJ32" s="84" t="n"/>
      <c r="BK32" s="86">
        <f>BI32-BJ32</f>
        <v/>
      </c>
      <c r="BL32" s="87" t="n"/>
      <c r="BM32" s="83" t="n"/>
      <c r="BN32" s="83" t="n"/>
      <c r="BO32" s="84" t="n"/>
      <c r="BP32" s="86">
        <f>BN32-BO32</f>
        <v/>
      </c>
      <c r="BQ32" s="87" t="n"/>
      <c r="BR32" s="83" t="n"/>
      <c r="BS32" s="83" t="n"/>
      <c r="BT32" s="84" t="n"/>
      <c r="BU32" s="86">
        <f>BS32-BT32</f>
        <v/>
      </c>
      <c r="BV32" s="85" t="n">
        <v>0</v>
      </c>
      <c r="BW32" s="89" t="n"/>
      <c r="BX32" s="90" t="n"/>
    </row>
    <row r="33">
      <c r="A33" s="91" t="n"/>
      <c r="B33" s="83" t="n"/>
      <c r="C33" s="92" t="n"/>
      <c r="D33" s="92" t="n"/>
      <c r="E33" s="92" t="n"/>
      <c r="F33" s="92" t="inlineStr">
        <is>
          <t>IT-FGS0301-OG-US-00</t>
        </is>
      </c>
      <c r="G33" s="92" t="n"/>
      <c r="H33" s="92" t="n"/>
      <c r="I33" s="92" t="n"/>
      <c r="J33" s="92" t="n"/>
      <c r="K33" s="93" t="n"/>
      <c r="L33" s="102" t="inlineStr">
        <is>
          <t>Desktop on Demand (VDS)</t>
        </is>
      </c>
      <c r="M33" s="103" t="n"/>
      <c r="N33" s="82" t="n"/>
      <c r="O33" s="83" t="n"/>
      <c r="P33" s="83" t="n"/>
      <c r="Q33" s="84" t="n"/>
      <c r="R33" s="84">
        <f>P33-Q33</f>
        <v/>
      </c>
      <c r="S33" s="85" t="n"/>
      <c r="T33" s="83" t="n"/>
      <c r="U33" s="83" t="n"/>
      <c r="V33" s="84" t="n"/>
      <c r="W33" s="86">
        <f>U33-V33</f>
        <v/>
      </c>
      <c r="X33" s="87" t="n"/>
      <c r="Y33" s="83" t="n"/>
      <c r="Z33" s="83" t="n"/>
      <c r="AA33" s="84" t="n"/>
      <c r="AB33" s="86">
        <f>Z33-AA33</f>
        <v/>
      </c>
      <c r="AC33" s="87" t="n"/>
      <c r="AD33" s="83" t="n"/>
      <c r="AE33" s="83" t="n"/>
      <c r="AF33" s="84" t="n"/>
      <c r="AG33" s="86">
        <f>AE33-AF33</f>
        <v/>
      </c>
      <c r="AH33" s="87" t="n"/>
      <c r="AI33" s="83" t="n"/>
      <c r="AJ33" s="83" t="n"/>
      <c r="AK33" s="84" t="n"/>
      <c r="AL33" s="86">
        <f>AJ33-AK33</f>
        <v/>
      </c>
      <c r="AM33" s="87" t="n"/>
      <c r="AN33" s="83" t="n"/>
      <c r="AO33" s="83" t="n"/>
      <c r="AP33" s="84" t="n"/>
      <c r="AQ33" s="86">
        <f>AO33-AP33</f>
        <v/>
      </c>
      <c r="AR33" s="87" t="n"/>
      <c r="AS33" s="83" t="n"/>
      <c r="AT33" s="83" t="n"/>
      <c r="AU33" s="84" t="n"/>
      <c r="AV33" s="86">
        <f>AT33-AU33</f>
        <v/>
      </c>
      <c r="AW33" s="87" t="n"/>
      <c r="AX33" s="83" t="n"/>
      <c r="AY33" s="83" t="n"/>
      <c r="AZ33" s="84" t="n"/>
      <c r="BA33" s="86">
        <f>AY33-AZ33</f>
        <v/>
      </c>
      <c r="BB33" s="87" t="n"/>
      <c r="BC33" s="83" t="n"/>
      <c r="BD33" s="83" t="n"/>
      <c r="BE33" s="84" t="n"/>
      <c r="BF33" s="86">
        <f>BD33-BE33</f>
        <v/>
      </c>
      <c r="BG33" s="87" t="n"/>
      <c r="BH33" s="83" t="n"/>
      <c r="BI33" s="83" t="n"/>
      <c r="BJ33" s="84" t="n"/>
      <c r="BK33" s="86">
        <f>BI33-BJ33</f>
        <v/>
      </c>
      <c r="BL33" s="87" t="n"/>
      <c r="BM33" s="83" t="n"/>
      <c r="BN33" s="83" t="n"/>
      <c r="BO33" s="84" t="n"/>
      <c r="BP33" s="86">
        <f>BN33-BO33</f>
        <v/>
      </c>
      <c r="BQ33" s="87" t="n"/>
      <c r="BR33" s="83" t="n"/>
      <c r="BS33" s="83" t="n"/>
      <c r="BT33" s="84" t="n"/>
      <c r="BU33" s="86">
        <f>BS33-BT33</f>
        <v/>
      </c>
      <c r="BV33" s="85" t="n">
        <v>0</v>
      </c>
      <c r="BW33" s="89" t="n"/>
      <c r="BX33" s="90" t="n"/>
    </row>
    <row r="34" ht="30" customHeight="1">
      <c r="A34" s="91" t="n"/>
      <c r="B34" s="83" t="n"/>
      <c r="C34" s="92" t="n"/>
      <c r="D34" s="92" t="n"/>
      <c r="E34" s="92" t="n"/>
      <c r="F34" s="92" t="inlineStr">
        <is>
          <t>IT-SFT1155-86-OG-US</t>
        </is>
      </c>
      <c r="G34" s="92" t="n"/>
      <c r="H34" s="92" t="n"/>
      <c r="I34" s="92" t="n"/>
      <c r="J34" s="92" t="n"/>
      <c r="K34" s="93" t="n"/>
      <c r="L34" s="102" t="inlineStr">
        <is>
          <t>Infrastructure Charges - BTAMS Automations</t>
        </is>
      </c>
      <c r="M34" s="103" t="n"/>
      <c r="N34" s="82" t="n"/>
      <c r="O34" s="83" t="n"/>
      <c r="P34" s="83" t="n"/>
      <c r="Q34" s="84" t="n"/>
      <c r="R34" s="84">
        <f>P34-Q34</f>
        <v/>
      </c>
      <c r="S34" s="85" t="n"/>
      <c r="T34" s="83" t="n"/>
      <c r="U34" s="83" t="n"/>
      <c r="V34" s="84" t="n"/>
      <c r="W34" s="86">
        <f>U34-V34</f>
        <v/>
      </c>
      <c r="X34" s="87" t="n"/>
      <c r="Y34" s="83" t="n"/>
      <c r="Z34" s="83" t="n"/>
      <c r="AA34" s="84" t="n"/>
      <c r="AB34" s="86">
        <f>Z34-AA34</f>
        <v/>
      </c>
      <c r="AC34" s="87" t="n"/>
      <c r="AD34" s="83" t="n"/>
      <c r="AE34" s="83" t="n"/>
      <c r="AF34" s="84" t="n"/>
      <c r="AG34" s="86">
        <f>AE34-AF34</f>
        <v/>
      </c>
      <c r="AH34" s="87" t="n"/>
      <c r="AI34" s="83" t="n"/>
      <c r="AJ34" s="83" t="n"/>
      <c r="AK34" s="84" t="n"/>
      <c r="AL34" s="86">
        <f>AJ34-AK34</f>
        <v/>
      </c>
      <c r="AM34" s="87" t="n"/>
      <c r="AN34" s="83" t="n"/>
      <c r="AO34" s="83" t="n"/>
      <c r="AP34" s="84" t="n"/>
      <c r="AQ34" s="86">
        <f>AO34-AP34</f>
        <v/>
      </c>
      <c r="AR34" s="87" t="n"/>
      <c r="AS34" s="83" t="n"/>
      <c r="AT34" s="83" t="n"/>
      <c r="AU34" s="84" t="n"/>
      <c r="AV34" s="86">
        <f>AT34-AU34</f>
        <v/>
      </c>
      <c r="AW34" s="87" t="n"/>
      <c r="AX34" s="83" t="n"/>
      <c r="AY34" s="83" t="n"/>
      <c r="AZ34" s="84" t="n"/>
      <c r="BA34" s="86">
        <f>AY34-AZ34</f>
        <v/>
      </c>
      <c r="BB34" s="87" t="n"/>
      <c r="BC34" s="83" t="n"/>
      <c r="BD34" s="83" t="n"/>
      <c r="BE34" s="84" t="n"/>
      <c r="BF34" s="86">
        <f>BD34-BE34</f>
        <v/>
      </c>
      <c r="BG34" s="87" t="n"/>
      <c r="BH34" s="83" t="n"/>
      <c r="BI34" s="83" t="n"/>
      <c r="BJ34" s="84" t="n"/>
      <c r="BK34" s="86">
        <f>BI34-BJ34</f>
        <v/>
      </c>
      <c r="BL34" s="87" t="n"/>
      <c r="BM34" s="83" t="n"/>
      <c r="BN34" s="83" t="n"/>
      <c r="BO34" s="84" t="n"/>
      <c r="BP34" s="86">
        <f>BN34-BO34</f>
        <v/>
      </c>
      <c r="BQ34" s="87" t="n"/>
      <c r="BR34" s="83" t="n"/>
      <c r="BS34" s="83" t="n"/>
      <c r="BT34" s="84" t="n"/>
      <c r="BU34" s="86">
        <f>BS34-BT34</f>
        <v/>
      </c>
      <c r="BV34" s="85" t="n">
        <v>0</v>
      </c>
      <c r="BW34" s="89" t="n"/>
      <c r="BX34" s="90" t="n"/>
    </row>
    <row r="35">
      <c r="A35" s="91" t="n"/>
      <c r="B35" s="83" t="n"/>
      <c r="C35" s="92" t="n"/>
      <c r="D35" s="92" t="n"/>
      <c r="E35" s="92" t="n"/>
      <c r="F35" s="92" t="inlineStr">
        <is>
          <t>IT-SFT1194-86-OG-US</t>
        </is>
      </c>
      <c r="G35" s="92" t="n"/>
      <c r="H35" s="92" t="n"/>
      <c r="I35" s="92" t="n"/>
      <c r="J35" s="92" t="n"/>
      <c r="K35" s="93" t="n"/>
      <c r="L35" s="102" t="inlineStr">
        <is>
          <t>DevSecOps</t>
        </is>
      </c>
      <c r="M35" s="103" t="n"/>
      <c r="N35" s="82" t="n"/>
      <c r="O35" s="83" t="n"/>
      <c r="P35" s="83" t="n"/>
      <c r="Q35" s="84" t="n"/>
      <c r="R35" s="84">
        <f>P35-Q35</f>
        <v/>
      </c>
      <c r="S35" s="85" t="n"/>
      <c r="T35" s="83" t="n"/>
      <c r="U35" s="83" t="n"/>
      <c r="V35" s="84" t="n"/>
      <c r="W35" s="86">
        <f>U35-V35</f>
        <v/>
      </c>
      <c r="X35" s="87" t="n"/>
      <c r="Y35" s="83" t="n"/>
      <c r="Z35" s="83" t="n"/>
      <c r="AA35" s="84" t="n"/>
      <c r="AB35" s="86">
        <f>Z35-AA35</f>
        <v/>
      </c>
      <c r="AC35" s="87" t="n"/>
      <c r="AD35" s="83" t="n"/>
      <c r="AE35" s="83" t="n"/>
      <c r="AF35" s="84" t="n"/>
      <c r="AG35" s="86">
        <f>AE35-AF35</f>
        <v/>
      </c>
      <c r="AH35" s="87" t="n"/>
      <c r="AI35" s="83" t="n"/>
      <c r="AJ35" s="83" t="n"/>
      <c r="AK35" s="84" t="n"/>
      <c r="AL35" s="86">
        <f>AJ35-AK35</f>
        <v/>
      </c>
      <c r="AM35" s="87" t="n"/>
      <c r="AN35" s="83" t="n"/>
      <c r="AO35" s="83" t="n"/>
      <c r="AP35" s="84" t="n"/>
      <c r="AQ35" s="86">
        <f>AO35-AP35</f>
        <v/>
      </c>
      <c r="AR35" s="87" t="n"/>
      <c r="AS35" s="83" t="n"/>
      <c r="AT35" s="83" t="n"/>
      <c r="AU35" s="84" t="n"/>
      <c r="AV35" s="86">
        <f>AT35-AU35</f>
        <v/>
      </c>
      <c r="AW35" s="87" t="n"/>
      <c r="AX35" s="83" t="n"/>
      <c r="AY35" s="83" t="n"/>
      <c r="AZ35" s="84" t="n"/>
      <c r="BA35" s="86">
        <f>AY35-AZ35</f>
        <v/>
      </c>
      <c r="BB35" s="87" t="n"/>
      <c r="BC35" s="83" t="n"/>
      <c r="BD35" s="83" t="n"/>
      <c r="BE35" s="84" t="n"/>
      <c r="BF35" s="86">
        <f>BD35-BE35</f>
        <v/>
      </c>
      <c r="BG35" s="87" t="n"/>
      <c r="BH35" s="83" t="n"/>
      <c r="BI35" s="83" t="n"/>
      <c r="BJ35" s="84" t="n"/>
      <c r="BK35" s="86">
        <f>BI35-BJ35</f>
        <v/>
      </c>
      <c r="BL35" s="87" t="n"/>
      <c r="BM35" s="83" t="n"/>
      <c r="BN35" s="83" t="n"/>
      <c r="BO35" s="84" t="n"/>
      <c r="BP35" s="86">
        <f>BN35-BO35</f>
        <v/>
      </c>
      <c r="BQ35" s="87" t="n"/>
      <c r="BR35" s="83" t="n"/>
      <c r="BS35" s="83" t="n"/>
      <c r="BT35" s="84" t="n"/>
      <c r="BU35" s="86">
        <f>BS35-BT35</f>
        <v/>
      </c>
      <c r="BV35" s="85" t="n">
        <v>0</v>
      </c>
      <c r="BW35" s="89" t="n"/>
      <c r="BX35" s="90" t="n"/>
    </row>
    <row r="36">
      <c r="A36" s="91" t="n"/>
      <c r="B36" s="83" t="n"/>
      <c r="C36" s="92" t="n"/>
      <c r="D36" s="92" t="n"/>
      <c r="E36" s="92" t="n"/>
      <c r="F36" s="92" t="inlineStr">
        <is>
          <t>EP&amp;SCharges001</t>
        </is>
      </c>
      <c r="G36" s="92" t="n"/>
      <c r="H36" s="92" t="n"/>
      <c r="I36" s="92" t="n"/>
      <c r="J36" s="92" t="n"/>
      <c r="K36" s="93" t="n"/>
      <c r="L36" s="102" t="inlineStr">
        <is>
          <t>Infrastructure Billing Charges</t>
        </is>
      </c>
      <c r="M36" s="103" t="n"/>
      <c r="N36" s="82" t="n"/>
      <c r="O36" s="83" t="n"/>
      <c r="P36" s="83" t="n"/>
      <c r="Q36" s="84" t="n"/>
      <c r="R36" s="84">
        <f>P36-Q36</f>
        <v/>
      </c>
      <c r="S36" s="85" t="n"/>
      <c r="T36" s="83" t="n"/>
      <c r="U36" s="83" t="n"/>
      <c r="V36" s="84" t="n"/>
      <c r="W36" s="86">
        <f>U36-V36</f>
        <v/>
      </c>
      <c r="X36" s="87" t="n"/>
      <c r="Y36" s="83" t="n"/>
      <c r="Z36" s="83" t="n"/>
      <c r="AA36" s="84" t="n"/>
      <c r="AB36" s="86">
        <f>Z36-AA36</f>
        <v/>
      </c>
      <c r="AC36" s="87" t="n"/>
      <c r="AD36" s="83" t="n"/>
      <c r="AE36" s="83" t="n"/>
      <c r="AF36" s="84" t="n"/>
      <c r="AG36" s="86">
        <f>AE36-AF36</f>
        <v/>
      </c>
      <c r="AH36" s="87" t="n"/>
      <c r="AI36" s="83" t="n"/>
      <c r="AJ36" s="83" t="n"/>
      <c r="AK36" s="84" t="n"/>
      <c r="AL36" s="86">
        <f>AJ36-AK36</f>
        <v/>
      </c>
      <c r="AM36" s="87" t="n"/>
      <c r="AN36" s="83" t="n"/>
      <c r="AO36" s="83" t="n"/>
      <c r="AP36" s="84" t="n"/>
      <c r="AQ36" s="86">
        <f>AO36-AP36</f>
        <v/>
      </c>
      <c r="AR36" s="87" t="n"/>
      <c r="AS36" s="83" t="n"/>
      <c r="AT36" s="83" t="n"/>
      <c r="AU36" s="84" t="n"/>
      <c r="AV36" s="86">
        <f>AT36-AU36</f>
        <v/>
      </c>
      <c r="AW36" s="87" t="n"/>
      <c r="AX36" s="83" t="n"/>
      <c r="AY36" s="83" t="n"/>
      <c r="AZ36" s="84" t="n"/>
      <c r="BA36" s="86">
        <f>AY36-AZ36</f>
        <v/>
      </c>
      <c r="BB36" s="87" t="n"/>
      <c r="BC36" s="83" t="n"/>
      <c r="BD36" s="83" t="n"/>
      <c r="BE36" s="84" t="n"/>
      <c r="BF36" s="86">
        <f>BD36-BE36</f>
        <v/>
      </c>
      <c r="BG36" s="87" t="n"/>
      <c r="BH36" s="83" t="n"/>
      <c r="BI36" s="83" t="n"/>
      <c r="BJ36" s="84" t="n"/>
      <c r="BK36" s="86">
        <f>BI36-BJ36</f>
        <v/>
      </c>
      <c r="BL36" s="87" t="n"/>
      <c r="BM36" s="83" t="n"/>
      <c r="BN36" s="83" t="n"/>
      <c r="BO36" s="84" t="n"/>
      <c r="BP36" s="86">
        <f>BN36-BO36</f>
        <v/>
      </c>
      <c r="BQ36" s="87" t="n"/>
      <c r="BR36" s="83" t="n"/>
      <c r="BS36" s="83" t="n"/>
      <c r="BT36" s="84" t="n"/>
      <c r="BU36" s="86">
        <f>BS36-BT36</f>
        <v/>
      </c>
      <c r="BV36" s="85" t="n">
        <v>0</v>
      </c>
      <c r="BW36" s="89" t="n"/>
      <c r="BX36" s="90" t="n"/>
    </row>
    <row r="37">
      <c r="A37" s="91" t="n"/>
      <c r="B37" s="83" t="n"/>
      <c r="C37" s="92" t="n"/>
      <c r="D37" s="92" t="n"/>
      <c r="E37" s="92" t="n"/>
      <c r="F37" s="92" t="inlineStr">
        <is>
          <t>IT-FBT0600-OG-US-00</t>
        </is>
      </c>
      <c r="G37" s="92" t="n"/>
      <c r="H37" s="92" t="n"/>
      <c r="I37" s="92" t="n"/>
      <c r="J37" s="92" t="n"/>
      <c r="K37" s="93" t="n"/>
      <c r="L37" s="102" t="inlineStr">
        <is>
          <t>Compliance FSA Chargeback</t>
        </is>
      </c>
      <c r="M37" s="103" t="n"/>
      <c r="N37" s="82" t="n"/>
      <c r="O37" s="83" t="n"/>
      <c r="P37" s="83" t="n"/>
      <c r="Q37" s="84" t="n"/>
      <c r="R37" s="84">
        <f>P37-Q37</f>
        <v/>
      </c>
      <c r="S37" s="85" t="n"/>
      <c r="T37" s="83" t="n"/>
      <c r="U37" s="83" t="n"/>
      <c r="V37" s="84" t="n"/>
      <c r="W37" s="86">
        <f>U37-V37</f>
        <v/>
      </c>
      <c r="X37" s="87" t="n"/>
      <c r="Y37" s="83" t="n"/>
      <c r="Z37" s="83" t="n"/>
      <c r="AA37" s="84" t="n"/>
      <c r="AB37" s="86">
        <f>Z37-AA37</f>
        <v/>
      </c>
      <c r="AC37" s="87" t="n"/>
      <c r="AD37" s="83" t="n"/>
      <c r="AE37" s="83" t="n"/>
      <c r="AF37" s="84" t="n"/>
      <c r="AG37" s="86">
        <f>AE37-AF37</f>
        <v/>
      </c>
      <c r="AH37" s="87" t="n"/>
      <c r="AI37" s="83" t="n"/>
      <c r="AJ37" s="83" t="n"/>
      <c r="AK37" s="84" t="n"/>
      <c r="AL37" s="86">
        <f>AJ37-AK37</f>
        <v/>
      </c>
      <c r="AM37" s="87" t="n"/>
      <c r="AN37" s="83" t="n"/>
      <c r="AO37" s="83" t="n"/>
      <c r="AP37" s="84" t="n"/>
      <c r="AQ37" s="86">
        <f>AO37-AP37</f>
        <v/>
      </c>
      <c r="AR37" s="87" t="n"/>
      <c r="AS37" s="83" t="n"/>
      <c r="AT37" s="83" t="n"/>
      <c r="AU37" s="84" t="n"/>
      <c r="AV37" s="86">
        <f>AT37-AU37</f>
        <v/>
      </c>
      <c r="AW37" s="87" t="n"/>
      <c r="AX37" s="83" t="n"/>
      <c r="AY37" s="83" t="n"/>
      <c r="AZ37" s="84" t="n"/>
      <c r="BA37" s="86">
        <f>AY37-AZ37</f>
        <v/>
      </c>
      <c r="BB37" s="87" t="n"/>
      <c r="BC37" s="83" t="n"/>
      <c r="BD37" s="83" t="n"/>
      <c r="BE37" s="84" t="n"/>
      <c r="BF37" s="86">
        <f>BD37-BE37</f>
        <v/>
      </c>
      <c r="BG37" s="87" t="n"/>
      <c r="BH37" s="83" t="n"/>
      <c r="BI37" s="83" t="n"/>
      <c r="BJ37" s="84" t="n"/>
      <c r="BK37" s="86">
        <f>BI37-BJ37</f>
        <v/>
      </c>
      <c r="BL37" s="87" t="n"/>
      <c r="BM37" s="83" t="n"/>
      <c r="BN37" s="83" t="n"/>
      <c r="BO37" s="84" t="n"/>
      <c r="BP37" s="86">
        <f>BN37-BO37</f>
        <v/>
      </c>
      <c r="BQ37" s="87" t="n"/>
      <c r="BR37" s="83" t="n"/>
      <c r="BS37" s="83" t="n"/>
      <c r="BT37" s="84" t="n"/>
      <c r="BU37" s="86">
        <f>BS37-BT37</f>
        <v/>
      </c>
      <c r="BV37" s="85" t="n">
        <v>0</v>
      </c>
      <c r="BW37" s="89" t="n"/>
      <c r="BX37" s="90" t="n"/>
    </row>
    <row r="38">
      <c r="A38" s="91" t="n"/>
      <c r="B38" s="83" t="n"/>
      <c r="C38" s="92" t="n"/>
      <c r="D38" s="92" t="n"/>
      <c r="E38" s="92" t="n"/>
      <c r="F38" s="92" t="inlineStr">
        <is>
          <t>IT-SFT1434-OG-US-00</t>
        </is>
      </c>
      <c r="G38" s="92" t="n"/>
      <c r="H38" s="92" t="n"/>
      <c r="I38" s="92" t="n"/>
      <c r="J38" s="92" t="n"/>
      <c r="K38" s="93" t="n"/>
      <c r="L38" s="102" t="inlineStr">
        <is>
          <t>Pfizer IBM AIOPS solution</t>
        </is>
      </c>
      <c r="M38" s="103" t="n"/>
      <c r="N38" s="82" t="n"/>
      <c r="O38" s="83" t="n"/>
      <c r="P38" s="83" t="n"/>
      <c r="Q38" s="84" t="n"/>
      <c r="R38" s="84">
        <f>P38-Q38</f>
        <v/>
      </c>
      <c r="S38" s="85" t="n"/>
      <c r="T38" s="83" t="n"/>
      <c r="U38" s="83" t="n"/>
      <c r="V38" s="84" t="n"/>
      <c r="W38" s="86">
        <f>U38-V38</f>
        <v/>
      </c>
      <c r="X38" s="87" t="n"/>
      <c r="Y38" s="83" t="n"/>
      <c r="Z38" s="83" t="n"/>
      <c r="AA38" s="84" t="n"/>
      <c r="AB38" s="86">
        <f>Z38-AA38</f>
        <v/>
      </c>
      <c r="AC38" s="87" t="n"/>
      <c r="AD38" s="83" t="n"/>
      <c r="AE38" s="83" t="n"/>
      <c r="AF38" s="84" t="n"/>
      <c r="AG38" s="86">
        <f>AE38-AF38</f>
        <v/>
      </c>
      <c r="AH38" s="87" t="n"/>
      <c r="AI38" s="83" t="n"/>
      <c r="AJ38" s="83" t="n"/>
      <c r="AK38" s="84" t="n"/>
      <c r="AL38" s="86">
        <f>AJ38-AK38</f>
        <v/>
      </c>
      <c r="AM38" s="87" t="n"/>
      <c r="AN38" s="83" t="n"/>
      <c r="AO38" s="83" t="n"/>
      <c r="AP38" s="84" t="n"/>
      <c r="AQ38" s="86">
        <f>AO38-AP38</f>
        <v/>
      </c>
      <c r="AR38" s="87" t="n"/>
      <c r="AS38" s="83" t="n"/>
      <c r="AT38" s="83" t="n"/>
      <c r="AU38" s="84" t="n"/>
      <c r="AV38" s="86">
        <f>AT38-AU38</f>
        <v/>
      </c>
      <c r="AW38" s="87" t="n"/>
      <c r="AX38" s="83" t="n"/>
      <c r="AY38" s="83" t="n"/>
      <c r="AZ38" s="84" t="n"/>
      <c r="BA38" s="86">
        <f>AY38-AZ38</f>
        <v/>
      </c>
      <c r="BB38" s="87" t="n"/>
      <c r="BC38" s="83" t="n"/>
      <c r="BD38" s="83" t="n"/>
      <c r="BE38" s="84" t="n"/>
      <c r="BF38" s="86">
        <f>BD38-BE38</f>
        <v/>
      </c>
      <c r="BG38" s="87" t="n"/>
      <c r="BH38" s="83" t="n"/>
      <c r="BI38" s="83" t="n"/>
      <c r="BJ38" s="84" t="n"/>
      <c r="BK38" s="86">
        <f>BI38-BJ38</f>
        <v/>
      </c>
      <c r="BL38" s="87" t="n"/>
      <c r="BM38" s="83" t="n"/>
      <c r="BN38" s="83" t="n"/>
      <c r="BO38" s="84" t="n"/>
      <c r="BP38" s="86">
        <f>BN38-BO38</f>
        <v/>
      </c>
      <c r="BQ38" s="87" t="n"/>
      <c r="BR38" s="83" t="n"/>
      <c r="BS38" s="83" t="n"/>
      <c r="BT38" s="84" t="n"/>
      <c r="BU38" s="86">
        <f>BS38-BT38</f>
        <v/>
      </c>
      <c r="BV38" s="85" t="n">
        <v>0</v>
      </c>
      <c r="BW38" s="89" t="n"/>
      <c r="BX38" s="90" t="n"/>
    </row>
    <row r="39" ht="60" customHeight="1">
      <c r="A39" s="91" t="n"/>
      <c r="B39" s="83" t="n"/>
      <c r="C39" s="92" t="n"/>
      <c r="D39" s="92" t="n"/>
      <c r="E39" s="92" t="n"/>
      <c r="F39" s="92" t="inlineStr">
        <is>
          <t>2026-XFR-0008-B</t>
        </is>
      </c>
      <c r="G39" s="92" t="n"/>
      <c r="H39" s="92" t="n"/>
      <c r="I39" s="92" t="n"/>
      <c r="J39" s="92" t="n"/>
      <c r="K39" s="93" t="n"/>
      <c r="L39" s="102" t="inlineStr">
        <is>
          <t>SAP Fieldglass Vendor Management System Implementation:  - Application/Platform support and maintenance</t>
        </is>
      </c>
      <c r="M39" s="103" t="n"/>
      <c r="N39" s="82" t="n"/>
      <c r="O39" s="83" t="n"/>
      <c r="P39" s="83" t="n"/>
      <c r="Q39" s="84" t="n"/>
      <c r="R39" s="84">
        <f>P39-Q39</f>
        <v/>
      </c>
      <c r="S39" s="85" t="n"/>
      <c r="T39" s="83" t="n"/>
      <c r="U39" s="83" t="n"/>
      <c r="V39" s="84" t="n"/>
      <c r="W39" s="86">
        <f>U39-V39</f>
        <v/>
      </c>
      <c r="X39" s="87" t="n"/>
      <c r="Y39" s="83" t="n"/>
      <c r="Z39" s="83" t="n"/>
      <c r="AA39" s="84" t="n"/>
      <c r="AB39" s="86">
        <f>Z39-AA39</f>
        <v/>
      </c>
      <c r="AC39" s="87" t="n"/>
      <c r="AD39" s="83" t="n"/>
      <c r="AE39" s="83" t="n"/>
      <c r="AF39" s="84" t="n"/>
      <c r="AG39" s="86">
        <f>AE39-AF39</f>
        <v/>
      </c>
      <c r="AH39" s="87" t="n"/>
      <c r="AI39" s="83" t="n"/>
      <c r="AJ39" s="83" t="n"/>
      <c r="AK39" s="84" t="n"/>
      <c r="AL39" s="86">
        <f>AJ39-AK39</f>
        <v/>
      </c>
      <c r="AM39" s="87" t="n"/>
      <c r="AN39" s="83" t="n"/>
      <c r="AO39" s="83" t="n"/>
      <c r="AP39" s="84" t="n"/>
      <c r="AQ39" s="86">
        <f>AO39-AP39</f>
        <v/>
      </c>
      <c r="AR39" s="87" t="n"/>
      <c r="AS39" s="83" t="n"/>
      <c r="AT39" s="83" t="n"/>
      <c r="AU39" s="84" t="n"/>
      <c r="AV39" s="86">
        <f>AT39-AU39</f>
        <v/>
      </c>
      <c r="AW39" s="87" t="n"/>
      <c r="AX39" s="83" t="n"/>
      <c r="AY39" s="83" t="n"/>
      <c r="AZ39" s="84" t="n"/>
      <c r="BA39" s="86">
        <f>AY39-AZ39</f>
        <v/>
      </c>
      <c r="BB39" s="87" t="n"/>
      <c r="BC39" s="83" t="n"/>
      <c r="BD39" s="83" t="n"/>
      <c r="BE39" s="84" t="n"/>
      <c r="BF39" s="86">
        <f>BD39-BE39</f>
        <v/>
      </c>
      <c r="BG39" s="87" t="n"/>
      <c r="BH39" s="83" t="n"/>
      <c r="BI39" s="83" t="n"/>
      <c r="BJ39" s="84" t="n"/>
      <c r="BK39" s="86">
        <f>BI39-BJ39</f>
        <v/>
      </c>
      <c r="BL39" s="87" t="n"/>
      <c r="BM39" s="83" t="n"/>
      <c r="BN39" s="83" t="n"/>
      <c r="BO39" s="84" t="n"/>
      <c r="BP39" s="86">
        <f>BN39-BO39</f>
        <v/>
      </c>
      <c r="BQ39" s="87" t="n"/>
      <c r="BR39" s="83" t="n"/>
      <c r="BS39" s="83" t="n"/>
      <c r="BT39" s="84" t="n"/>
      <c r="BU39" s="86">
        <f>BS39-BT39</f>
        <v/>
      </c>
      <c r="BV39" s="85" t="n">
        <v>0</v>
      </c>
      <c r="BW39" s="89" t="n"/>
      <c r="BX39" s="90" t="n"/>
    </row>
    <row r="40" ht="30" customHeight="1">
      <c r="A40" s="91" t="n"/>
      <c r="B40" s="83" t="n"/>
      <c r="C40" s="92" t="n"/>
      <c r="D40" s="92" t="n"/>
      <c r="E40" s="92" t="n"/>
      <c r="F40" s="92" t="inlineStr">
        <is>
          <t>IT-FBT0074-OG-US-00</t>
        </is>
      </c>
      <c r="G40" s="92" t="n"/>
      <c r="H40" s="92" t="n"/>
      <c r="I40" s="92" t="n"/>
      <c r="J40" s="92" t="n"/>
      <c r="K40" s="93" t="n"/>
      <c r="L40" s="102" t="inlineStr">
        <is>
          <t>Oracle E-Business Suite Archive Solutions</t>
        </is>
      </c>
      <c r="M40" s="103" t="n"/>
      <c r="N40" s="82" t="n"/>
      <c r="O40" s="83" t="n"/>
      <c r="P40" s="83" t="n"/>
      <c r="Q40" s="84" t="n"/>
      <c r="R40" s="84">
        <f>P40-Q40</f>
        <v/>
      </c>
      <c r="S40" s="85" t="n"/>
      <c r="T40" s="83" t="n"/>
      <c r="U40" s="83" t="n"/>
      <c r="V40" s="84" t="n"/>
      <c r="W40" s="86">
        <f>U40-V40</f>
        <v/>
      </c>
      <c r="X40" s="87" t="n"/>
      <c r="Y40" s="83" t="n"/>
      <c r="Z40" s="83" t="n"/>
      <c r="AA40" s="84" t="n"/>
      <c r="AB40" s="86">
        <f>Z40-AA40</f>
        <v/>
      </c>
      <c r="AC40" s="87" t="n"/>
      <c r="AD40" s="83" t="n"/>
      <c r="AE40" s="83" t="n"/>
      <c r="AF40" s="84" t="n"/>
      <c r="AG40" s="86">
        <f>AE40-AF40</f>
        <v/>
      </c>
      <c r="AH40" s="87" t="n"/>
      <c r="AI40" s="83" t="n"/>
      <c r="AJ40" s="83" t="n"/>
      <c r="AK40" s="84" t="n"/>
      <c r="AL40" s="86">
        <f>AJ40-AK40</f>
        <v/>
      </c>
      <c r="AM40" s="87" t="n"/>
      <c r="AN40" s="83" t="n"/>
      <c r="AO40" s="83" t="n"/>
      <c r="AP40" s="84" t="n"/>
      <c r="AQ40" s="86">
        <f>AO40-AP40</f>
        <v/>
      </c>
      <c r="AR40" s="87" t="n"/>
      <c r="AS40" s="83" t="n"/>
      <c r="AT40" s="83" t="n"/>
      <c r="AU40" s="84" t="n"/>
      <c r="AV40" s="86">
        <f>AT40-AU40</f>
        <v/>
      </c>
      <c r="AW40" s="87" t="n"/>
      <c r="AX40" s="83" t="n"/>
      <c r="AY40" s="83" t="n"/>
      <c r="AZ40" s="84" t="n"/>
      <c r="BA40" s="86">
        <f>AY40-AZ40</f>
        <v/>
      </c>
      <c r="BB40" s="87" t="n"/>
      <c r="BC40" s="83" t="n"/>
      <c r="BD40" s="83" t="n"/>
      <c r="BE40" s="84" t="n"/>
      <c r="BF40" s="86">
        <f>BD40-BE40</f>
        <v/>
      </c>
      <c r="BG40" s="87" t="n"/>
      <c r="BH40" s="83" t="n"/>
      <c r="BI40" s="83" t="n"/>
      <c r="BJ40" s="84" t="n"/>
      <c r="BK40" s="86">
        <f>BI40-BJ40</f>
        <v/>
      </c>
      <c r="BL40" s="87" t="n"/>
      <c r="BM40" s="83" t="n"/>
      <c r="BN40" s="83" t="n"/>
      <c r="BO40" s="84" t="n"/>
      <c r="BP40" s="86">
        <f>BN40-BO40</f>
        <v/>
      </c>
      <c r="BQ40" s="87" t="n"/>
      <c r="BR40" s="83" t="n"/>
      <c r="BS40" s="83" t="n"/>
      <c r="BT40" s="84" t="n"/>
      <c r="BU40" s="86">
        <f>BS40-BT40</f>
        <v/>
      </c>
      <c r="BV40" s="85" t="n">
        <v>0</v>
      </c>
      <c r="BW40" s="89" t="n"/>
      <c r="BX40" s="90" t="n"/>
    </row>
    <row r="41" ht="45" customHeight="1">
      <c r="A41" s="91" t="n"/>
      <c r="B41" s="83" t="n"/>
      <c r="C41" s="92" t="n"/>
      <c r="D41" s="92" t="n"/>
      <c r="E41" s="92" t="n"/>
      <c r="F41" s="92" t="inlineStr">
        <is>
          <t>IT-FBT0528-OG-US-00</t>
        </is>
      </c>
      <c r="G41" s="92" t="n"/>
      <c r="H41" s="92" t="n"/>
      <c r="I41" s="92" t="n"/>
      <c r="J41" s="92" t="n"/>
      <c r="K41" s="93" t="n"/>
      <c r="L41" s="102" t="inlineStr">
        <is>
          <t>2022 Buy on Demand (BOD) Application Management Services (AMS) Support Costs - Ariba/SAP Product Vendor</t>
        </is>
      </c>
      <c r="M41" s="103" t="n"/>
      <c r="N41" s="82" t="n"/>
      <c r="O41" s="83" t="n"/>
      <c r="P41" s="83" t="n"/>
      <c r="Q41" s="84" t="n"/>
      <c r="R41" s="84">
        <f>P41-Q41</f>
        <v/>
      </c>
      <c r="S41" s="85" t="n"/>
      <c r="T41" s="83" t="n"/>
      <c r="U41" s="83" t="n"/>
      <c r="V41" s="84" t="n"/>
      <c r="W41" s="86">
        <f>U41-V41</f>
        <v/>
      </c>
      <c r="X41" s="87" t="n"/>
      <c r="Y41" s="83" t="n"/>
      <c r="Z41" s="83" t="n"/>
      <c r="AA41" s="84" t="n"/>
      <c r="AB41" s="86">
        <f>Z41-AA41</f>
        <v/>
      </c>
      <c r="AC41" s="87" t="n"/>
      <c r="AD41" s="83" t="n"/>
      <c r="AE41" s="83" t="n"/>
      <c r="AF41" s="84" t="n"/>
      <c r="AG41" s="86">
        <f>AE41-AF41</f>
        <v/>
      </c>
      <c r="AH41" s="87" t="n"/>
      <c r="AI41" s="83" t="n"/>
      <c r="AJ41" s="83" t="n"/>
      <c r="AK41" s="84" t="n"/>
      <c r="AL41" s="86">
        <f>AJ41-AK41</f>
        <v/>
      </c>
      <c r="AM41" s="87" t="n"/>
      <c r="AN41" s="83" t="n"/>
      <c r="AO41" s="83" t="n"/>
      <c r="AP41" s="84" t="n"/>
      <c r="AQ41" s="86">
        <f>AO41-AP41</f>
        <v/>
      </c>
      <c r="AR41" s="87" t="n"/>
      <c r="AS41" s="83" t="n"/>
      <c r="AT41" s="83" t="n"/>
      <c r="AU41" s="84" t="n"/>
      <c r="AV41" s="86">
        <f>AT41-AU41</f>
        <v/>
      </c>
      <c r="AW41" s="87" t="n"/>
      <c r="AX41" s="83" t="n"/>
      <c r="AY41" s="83" t="n"/>
      <c r="AZ41" s="84" t="n"/>
      <c r="BA41" s="86">
        <f>AY41-AZ41</f>
        <v/>
      </c>
      <c r="BB41" s="87" t="n"/>
      <c r="BC41" s="83" t="n"/>
      <c r="BD41" s="83" t="n"/>
      <c r="BE41" s="84" t="n"/>
      <c r="BF41" s="86">
        <f>BD41-BE41</f>
        <v/>
      </c>
      <c r="BG41" s="87" t="n"/>
      <c r="BH41" s="83" t="n"/>
      <c r="BI41" s="83" t="n"/>
      <c r="BJ41" s="84" t="n"/>
      <c r="BK41" s="86">
        <f>BI41-BJ41</f>
        <v/>
      </c>
      <c r="BL41" s="87" t="n"/>
      <c r="BM41" s="83" t="n"/>
      <c r="BN41" s="83" t="n"/>
      <c r="BO41" s="84" t="n"/>
      <c r="BP41" s="86">
        <f>BN41-BO41</f>
        <v/>
      </c>
      <c r="BQ41" s="87" t="n"/>
      <c r="BR41" s="83" t="n"/>
      <c r="BS41" s="83" t="n"/>
      <c r="BT41" s="84" t="n"/>
      <c r="BU41" s="86">
        <f>BS41-BT41</f>
        <v/>
      </c>
      <c r="BV41" s="85" t="n">
        <v>0</v>
      </c>
      <c r="BW41" s="89" t="n"/>
      <c r="BX41" s="90" t="n"/>
    </row>
    <row r="42" ht="30" customHeight="1">
      <c r="A42" s="91" t="inlineStr">
        <is>
          <t>Old PO9501113130</t>
        </is>
      </c>
      <c r="B42" s="83" t="n"/>
      <c r="C42" s="92" t="n"/>
      <c r="D42" s="92" t="n"/>
      <c r="E42" s="92" t="n"/>
      <c r="F42" s="92" t="inlineStr">
        <is>
          <t>IT-SFT1023-86-OG-US</t>
        </is>
      </c>
      <c r="G42" s="92" t="n"/>
      <c r="H42" s="92" t="n"/>
      <c r="I42" s="92" t="n"/>
      <c r="J42" s="92" t="n"/>
      <c r="K42" s="93" t="n"/>
      <c r="L42" s="102" t="inlineStr">
        <is>
          <t>Markov (Mainteannce Renewal) (Pullforward Debit)</t>
        </is>
      </c>
      <c r="M42" s="103" t="n"/>
      <c r="N42" s="82" t="n"/>
      <c r="O42" s="83" t="n"/>
      <c r="P42" s="83" t="n"/>
      <c r="Q42" s="84" t="n"/>
      <c r="R42" s="84">
        <f>P42-Q42</f>
        <v/>
      </c>
      <c r="S42" s="85" t="n"/>
      <c r="T42" s="83" t="n"/>
      <c r="U42" s="83" t="n"/>
      <c r="V42" s="84" t="n"/>
      <c r="W42" s="86">
        <f>U42-V42</f>
        <v/>
      </c>
      <c r="X42" s="87" t="n"/>
      <c r="Y42" s="83" t="n"/>
      <c r="Z42" s="83" t="n"/>
      <c r="AA42" s="84" t="n"/>
      <c r="AB42" s="86">
        <f>Z42-AA42</f>
        <v/>
      </c>
      <c r="AC42" s="87" t="n"/>
      <c r="AD42" s="83" t="n"/>
      <c r="AE42" s="83" t="n"/>
      <c r="AF42" s="84" t="n"/>
      <c r="AG42" s="86">
        <f>AE42-AF42</f>
        <v/>
      </c>
      <c r="AH42" s="87" t="n"/>
      <c r="AI42" s="83" t="n"/>
      <c r="AJ42" s="83" t="n"/>
      <c r="AK42" s="84" t="n"/>
      <c r="AL42" s="86">
        <f>AJ42-AK42</f>
        <v/>
      </c>
      <c r="AM42" s="87" t="n"/>
      <c r="AN42" s="83" t="n"/>
      <c r="AO42" s="83" t="n"/>
      <c r="AP42" s="84" t="n"/>
      <c r="AQ42" s="86">
        <f>AO42-AP42</f>
        <v/>
      </c>
      <c r="AR42" s="87" t="n"/>
      <c r="AS42" s="83" t="n"/>
      <c r="AT42" s="83" t="n"/>
      <c r="AU42" s="84" t="n"/>
      <c r="AV42" s="86">
        <f>AT42-AU42</f>
        <v/>
      </c>
      <c r="AW42" s="87" t="n"/>
      <c r="AX42" s="83" t="n"/>
      <c r="AY42" s="83" t="n"/>
      <c r="AZ42" s="84" t="n"/>
      <c r="BA42" s="86">
        <f>AY42-AZ42</f>
        <v/>
      </c>
      <c r="BB42" s="87" t="n"/>
      <c r="BC42" s="83" t="n"/>
      <c r="BD42" s="83" t="n"/>
      <c r="BE42" s="84" t="n"/>
      <c r="BF42" s="86">
        <f>BD42-BE42</f>
        <v/>
      </c>
      <c r="BG42" s="87" t="n"/>
      <c r="BH42" s="83" t="n"/>
      <c r="BI42" s="83" t="n"/>
      <c r="BJ42" s="84" t="n"/>
      <c r="BK42" s="86">
        <f>BI42-BJ42</f>
        <v/>
      </c>
      <c r="BL42" s="87" t="n"/>
      <c r="BM42" s="83" t="n"/>
      <c r="BN42" s="83" t="n"/>
      <c r="BO42" s="84" t="n"/>
      <c r="BP42" s="86">
        <f>BN42-BO42</f>
        <v/>
      </c>
      <c r="BQ42" s="87" t="n"/>
      <c r="BR42" s="83" t="n"/>
      <c r="BS42" s="83" t="n"/>
      <c r="BT42" s="84" t="n"/>
      <c r="BU42" s="86">
        <f>BS42-BT42</f>
        <v/>
      </c>
      <c r="BV42" s="85" t="n">
        <v>0</v>
      </c>
      <c r="BW42" s="89" t="n"/>
      <c r="BX42" s="90" t="n"/>
    </row>
    <row r="43" ht="30" customHeight="1">
      <c r="A43" s="91" t="inlineStr">
        <is>
          <t>Old PO9501113089</t>
        </is>
      </c>
      <c r="B43" s="83" t="n"/>
      <c r="C43" s="92" t="n"/>
      <c r="D43" s="92" t="n"/>
      <c r="E43" s="92" t="n"/>
      <c r="F43" s="92" t="inlineStr">
        <is>
          <t>IT-SFT1023-86-OG-US/PF</t>
        </is>
      </c>
      <c r="G43" s="92" t="n"/>
      <c r="H43" s="92" t="n"/>
      <c r="I43" s="92" t="n"/>
      <c r="J43" s="92" t="n"/>
      <c r="K43" s="93" t="n"/>
      <c r="L43" s="102" t="inlineStr">
        <is>
          <t>Markov (Mainteannce Renewal) (Pullforward Credit)</t>
        </is>
      </c>
      <c r="M43" s="103" t="n"/>
      <c r="N43" s="82" t="n"/>
      <c r="O43" s="83" t="n"/>
      <c r="P43" s="83" t="n"/>
      <c r="Q43" s="84" t="n"/>
      <c r="R43" s="84">
        <f>P43-Q43</f>
        <v/>
      </c>
      <c r="S43" s="85" t="n"/>
      <c r="T43" s="83" t="n"/>
      <c r="U43" s="83" t="n"/>
      <c r="V43" s="84" t="n"/>
      <c r="W43" s="86">
        <f>U43-V43</f>
        <v/>
      </c>
      <c r="X43" s="87" t="n"/>
      <c r="Y43" s="83" t="n"/>
      <c r="Z43" s="83" t="n"/>
      <c r="AA43" s="84" t="n"/>
      <c r="AB43" s="86">
        <f>Z43-AA43</f>
        <v/>
      </c>
      <c r="AC43" s="87" t="n"/>
      <c r="AD43" s="83" t="n"/>
      <c r="AE43" s="83" t="n"/>
      <c r="AF43" s="84" t="n"/>
      <c r="AG43" s="86">
        <f>AE43-AF43</f>
        <v/>
      </c>
      <c r="AH43" s="87" t="n"/>
      <c r="AI43" s="83" t="n"/>
      <c r="AJ43" s="83" t="n"/>
      <c r="AK43" s="84" t="n"/>
      <c r="AL43" s="86">
        <f>AJ43-AK43</f>
        <v/>
      </c>
      <c r="AM43" s="87" t="n"/>
      <c r="AN43" s="83" t="n"/>
      <c r="AO43" s="83" t="n"/>
      <c r="AP43" s="84" t="n"/>
      <c r="AQ43" s="86">
        <f>AO43-AP43</f>
        <v/>
      </c>
      <c r="AR43" s="87" t="n"/>
      <c r="AS43" s="83" t="n"/>
      <c r="AT43" s="83" t="n"/>
      <c r="AU43" s="84" t="n"/>
      <c r="AV43" s="86">
        <f>AT43-AU43</f>
        <v/>
      </c>
      <c r="AW43" s="87" t="n"/>
      <c r="AX43" s="83" t="n"/>
      <c r="AY43" s="83" t="n"/>
      <c r="AZ43" s="84" t="n"/>
      <c r="BA43" s="86">
        <f>AY43-AZ43</f>
        <v/>
      </c>
      <c r="BB43" s="87" t="n"/>
      <c r="BC43" s="83" t="n"/>
      <c r="BD43" s="83" t="n"/>
      <c r="BE43" s="84" t="n"/>
      <c r="BF43" s="86">
        <f>BD43-BE43</f>
        <v/>
      </c>
      <c r="BG43" s="87" t="n"/>
      <c r="BH43" s="83" t="n"/>
      <c r="BI43" s="83" t="n"/>
      <c r="BJ43" s="84" t="n"/>
      <c r="BK43" s="86">
        <f>BI43-BJ43</f>
        <v/>
      </c>
      <c r="BL43" s="87" t="n"/>
      <c r="BM43" s="83" t="n"/>
      <c r="BN43" s="83" t="n"/>
      <c r="BO43" s="84" t="n"/>
      <c r="BP43" s="86">
        <f>BN43-BO43</f>
        <v/>
      </c>
      <c r="BQ43" s="87" t="n"/>
      <c r="BR43" s="83" t="n"/>
      <c r="BS43" s="83" t="n"/>
      <c r="BT43" s="84" t="n"/>
      <c r="BU43" s="86">
        <f>BS43-BT43</f>
        <v/>
      </c>
      <c r="BV43" s="85" t="n">
        <v>0</v>
      </c>
      <c r="BW43" s="89" t="n"/>
      <c r="BX43" s="90" t="n"/>
    </row>
    <row r="44">
      <c r="A44" s="91" t="n"/>
      <c r="B44" s="83" t="n"/>
      <c r="C44" s="92" t="n"/>
      <c r="D44" s="92" t="n"/>
      <c r="E44" s="92" t="n"/>
      <c r="F44" s="92" t="inlineStr">
        <is>
          <t>IT-SFT0175-02-OG-US</t>
        </is>
      </c>
      <c r="G44" s="92" t="n"/>
      <c r="H44" s="92" t="n"/>
      <c r="I44" s="92" t="n"/>
      <c r="J44" s="92" t="n"/>
      <c r="K44" s="93" t="n"/>
      <c r="L44" s="102" t="inlineStr">
        <is>
          <t>BizTalk Kovai</t>
        </is>
      </c>
      <c r="M44" s="103" t="n"/>
      <c r="N44" s="82" t="n"/>
      <c r="O44" s="83" t="n"/>
      <c r="P44" s="83" t="n"/>
      <c r="Q44" s="84" t="n"/>
      <c r="R44" s="84">
        <f>P44-Q44</f>
        <v/>
      </c>
      <c r="S44" s="85" t="n"/>
      <c r="T44" s="83" t="n"/>
      <c r="U44" s="83" t="n"/>
      <c r="V44" s="84" t="n"/>
      <c r="W44" s="86">
        <f>U44-V44</f>
        <v/>
      </c>
      <c r="X44" s="87" t="n"/>
      <c r="Y44" s="83" t="n"/>
      <c r="Z44" s="83" t="n"/>
      <c r="AA44" s="84" t="n"/>
      <c r="AB44" s="86">
        <f>Z44-AA44</f>
        <v/>
      </c>
      <c r="AC44" s="87" t="n"/>
      <c r="AD44" s="83" t="n"/>
      <c r="AE44" s="83" t="n"/>
      <c r="AF44" s="84" t="n"/>
      <c r="AG44" s="86">
        <f>AE44-AF44</f>
        <v/>
      </c>
      <c r="AH44" s="87" t="n"/>
      <c r="AI44" s="83" t="n"/>
      <c r="AJ44" s="83" t="n"/>
      <c r="AK44" s="84" t="n"/>
      <c r="AL44" s="86">
        <f>AJ44-AK44</f>
        <v/>
      </c>
      <c r="AM44" s="87" t="n"/>
      <c r="AN44" s="83" t="n"/>
      <c r="AO44" s="83" t="n"/>
      <c r="AP44" s="84" t="n"/>
      <c r="AQ44" s="86">
        <f>AO44-AP44</f>
        <v/>
      </c>
      <c r="AR44" s="87" t="n"/>
      <c r="AS44" s="83" t="n"/>
      <c r="AT44" s="83" t="n"/>
      <c r="AU44" s="84" t="n"/>
      <c r="AV44" s="86">
        <f>AT44-AU44</f>
        <v/>
      </c>
      <c r="AW44" s="87" t="n"/>
      <c r="AX44" s="83" t="n"/>
      <c r="AY44" s="83" t="n"/>
      <c r="AZ44" s="84" t="n"/>
      <c r="BA44" s="86">
        <f>AY44-AZ44</f>
        <v/>
      </c>
      <c r="BB44" s="87" t="n"/>
      <c r="BC44" s="83" t="n"/>
      <c r="BD44" s="83" t="n"/>
      <c r="BE44" s="84" t="n"/>
      <c r="BF44" s="86">
        <f>BD44-BE44</f>
        <v/>
      </c>
      <c r="BG44" s="87" t="n"/>
      <c r="BH44" s="83" t="n"/>
      <c r="BI44" s="83" t="n"/>
      <c r="BJ44" s="84" t="n"/>
      <c r="BK44" s="86">
        <f>BI44-BJ44</f>
        <v/>
      </c>
      <c r="BL44" s="87" t="n"/>
      <c r="BM44" s="83" t="n"/>
      <c r="BN44" s="83" t="n"/>
      <c r="BO44" s="84" t="n"/>
      <c r="BP44" s="86">
        <f>BN44-BO44</f>
        <v/>
      </c>
      <c r="BQ44" s="87" t="n"/>
      <c r="BR44" s="83" t="n"/>
      <c r="BS44" s="83" t="n"/>
      <c r="BT44" s="84" t="n"/>
      <c r="BU44" s="86">
        <f>BS44-BT44</f>
        <v/>
      </c>
      <c r="BV44" s="85" t="n">
        <v>0</v>
      </c>
      <c r="BW44" s="89" t="n"/>
      <c r="BX44" s="90" t="n"/>
    </row>
    <row r="45">
      <c r="A45" s="91" t="n"/>
      <c r="B45" s="83" t="n"/>
      <c r="C45" s="92" t="n"/>
      <c r="D45" s="92" t="n"/>
      <c r="E45" s="92" t="n"/>
      <c r="F45" s="92" t="inlineStr">
        <is>
          <t>IT-SFT0234-02-OG-US</t>
        </is>
      </c>
      <c r="G45" s="92" t="n"/>
      <c r="H45" s="92" t="n"/>
      <c r="I45" s="92" t="n"/>
      <c r="J45" s="92" t="n"/>
      <c r="K45" s="93" t="n"/>
      <c r="L45" s="102" t="inlineStr">
        <is>
          <t>Monotype Imaging</t>
        </is>
      </c>
      <c r="M45" s="103" t="n"/>
      <c r="N45" s="82" t="n"/>
      <c r="O45" s="83" t="n"/>
      <c r="P45" s="83" t="n"/>
      <c r="Q45" s="84" t="n"/>
      <c r="R45" s="84">
        <f>P45-Q45</f>
        <v/>
      </c>
      <c r="S45" s="85" t="n"/>
      <c r="T45" s="83" t="n"/>
      <c r="U45" s="83" t="n"/>
      <c r="V45" s="84" t="n"/>
      <c r="W45" s="86">
        <f>U45-V45</f>
        <v/>
      </c>
      <c r="X45" s="87" t="n"/>
      <c r="Y45" s="83" t="n"/>
      <c r="Z45" s="83" t="n"/>
      <c r="AA45" s="84" t="n"/>
      <c r="AB45" s="86">
        <f>Z45-AA45</f>
        <v/>
      </c>
      <c r="AC45" s="87" t="n"/>
      <c r="AD45" s="83" t="n"/>
      <c r="AE45" s="83" t="n"/>
      <c r="AF45" s="84" t="n"/>
      <c r="AG45" s="86">
        <f>AE45-AF45</f>
        <v/>
      </c>
      <c r="AH45" s="87" t="n"/>
      <c r="AI45" s="83" t="n"/>
      <c r="AJ45" s="83" t="n"/>
      <c r="AK45" s="84" t="n"/>
      <c r="AL45" s="86">
        <f>AJ45-AK45</f>
        <v/>
      </c>
      <c r="AM45" s="87" t="n"/>
      <c r="AN45" s="83" t="n"/>
      <c r="AO45" s="83" t="n"/>
      <c r="AP45" s="84" t="n"/>
      <c r="AQ45" s="86">
        <f>AO45-AP45</f>
        <v/>
      </c>
      <c r="AR45" s="87" t="n"/>
      <c r="AS45" s="83" t="n"/>
      <c r="AT45" s="83" t="n"/>
      <c r="AU45" s="84" t="n"/>
      <c r="AV45" s="86">
        <f>AT45-AU45</f>
        <v/>
      </c>
      <c r="AW45" s="87" t="n"/>
      <c r="AX45" s="83" t="n"/>
      <c r="AY45" s="83" t="n"/>
      <c r="AZ45" s="84" t="n"/>
      <c r="BA45" s="86">
        <f>AY45-AZ45</f>
        <v/>
      </c>
      <c r="BB45" s="87" t="n"/>
      <c r="BC45" s="83" t="n"/>
      <c r="BD45" s="83" t="n"/>
      <c r="BE45" s="84" t="n"/>
      <c r="BF45" s="86">
        <f>BD45-BE45</f>
        <v/>
      </c>
      <c r="BG45" s="87" t="n"/>
      <c r="BH45" s="83" t="n"/>
      <c r="BI45" s="83" t="n"/>
      <c r="BJ45" s="84" t="n"/>
      <c r="BK45" s="86">
        <f>BI45-BJ45</f>
        <v/>
      </c>
      <c r="BL45" s="87" t="n"/>
      <c r="BM45" s="83" t="n"/>
      <c r="BN45" s="83" t="n"/>
      <c r="BO45" s="84" t="n"/>
      <c r="BP45" s="86">
        <f>BN45-BO45</f>
        <v/>
      </c>
      <c r="BQ45" s="87" t="n"/>
      <c r="BR45" s="83" t="n"/>
      <c r="BS45" s="83" t="n"/>
      <c r="BT45" s="84" t="n"/>
      <c r="BU45" s="86">
        <f>BS45-BT45</f>
        <v/>
      </c>
      <c r="BV45" s="85" t="n">
        <v>0</v>
      </c>
      <c r="BW45" s="89" t="n"/>
      <c r="BX45" s="90" t="n"/>
    </row>
    <row r="46" ht="30" customHeight="1">
      <c r="A46" s="91" t="inlineStr">
        <is>
          <t>Ram-OLD PO9500903186</t>
        </is>
      </c>
      <c r="B46" s="83" t="inlineStr">
        <is>
          <t>9501137831</t>
        </is>
      </c>
      <c r="C46" s="98" t="n">
        <v>45992</v>
      </c>
      <c r="D46" s="98" t="n">
        <v>46356</v>
      </c>
      <c r="E46" s="92" t="inlineStr">
        <is>
          <t>TEAM COMPUTERS PRIVATE LIMITED</t>
        </is>
      </c>
      <c r="F46" s="92" t="inlineStr">
        <is>
          <t>IT-FBT0066-OG-IN-00</t>
        </is>
      </c>
      <c r="G46" s="92" t="n">
        <v>41010100</v>
      </c>
      <c r="H46" s="92" t="n">
        <v>7280</v>
      </c>
      <c r="I46" s="92" t="inlineStr">
        <is>
          <t>INDIA</t>
        </is>
      </c>
      <c r="J46" s="92" t="n">
        <v>2662855</v>
      </c>
      <c r="K46" s="136" t="n">
        <v>38005</v>
      </c>
      <c r="L46" s="102" t="inlineStr">
        <is>
          <t>TCPL_SAP SOM SME CONSULTANT FROM 1ST DECEMBER 2025 TO 30TH N</t>
        </is>
      </c>
      <c r="M46" s="103" t="inlineStr">
        <is>
          <t>OPEN</t>
        </is>
      </c>
      <c r="N46" s="82" t="n">
        <v>0</v>
      </c>
      <c r="O46" s="83" t="n">
        <v>0</v>
      </c>
      <c r="P46" s="83" t="n">
        <v>0</v>
      </c>
      <c r="Q46" s="84" t="n">
        <v>0</v>
      </c>
      <c r="R46" s="84">
        <f>P46-Q46</f>
        <v/>
      </c>
      <c r="S46" s="85" t="n">
        <v>-3197.33</v>
      </c>
      <c r="T46" s="83" t="n">
        <v>0</v>
      </c>
      <c r="U46" s="83" t="n">
        <v>5775.82</v>
      </c>
      <c r="V46" s="84" t="n">
        <v>0</v>
      </c>
      <c r="W46" s="86">
        <f>U46-V46</f>
        <v/>
      </c>
      <c r="X46" s="87" t="n">
        <v>0</v>
      </c>
      <c r="Y46" s="83" t="n">
        <v>0</v>
      </c>
      <c r="Z46" s="83" t="n">
        <v>0</v>
      </c>
      <c r="AA46" s="84" t="n">
        <v>0</v>
      </c>
      <c r="AB46" s="86">
        <f>Z46-AA46</f>
        <v/>
      </c>
      <c r="AC46" s="87" t="n">
        <v>0</v>
      </c>
      <c r="AD46" s="83" t="n">
        <v>0</v>
      </c>
      <c r="AE46" s="83" t="n">
        <v>0</v>
      </c>
      <c r="AF46" s="84" t="n">
        <v>0</v>
      </c>
      <c r="AG46" s="86">
        <f>AE46-AF46</f>
        <v/>
      </c>
      <c r="AH46" s="87" t="n">
        <v>0</v>
      </c>
      <c r="AI46" s="83" t="n">
        <v>0</v>
      </c>
      <c r="AJ46" s="83" t="n">
        <v>0</v>
      </c>
      <c r="AK46" s="84" t="n">
        <v>0</v>
      </c>
      <c r="AL46" s="86">
        <f>AJ46-AK46</f>
        <v/>
      </c>
      <c r="AM46" s="87" t="n">
        <v>0</v>
      </c>
      <c r="AN46" s="83" t="n">
        <v>0</v>
      </c>
      <c r="AO46" s="83" t="n">
        <v>0</v>
      </c>
      <c r="AP46" s="84" t="n">
        <v>0</v>
      </c>
      <c r="AQ46" s="86">
        <f>AO46-AP46</f>
        <v/>
      </c>
      <c r="AR46" s="87" t="n">
        <v>0</v>
      </c>
      <c r="AS46" s="83" t="n">
        <v>0</v>
      </c>
      <c r="AT46" s="83" t="n">
        <v>0</v>
      </c>
      <c r="AU46" s="84" t="n">
        <v>0</v>
      </c>
      <c r="AV46" s="86">
        <f>AT46-AU46</f>
        <v/>
      </c>
      <c r="AW46" s="87" t="n">
        <v>0</v>
      </c>
      <c r="AX46" s="83" t="n">
        <v>0</v>
      </c>
      <c r="AY46" s="83" t="n">
        <v>0</v>
      </c>
      <c r="AZ46" s="84" t="n">
        <v>0</v>
      </c>
      <c r="BA46" s="86">
        <f>AY46-AZ46</f>
        <v/>
      </c>
      <c r="BB46" s="87" t="n">
        <v>0</v>
      </c>
      <c r="BC46" s="83" t="n">
        <v>0</v>
      </c>
      <c r="BD46" s="83" t="n">
        <v>0</v>
      </c>
      <c r="BE46" s="84" t="n">
        <v>0</v>
      </c>
      <c r="BF46" s="86">
        <f>BD46-BE46</f>
        <v/>
      </c>
      <c r="BG46" s="87" t="n">
        <v>0</v>
      </c>
      <c r="BH46" s="83" t="n">
        <v>0</v>
      </c>
      <c r="BI46" s="83" t="n">
        <v>0</v>
      </c>
      <c r="BJ46" s="84" t="n">
        <v>0</v>
      </c>
      <c r="BK46" s="86">
        <f>BI46-BJ46</f>
        <v/>
      </c>
      <c r="BL46" s="87" t="n">
        <v>0</v>
      </c>
      <c r="BM46" s="83" t="n">
        <v>0</v>
      </c>
      <c r="BN46" s="83" t="n">
        <v>0</v>
      </c>
      <c r="BO46" s="84" t="n">
        <v>0</v>
      </c>
      <c r="BP46" s="86">
        <f>BN46-BO46</f>
        <v/>
      </c>
      <c r="BQ46" s="87" t="n">
        <v>0</v>
      </c>
      <c r="BR46" s="83" t="n">
        <v>0</v>
      </c>
      <c r="BS46" s="83" t="n">
        <v>0</v>
      </c>
      <c r="BT46" s="84" t="n">
        <v>0</v>
      </c>
      <c r="BU46" s="86">
        <f>BS46-BT46</f>
        <v/>
      </c>
      <c r="BV46" s="85" t="n">
        <v>0</v>
      </c>
      <c r="BW46" s="89" t="n"/>
      <c r="BX46" s="90" t="n"/>
    </row>
    <row r="47" ht="45" customHeight="1">
      <c r="A47" s="91" t="inlineStr">
        <is>
          <t>Ram</t>
        </is>
      </c>
      <c r="B47" s="83" t="inlineStr">
        <is>
          <t>9501137269</t>
        </is>
      </c>
      <c r="C47" s="98" t="n">
        <v>45992</v>
      </c>
      <c r="D47" s="98" t="n">
        <v>46356</v>
      </c>
      <c r="E47" s="92" t="inlineStr">
        <is>
          <t>PRIME SOFTWARE SOLUTION</t>
        </is>
      </c>
      <c r="F47" s="92" t="inlineStr">
        <is>
          <t>IT-FBT0637-OG-IN-00</t>
        </is>
      </c>
      <c r="G47" s="92" t="n">
        <v>41010100</v>
      </c>
      <c r="H47" s="92" t="n">
        <v>7280</v>
      </c>
      <c r="I47" s="92" t="inlineStr">
        <is>
          <t>INDIA</t>
        </is>
      </c>
      <c r="J47" s="92" t="n">
        <v>2662855</v>
      </c>
      <c r="K47" s="136" t="n">
        <v>9980</v>
      </c>
      <c r="L47" s="102" t="inlineStr">
        <is>
          <t>PSS_SOFTWARE MAINTENANCE SUPPORT_1ST DECEMBER 2025 TO 30TH N</t>
        </is>
      </c>
      <c r="M47" s="103" t="inlineStr">
        <is>
          <t>OPEN</t>
        </is>
      </c>
      <c r="N47" s="82" t="n">
        <v>0</v>
      </c>
      <c r="O47" s="83" t="n">
        <v>0</v>
      </c>
      <c r="P47" s="83" t="n">
        <v>0</v>
      </c>
      <c r="Q47" s="84" t="n">
        <v>821.58</v>
      </c>
      <c r="R47" s="84">
        <f>P47-Q47</f>
        <v/>
      </c>
      <c r="S47" s="85" t="n">
        <v>-839.64</v>
      </c>
      <c r="T47" s="83" t="n">
        <v>0</v>
      </c>
      <c r="U47" s="83" t="n">
        <v>695.1799999999999</v>
      </c>
      <c r="V47" s="84" t="n">
        <v>0</v>
      </c>
      <c r="W47" s="86">
        <f>U47-V47</f>
        <v/>
      </c>
      <c r="X47" s="87" t="n">
        <v>0</v>
      </c>
      <c r="Y47" s="83" t="n">
        <v>0</v>
      </c>
      <c r="Z47" s="83" t="n">
        <v>0</v>
      </c>
      <c r="AA47" s="84" t="n">
        <v>0</v>
      </c>
      <c r="AB47" s="86">
        <f>Z47-AA47</f>
        <v/>
      </c>
      <c r="AC47" s="87" t="n">
        <v>0</v>
      </c>
      <c r="AD47" s="83" t="n">
        <v>0</v>
      </c>
      <c r="AE47" s="83" t="n">
        <v>0</v>
      </c>
      <c r="AF47" s="84" t="n">
        <v>0</v>
      </c>
      <c r="AG47" s="86">
        <f>AE47-AF47</f>
        <v/>
      </c>
      <c r="AH47" s="87" t="n">
        <v>0</v>
      </c>
      <c r="AI47" s="83" t="n">
        <v>0</v>
      </c>
      <c r="AJ47" s="83" t="n">
        <v>0</v>
      </c>
      <c r="AK47" s="84" t="n">
        <v>0</v>
      </c>
      <c r="AL47" s="86">
        <f>AJ47-AK47</f>
        <v/>
      </c>
      <c r="AM47" s="87" t="n">
        <v>0</v>
      </c>
      <c r="AN47" s="83" t="n">
        <v>0</v>
      </c>
      <c r="AO47" s="83" t="n">
        <v>0</v>
      </c>
      <c r="AP47" s="84" t="n">
        <v>0</v>
      </c>
      <c r="AQ47" s="86">
        <f>AO47-AP47</f>
        <v/>
      </c>
      <c r="AR47" s="87" t="n">
        <v>0</v>
      </c>
      <c r="AS47" s="83" t="n">
        <v>0</v>
      </c>
      <c r="AT47" s="83" t="n">
        <v>0</v>
      </c>
      <c r="AU47" s="84" t="n">
        <v>0</v>
      </c>
      <c r="AV47" s="86">
        <f>AT47-AU47</f>
        <v/>
      </c>
      <c r="AW47" s="87" t="n">
        <v>0</v>
      </c>
      <c r="AX47" s="83" t="n">
        <v>0</v>
      </c>
      <c r="AY47" s="83" t="n">
        <v>0</v>
      </c>
      <c r="AZ47" s="84" t="n">
        <v>0</v>
      </c>
      <c r="BA47" s="86">
        <f>AY47-AZ47</f>
        <v/>
      </c>
      <c r="BB47" s="87" t="n">
        <v>0</v>
      </c>
      <c r="BC47" s="83" t="n">
        <v>0</v>
      </c>
      <c r="BD47" s="83" t="n">
        <v>0</v>
      </c>
      <c r="BE47" s="84" t="n">
        <v>0</v>
      </c>
      <c r="BF47" s="86">
        <f>BD47-BE47</f>
        <v/>
      </c>
      <c r="BG47" s="87" t="n">
        <v>0</v>
      </c>
      <c r="BH47" s="83" t="n">
        <v>0</v>
      </c>
      <c r="BI47" s="83" t="n">
        <v>0</v>
      </c>
      <c r="BJ47" s="84" t="n">
        <v>0</v>
      </c>
      <c r="BK47" s="86">
        <f>BI47-BJ47</f>
        <v/>
      </c>
      <c r="BL47" s="87" t="n">
        <v>0</v>
      </c>
      <c r="BM47" s="83" t="n">
        <v>0</v>
      </c>
      <c r="BN47" s="83" t="n">
        <v>0</v>
      </c>
      <c r="BO47" s="84" t="n">
        <v>0</v>
      </c>
      <c r="BP47" s="86">
        <f>BN47-BO47</f>
        <v/>
      </c>
      <c r="BQ47" s="87" t="n">
        <v>0</v>
      </c>
      <c r="BR47" s="83" t="n">
        <v>0</v>
      </c>
      <c r="BS47" s="83" t="n">
        <v>0</v>
      </c>
      <c r="BT47" s="84" t="n">
        <v>0</v>
      </c>
      <c r="BU47" s="86">
        <f>BS47-BT47</f>
        <v/>
      </c>
      <c r="BV47" s="85" t="n">
        <v>0</v>
      </c>
      <c r="BW47" s="89" t="n"/>
      <c r="BX47" s="90" t="n"/>
    </row>
    <row r="48" ht="30" customHeight="1">
      <c r="A48" s="91" t="n"/>
      <c r="B48" s="83" t="n"/>
      <c r="C48" s="92" t="n"/>
      <c r="D48" s="92" t="n"/>
      <c r="E48" s="92" t="n"/>
      <c r="F48" s="92" t="inlineStr">
        <is>
          <t>IT FBT0587 OG US 00</t>
        </is>
      </c>
      <c r="G48" s="92" t="n"/>
      <c r="H48" s="92" t="n"/>
      <c r="I48" s="92" t="n"/>
      <c r="J48" s="92" t="n"/>
      <c r="K48" s="136" t="n">
        <v>12000</v>
      </c>
      <c r="L48" s="102" t="inlineStr">
        <is>
          <t>MPLS Circuit supporting Oracle EPM Cloud FastConnect</t>
        </is>
      </c>
      <c r="M48" s="103" t="n"/>
      <c r="N48" s="82" t="n"/>
      <c r="O48" s="83" t="n"/>
      <c r="P48" s="83" t="n"/>
      <c r="Q48" s="84" t="n"/>
      <c r="R48" s="84">
        <f>P48-Q48</f>
        <v/>
      </c>
      <c r="S48" s="85" t="n"/>
      <c r="T48" s="83" t="n"/>
      <c r="U48" s="83" t="n"/>
      <c r="V48" s="84" t="n"/>
      <c r="W48" s="86">
        <f>U48-V48</f>
        <v/>
      </c>
      <c r="X48" s="87" t="n"/>
      <c r="Y48" s="83" t="n"/>
      <c r="Z48" s="83" t="n"/>
      <c r="AA48" s="84" t="n"/>
      <c r="AB48" s="86">
        <f>Z48-AA48</f>
        <v/>
      </c>
      <c r="AC48" s="87" t="n"/>
      <c r="AD48" s="83" t="n"/>
      <c r="AE48" s="83" t="n"/>
      <c r="AF48" s="84" t="n"/>
      <c r="AG48" s="86">
        <f>AE48-AF48</f>
        <v/>
      </c>
      <c r="AH48" s="87" t="n"/>
      <c r="AI48" s="83" t="n"/>
      <c r="AJ48" s="83" t="n"/>
      <c r="AK48" s="84" t="n"/>
      <c r="AL48" s="86">
        <f>AJ48-AK48</f>
        <v/>
      </c>
      <c r="AM48" s="87" t="n"/>
      <c r="AN48" s="83" t="n"/>
      <c r="AO48" s="83" t="n"/>
      <c r="AP48" s="84" t="n"/>
      <c r="AQ48" s="86">
        <f>AO48-AP48</f>
        <v/>
      </c>
      <c r="AR48" s="87" t="n"/>
      <c r="AS48" s="83" t="n"/>
      <c r="AT48" s="83" t="n"/>
      <c r="AU48" s="84" t="n"/>
      <c r="AV48" s="86">
        <f>AT48-AU48</f>
        <v/>
      </c>
      <c r="AW48" s="87" t="n"/>
      <c r="AX48" s="83" t="n"/>
      <c r="AY48" s="83" t="n"/>
      <c r="AZ48" s="84" t="n"/>
      <c r="BA48" s="86">
        <f>AY48-AZ48</f>
        <v/>
      </c>
      <c r="BB48" s="87" t="n"/>
      <c r="BC48" s="83" t="n"/>
      <c r="BD48" s="83" t="n"/>
      <c r="BE48" s="84" t="n"/>
      <c r="BF48" s="86">
        <f>BD48-BE48</f>
        <v/>
      </c>
      <c r="BG48" s="87" t="n"/>
      <c r="BH48" s="83" t="n"/>
      <c r="BI48" s="83" t="n"/>
      <c r="BJ48" s="84" t="n"/>
      <c r="BK48" s="86">
        <f>BI48-BJ48</f>
        <v/>
      </c>
      <c r="BL48" s="87" t="n"/>
      <c r="BM48" s="83" t="n"/>
      <c r="BN48" s="83" t="n"/>
      <c r="BO48" s="84" t="n"/>
      <c r="BP48" s="86">
        <f>BN48-BO48</f>
        <v/>
      </c>
      <c r="BQ48" s="87" t="n"/>
      <c r="BR48" s="83" t="n"/>
      <c r="BS48" s="83" t="n"/>
      <c r="BT48" s="84" t="n"/>
      <c r="BU48" s="86">
        <f>BS48-BT48</f>
        <v/>
      </c>
      <c r="BV48" s="85" t="n">
        <v>0</v>
      </c>
      <c r="BW48" s="89" t="n"/>
      <c r="BX48" s="90" t="n"/>
    </row>
    <row r="49" ht="45" customHeight="1">
      <c r="A49" s="91" t="n"/>
      <c r="B49" s="83" t="n"/>
      <c r="C49" s="92" t="n"/>
      <c r="D49" s="92" t="n"/>
      <c r="E49" s="92" t="n"/>
      <c r="F49" s="92" t="inlineStr">
        <is>
          <t>IT FBT0588 OG US 00</t>
        </is>
      </c>
      <c r="G49" s="92" t="n"/>
      <c r="H49" s="92" t="n"/>
      <c r="I49" s="92" t="n"/>
      <c r="J49" s="92" t="n"/>
      <c r="K49" s="136" t="n">
        <v>0</v>
      </c>
      <c r="L49" s="102" t="inlineStr">
        <is>
          <t>Eliminated in LE0 (no budget) - VPN Site to Site supporting SAP AG Germany iVPN</t>
        </is>
      </c>
      <c r="M49" s="103" t="n"/>
      <c r="N49" s="82" t="n"/>
      <c r="O49" s="83" t="n"/>
      <c r="P49" s="83" t="n"/>
      <c r="Q49" s="84" t="n"/>
      <c r="R49" s="84">
        <f>P49-Q49</f>
        <v/>
      </c>
      <c r="S49" s="85" t="n"/>
      <c r="T49" s="83" t="n"/>
      <c r="U49" s="83" t="n"/>
      <c r="V49" s="84" t="n"/>
      <c r="W49" s="86">
        <f>U49-V49</f>
        <v/>
      </c>
      <c r="X49" s="87" t="n"/>
      <c r="Y49" s="83" t="n"/>
      <c r="Z49" s="83" t="n"/>
      <c r="AA49" s="84" t="n"/>
      <c r="AB49" s="86">
        <f>Z49-AA49</f>
        <v/>
      </c>
      <c r="AC49" s="87" t="n"/>
      <c r="AD49" s="83" t="n"/>
      <c r="AE49" s="83" t="n"/>
      <c r="AF49" s="84" t="n"/>
      <c r="AG49" s="86">
        <f>AE49-AF49</f>
        <v/>
      </c>
      <c r="AH49" s="87" t="n"/>
      <c r="AI49" s="83" t="n"/>
      <c r="AJ49" s="83" t="n"/>
      <c r="AK49" s="84" t="n"/>
      <c r="AL49" s="86">
        <f>AJ49-AK49</f>
        <v/>
      </c>
      <c r="AM49" s="87" t="n"/>
      <c r="AN49" s="83" t="n"/>
      <c r="AO49" s="83" t="n"/>
      <c r="AP49" s="84" t="n"/>
      <c r="AQ49" s="86">
        <f>AO49-AP49</f>
        <v/>
      </c>
      <c r="AR49" s="87" t="n"/>
      <c r="AS49" s="83" t="n"/>
      <c r="AT49" s="83" t="n"/>
      <c r="AU49" s="84" t="n"/>
      <c r="AV49" s="86">
        <f>AT49-AU49</f>
        <v/>
      </c>
      <c r="AW49" s="87" t="n"/>
      <c r="AX49" s="83" t="n"/>
      <c r="AY49" s="83" t="n"/>
      <c r="AZ49" s="84" t="n"/>
      <c r="BA49" s="86">
        <f>AY49-AZ49</f>
        <v/>
      </c>
      <c r="BB49" s="87" t="n"/>
      <c r="BC49" s="83" t="n"/>
      <c r="BD49" s="83" t="n"/>
      <c r="BE49" s="84" t="n"/>
      <c r="BF49" s="86">
        <f>BD49-BE49</f>
        <v/>
      </c>
      <c r="BG49" s="87" t="n"/>
      <c r="BH49" s="83" t="n"/>
      <c r="BI49" s="83" t="n"/>
      <c r="BJ49" s="84" t="n"/>
      <c r="BK49" s="86">
        <f>BI49-BJ49</f>
        <v/>
      </c>
      <c r="BL49" s="87" t="n"/>
      <c r="BM49" s="83" t="n"/>
      <c r="BN49" s="83" t="n"/>
      <c r="BO49" s="84" t="n"/>
      <c r="BP49" s="86">
        <f>BN49-BO49</f>
        <v/>
      </c>
      <c r="BQ49" s="87" t="n"/>
      <c r="BR49" s="83" t="n"/>
      <c r="BS49" s="83" t="n"/>
      <c r="BT49" s="84" t="n"/>
      <c r="BU49" s="86">
        <f>BS49-BT49</f>
        <v/>
      </c>
      <c r="BV49" s="85" t="n">
        <v>0</v>
      </c>
      <c r="BW49" s="89" t="n"/>
      <c r="BX49" s="90" t="n"/>
    </row>
    <row r="50" ht="30" customHeight="1">
      <c r="A50" s="91" t="inlineStr">
        <is>
          <t>Ram</t>
        </is>
      </c>
      <c r="B50" s="83" t="inlineStr">
        <is>
          <t>9501166164</t>
        </is>
      </c>
      <c r="C50" s="98" t="n">
        <v>46023</v>
      </c>
      <c r="D50" s="98" t="n">
        <v>46387</v>
      </c>
      <c r="E50" s="92" t="inlineStr">
        <is>
          <t>IBM</t>
        </is>
      </c>
      <c r="F50" s="92" t="inlineStr">
        <is>
          <t>IT-FBT0281-OG-US-00</t>
        </is>
      </c>
      <c r="G50" s="92" t="n">
        <v>41500000</v>
      </c>
      <c r="H50" s="92" t="n">
        <v>1400</v>
      </c>
      <c r="I50" s="92" t="inlineStr">
        <is>
          <t>US</t>
        </is>
      </c>
      <c r="J50" s="92" t="n">
        <v>2321403</v>
      </c>
      <c r="K50" s="136" t="n">
        <v>4651600</v>
      </c>
      <c r="L50" s="102" t="inlineStr">
        <is>
          <t>IBM: SAP APPLICATION MANAGED SERVICE (AMS) - CORE / IT-FBT02</t>
        </is>
      </c>
      <c r="M50" s="103" t="inlineStr">
        <is>
          <t>OPEN</t>
        </is>
      </c>
      <c r="N50" s="82" t="n">
        <v>0</v>
      </c>
      <c r="O50" s="83" t="n">
        <v>0</v>
      </c>
      <c r="P50" s="83" t="n">
        <v>0</v>
      </c>
      <c r="Q50" s="84" t="n">
        <v>387633.33</v>
      </c>
      <c r="R50" s="84">
        <f>P50-Q50</f>
        <v/>
      </c>
      <c r="S50" s="85" t="n">
        <v>-387633.34</v>
      </c>
      <c r="T50" s="83" t="n">
        <v>0</v>
      </c>
      <c r="U50" s="83" t="n">
        <v>387633</v>
      </c>
      <c r="V50" s="84" t="n">
        <v>0</v>
      </c>
      <c r="W50" s="86">
        <f>U50-V50</f>
        <v/>
      </c>
      <c r="X50" s="87" t="n">
        <v>0</v>
      </c>
      <c r="Y50" s="83" t="n">
        <v>0</v>
      </c>
      <c r="Z50" s="83" t="n">
        <v>0</v>
      </c>
      <c r="AA50" s="84" t="n">
        <v>0</v>
      </c>
      <c r="AB50" s="86">
        <f>Z50-AA50</f>
        <v/>
      </c>
      <c r="AC50" s="87" t="n">
        <v>0</v>
      </c>
      <c r="AD50" s="83" t="n">
        <v>0</v>
      </c>
      <c r="AE50" s="83" t="n">
        <v>0</v>
      </c>
      <c r="AF50" s="84" t="n">
        <v>0</v>
      </c>
      <c r="AG50" s="86">
        <f>AE50-AF50</f>
        <v/>
      </c>
      <c r="AH50" s="87" t="n">
        <v>0</v>
      </c>
      <c r="AI50" s="83" t="n">
        <v>0</v>
      </c>
      <c r="AJ50" s="83" t="n">
        <v>0</v>
      </c>
      <c r="AK50" s="84" t="n">
        <v>0</v>
      </c>
      <c r="AL50" s="86">
        <f>AJ50-AK50</f>
        <v/>
      </c>
      <c r="AM50" s="87" t="n">
        <v>0</v>
      </c>
      <c r="AN50" s="83" t="n">
        <v>0</v>
      </c>
      <c r="AO50" s="83" t="n">
        <v>0</v>
      </c>
      <c r="AP50" s="84" t="n">
        <v>0</v>
      </c>
      <c r="AQ50" s="86">
        <f>AO50-AP50</f>
        <v/>
      </c>
      <c r="AR50" s="87" t="n">
        <v>0</v>
      </c>
      <c r="AS50" s="83" t="n">
        <v>0</v>
      </c>
      <c r="AT50" s="83" t="n">
        <v>0</v>
      </c>
      <c r="AU50" s="84" t="n">
        <v>0</v>
      </c>
      <c r="AV50" s="86">
        <f>AT50-AU50</f>
        <v/>
      </c>
      <c r="AW50" s="87" t="n">
        <v>0</v>
      </c>
      <c r="AX50" s="83" t="n">
        <v>0</v>
      </c>
      <c r="AY50" s="83" t="n">
        <v>0</v>
      </c>
      <c r="AZ50" s="84" t="n">
        <v>0</v>
      </c>
      <c r="BA50" s="86">
        <f>AY50-AZ50</f>
        <v/>
      </c>
      <c r="BB50" s="87" t="n">
        <v>0</v>
      </c>
      <c r="BC50" s="83" t="n">
        <v>0</v>
      </c>
      <c r="BD50" s="83" t="n">
        <v>0</v>
      </c>
      <c r="BE50" s="84" t="n">
        <v>0</v>
      </c>
      <c r="BF50" s="86">
        <f>BD50-BE50</f>
        <v/>
      </c>
      <c r="BG50" s="87" t="n">
        <v>0</v>
      </c>
      <c r="BH50" s="83" t="n">
        <v>0</v>
      </c>
      <c r="BI50" s="83" t="n">
        <v>0</v>
      </c>
      <c r="BJ50" s="84" t="n">
        <v>0</v>
      </c>
      <c r="BK50" s="86">
        <f>BI50-BJ50</f>
        <v/>
      </c>
      <c r="BL50" s="87" t="n">
        <v>0</v>
      </c>
      <c r="BM50" s="83" t="n">
        <v>0</v>
      </c>
      <c r="BN50" s="83" t="n">
        <v>0</v>
      </c>
      <c r="BO50" s="84" t="n">
        <v>0</v>
      </c>
      <c r="BP50" s="86">
        <f>BN50-BO50</f>
        <v/>
      </c>
      <c r="BQ50" s="87" t="n">
        <v>0</v>
      </c>
      <c r="BR50" s="83" t="n">
        <v>0</v>
      </c>
      <c r="BS50" s="83" t="n">
        <v>0</v>
      </c>
      <c r="BT50" s="84" t="n">
        <v>0</v>
      </c>
      <c r="BU50" s="86">
        <f>BS50-BT50</f>
        <v/>
      </c>
      <c r="BV50" s="85" t="n">
        <v>0</v>
      </c>
      <c r="BW50" s="89" t="n"/>
      <c r="BX50" s="90" t="n"/>
    </row>
    <row r="51" ht="45" customHeight="1">
      <c r="A51" s="91" t="inlineStr">
        <is>
          <t>Ram</t>
        </is>
      </c>
      <c r="B51" s="83" t="inlineStr">
        <is>
          <t>9501190667</t>
        </is>
      </c>
      <c r="C51" s="98" t="n">
        <v>45992</v>
      </c>
      <c r="D51" s="98" t="n">
        <v>46296</v>
      </c>
      <c r="E51" s="92" t="inlineStr">
        <is>
          <t>IBM</t>
        </is>
      </c>
      <c r="F51" s="92" t="inlineStr">
        <is>
          <t>IT-FBT0281-OG-US-00</t>
        </is>
      </c>
      <c r="G51" s="92" t="n">
        <v>41500000</v>
      </c>
      <c r="H51" s="92" t="n">
        <v>1400</v>
      </c>
      <c r="I51" s="92" t="inlineStr">
        <is>
          <t>US</t>
        </is>
      </c>
      <c r="J51" s="92" t="n">
        <v>2321403</v>
      </c>
      <c r="K51" s="136" t="n">
        <v>62500</v>
      </c>
      <c r="L51" s="102" t="inlineStr">
        <is>
          <t>SAP Application Managed Service (AMS) - CORE- PCR-01(Collaboration360 Support)</t>
        </is>
      </c>
      <c r="M51" s="103" t="inlineStr">
        <is>
          <t>OPEN</t>
        </is>
      </c>
      <c r="N51" s="82" t="n">
        <v>0</v>
      </c>
      <c r="O51" s="83" t="n">
        <v>0</v>
      </c>
      <c r="P51" s="83" t="n">
        <v>0</v>
      </c>
      <c r="Q51" s="84" t="n">
        <v>0</v>
      </c>
      <c r="R51" s="84">
        <f>P51-Q51</f>
        <v/>
      </c>
      <c r="S51" s="85" t="n">
        <v>0</v>
      </c>
      <c r="T51" s="83" t="n">
        <v>0</v>
      </c>
      <c r="U51" s="83" t="n">
        <v>17269.74</v>
      </c>
      <c r="V51" s="84" t="n">
        <v>0</v>
      </c>
      <c r="W51" s="86">
        <f>U51-V51</f>
        <v/>
      </c>
      <c r="X51" s="87" t="n">
        <v>0</v>
      </c>
      <c r="Y51" s="83" t="n">
        <v>0</v>
      </c>
      <c r="Z51" s="83" t="n">
        <v>0</v>
      </c>
      <c r="AA51" s="84" t="n">
        <v>0</v>
      </c>
      <c r="AB51" s="86">
        <f>Z51-AA51</f>
        <v/>
      </c>
      <c r="AC51" s="87" t="n">
        <v>0</v>
      </c>
      <c r="AD51" s="83" t="n">
        <v>0</v>
      </c>
      <c r="AE51" s="83" t="n">
        <v>0</v>
      </c>
      <c r="AF51" s="84" t="n">
        <v>0</v>
      </c>
      <c r="AG51" s="86">
        <f>AE51-AF51</f>
        <v/>
      </c>
      <c r="AH51" s="87" t="n">
        <v>0</v>
      </c>
      <c r="AI51" s="83" t="n">
        <v>0</v>
      </c>
      <c r="AJ51" s="83" t="n">
        <v>0</v>
      </c>
      <c r="AK51" s="84" t="n">
        <v>0</v>
      </c>
      <c r="AL51" s="86">
        <f>AJ51-AK51</f>
        <v/>
      </c>
      <c r="AM51" s="87" t="n">
        <v>0</v>
      </c>
      <c r="AN51" s="83" t="n">
        <v>0</v>
      </c>
      <c r="AO51" s="83" t="n">
        <v>0</v>
      </c>
      <c r="AP51" s="84" t="n">
        <v>0</v>
      </c>
      <c r="AQ51" s="86">
        <f>AO51-AP51</f>
        <v/>
      </c>
      <c r="AR51" s="87" t="n">
        <v>0</v>
      </c>
      <c r="AS51" s="83" t="n">
        <v>0</v>
      </c>
      <c r="AT51" s="83" t="n">
        <v>0</v>
      </c>
      <c r="AU51" s="84" t="n">
        <v>0</v>
      </c>
      <c r="AV51" s="86">
        <f>AT51-AU51</f>
        <v/>
      </c>
      <c r="AW51" s="87" t="n">
        <v>0</v>
      </c>
      <c r="AX51" s="83" t="n">
        <v>0</v>
      </c>
      <c r="AY51" s="83" t="n">
        <v>0</v>
      </c>
      <c r="AZ51" s="84" t="n">
        <v>0</v>
      </c>
      <c r="BA51" s="86">
        <f>AY51-AZ51</f>
        <v/>
      </c>
      <c r="BB51" s="87" t="n">
        <v>0</v>
      </c>
      <c r="BC51" s="83" t="n">
        <v>0</v>
      </c>
      <c r="BD51" s="83" t="n">
        <v>0</v>
      </c>
      <c r="BE51" s="84" t="n">
        <v>0</v>
      </c>
      <c r="BF51" s="86">
        <f>BD51-BE51</f>
        <v/>
      </c>
      <c r="BG51" s="87" t="n">
        <v>0</v>
      </c>
      <c r="BH51" s="83" t="n">
        <v>0</v>
      </c>
      <c r="BI51" s="83" t="n">
        <v>0</v>
      </c>
      <c r="BJ51" s="84" t="n">
        <v>0</v>
      </c>
      <c r="BK51" s="86">
        <f>BI51-BJ51</f>
        <v/>
      </c>
      <c r="BL51" s="87" t="n">
        <v>0</v>
      </c>
      <c r="BM51" s="83" t="n">
        <v>0</v>
      </c>
      <c r="BN51" s="83" t="n">
        <v>0</v>
      </c>
      <c r="BO51" s="84" t="n">
        <v>0</v>
      </c>
      <c r="BP51" s="86">
        <f>BN51-BO51</f>
        <v/>
      </c>
      <c r="BQ51" s="87" t="n">
        <v>0</v>
      </c>
      <c r="BR51" s="83" t="n">
        <v>0</v>
      </c>
      <c r="BS51" s="83" t="n">
        <v>0</v>
      </c>
      <c r="BT51" s="84" t="n">
        <v>0</v>
      </c>
      <c r="BU51" s="86">
        <f>BS51-BT51</f>
        <v/>
      </c>
      <c r="BV51" s="85" t="n">
        <v>0</v>
      </c>
      <c r="BW51" s="89" t="n"/>
      <c r="BX51" s="90" t="n"/>
    </row>
    <row r="52" ht="45" customHeight="1">
      <c r="A52" s="91" t="inlineStr">
        <is>
          <t>Ram-OLD PO9500914310</t>
        </is>
      </c>
      <c r="B52" s="83" t="inlineStr">
        <is>
          <t>9501199822</t>
        </is>
      </c>
      <c r="C52" s="98" t="n">
        <v>46023</v>
      </c>
      <c r="D52" s="98" t="n">
        <v>46387</v>
      </c>
      <c r="E52" s="92" t="inlineStr">
        <is>
          <t>IBM</t>
        </is>
      </c>
      <c r="F52" s="92" t="inlineStr">
        <is>
          <t>IT-FBT0282-OG-US-00</t>
        </is>
      </c>
      <c r="G52" s="92" t="n">
        <v>41500000</v>
      </c>
      <c r="H52" s="92" t="n">
        <v>1400</v>
      </c>
      <c r="I52" s="92" t="inlineStr">
        <is>
          <t>US</t>
        </is>
      </c>
      <c r="J52" s="92" t="n">
        <v>2321403</v>
      </c>
      <c r="K52" s="136" t="n">
        <v>1058400</v>
      </c>
      <c r="L52" s="102" t="inlineStr">
        <is>
          <t>SAP Application Managed Service "AMS" - SAP Ariba BOD &amp; Ariba On Prem</t>
        </is>
      </c>
      <c r="M52" s="103" t="inlineStr">
        <is>
          <t>OPEN</t>
        </is>
      </c>
      <c r="N52" s="82" t="n">
        <v>0</v>
      </c>
      <c r="O52" s="83" t="n">
        <v>0</v>
      </c>
      <c r="P52" s="83" t="n">
        <v>0</v>
      </c>
      <c r="Q52" s="84" t="n">
        <v>0</v>
      </c>
      <c r="R52" s="84">
        <f>P52-Q52</f>
        <v/>
      </c>
      <c r="S52" s="85" t="n">
        <v>0</v>
      </c>
      <c r="T52" s="83" t="n">
        <v>0</v>
      </c>
      <c r="U52" s="83" t="n">
        <v>176400</v>
      </c>
      <c r="V52" s="84" t="n">
        <v>0</v>
      </c>
      <c r="W52" s="86">
        <f>U52-V52</f>
        <v/>
      </c>
      <c r="X52" s="87" t="n">
        <v>0</v>
      </c>
      <c r="Y52" s="83" t="n">
        <v>0</v>
      </c>
      <c r="Z52" s="83" t="n">
        <v>0</v>
      </c>
      <c r="AA52" s="84" t="n">
        <v>0</v>
      </c>
      <c r="AB52" s="86">
        <f>Z52-AA52</f>
        <v/>
      </c>
      <c r="AC52" s="87" t="n">
        <v>0</v>
      </c>
      <c r="AD52" s="83" t="n">
        <v>0</v>
      </c>
      <c r="AE52" s="83" t="n">
        <v>0</v>
      </c>
      <c r="AF52" s="84" t="n">
        <v>0</v>
      </c>
      <c r="AG52" s="86">
        <f>AE52-AF52</f>
        <v/>
      </c>
      <c r="AH52" s="87" t="n">
        <v>0</v>
      </c>
      <c r="AI52" s="83" t="n">
        <v>0</v>
      </c>
      <c r="AJ52" s="83" t="n">
        <v>0</v>
      </c>
      <c r="AK52" s="84" t="n">
        <v>0</v>
      </c>
      <c r="AL52" s="86">
        <f>AJ52-AK52</f>
        <v/>
      </c>
      <c r="AM52" s="87" t="n">
        <v>0</v>
      </c>
      <c r="AN52" s="83" t="n">
        <v>0</v>
      </c>
      <c r="AO52" s="83" t="n">
        <v>0</v>
      </c>
      <c r="AP52" s="84" t="n">
        <v>0</v>
      </c>
      <c r="AQ52" s="86">
        <f>AO52-AP52</f>
        <v/>
      </c>
      <c r="AR52" s="87" t="n">
        <v>0</v>
      </c>
      <c r="AS52" s="83" t="n">
        <v>0</v>
      </c>
      <c r="AT52" s="83" t="n">
        <v>0</v>
      </c>
      <c r="AU52" s="84" t="n">
        <v>0</v>
      </c>
      <c r="AV52" s="86">
        <f>AT52-AU52</f>
        <v/>
      </c>
      <c r="AW52" s="87" t="n">
        <v>0</v>
      </c>
      <c r="AX52" s="83" t="n">
        <v>0</v>
      </c>
      <c r="AY52" s="83" t="n">
        <v>0</v>
      </c>
      <c r="AZ52" s="84" t="n">
        <v>0</v>
      </c>
      <c r="BA52" s="86">
        <f>AY52-AZ52</f>
        <v/>
      </c>
      <c r="BB52" s="87" t="n">
        <v>0</v>
      </c>
      <c r="BC52" s="83" t="n">
        <v>0</v>
      </c>
      <c r="BD52" s="83" t="n">
        <v>0</v>
      </c>
      <c r="BE52" s="84" t="n">
        <v>0</v>
      </c>
      <c r="BF52" s="86">
        <f>BD52-BE52</f>
        <v/>
      </c>
      <c r="BG52" s="87" t="n">
        <v>0</v>
      </c>
      <c r="BH52" s="83" t="n">
        <v>0</v>
      </c>
      <c r="BI52" s="83" t="n">
        <v>0</v>
      </c>
      <c r="BJ52" s="84" t="n">
        <v>0</v>
      </c>
      <c r="BK52" s="86">
        <f>BI52-BJ52</f>
        <v/>
      </c>
      <c r="BL52" s="87" t="n">
        <v>0</v>
      </c>
      <c r="BM52" s="83" t="n">
        <v>0</v>
      </c>
      <c r="BN52" s="83" t="n">
        <v>0</v>
      </c>
      <c r="BO52" s="84" t="n">
        <v>0</v>
      </c>
      <c r="BP52" s="86">
        <f>BN52-BO52</f>
        <v/>
      </c>
      <c r="BQ52" s="87" t="n">
        <v>0</v>
      </c>
      <c r="BR52" s="83" t="n">
        <v>0</v>
      </c>
      <c r="BS52" s="83" t="n">
        <v>0</v>
      </c>
      <c r="BT52" s="84" t="n">
        <v>0</v>
      </c>
      <c r="BU52" s="86">
        <f>BS52-BT52</f>
        <v/>
      </c>
      <c r="BV52" s="85" t="n">
        <v>0</v>
      </c>
      <c r="BW52" s="89" t="n"/>
      <c r="BX52" s="90" t="n"/>
    </row>
    <row r="53" ht="45" customHeight="1">
      <c r="A53" s="91" t="inlineStr">
        <is>
          <t>Ram-OLD PO9500914283</t>
        </is>
      </c>
      <c r="B53" s="83" t="inlineStr">
        <is>
          <t>9501199827</t>
        </is>
      </c>
      <c r="C53" s="98" t="n">
        <v>46023</v>
      </c>
      <c r="D53" s="98" t="n">
        <v>46387</v>
      </c>
      <c r="E53" s="92" t="inlineStr">
        <is>
          <t>IBM</t>
        </is>
      </c>
      <c r="F53" s="92" t="inlineStr">
        <is>
          <t>IT-FBT0282-OG-US-00</t>
        </is>
      </c>
      <c r="G53" s="92" t="n">
        <v>41500000</v>
      </c>
      <c r="H53" s="92" t="n">
        <v>1400</v>
      </c>
      <c r="I53" s="92" t="inlineStr">
        <is>
          <t>US</t>
        </is>
      </c>
      <c r="J53" s="92" t="n">
        <v>2321403</v>
      </c>
      <c r="K53" s="136" t="n">
        <v>577400</v>
      </c>
      <c r="L53" s="102" t="inlineStr">
        <is>
          <t>SAP Application Managed Service "AMS" - Additional Applications (10 Apps)</t>
        </is>
      </c>
      <c r="M53" s="103" t="inlineStr">
        <is>
          <t>OPEN</t>
        </is>
      </c>
      <c r="N53" s="82" t="n">
        <v>0</v>
      </c>
      <c r="O53" s="83" t="n">
        <v>0</v>
      </c>
      <c r="P53" s="83" t="n">
        <v>0</v>
      </c>
      <c r="Q53" s="84" t="n">
        <v>0</v>
      </c>
      <c r="R53" s="84">
        <f>P53-Q53</f>
        <v/>
      </c>
      <c r="S53" s="85" t="n">
        <v>0</v>
      </c>
      <c r="T53" s="83" t="n">
        <v>0</v>
      </c>
      <c r="U53" s="83" t="n">
        <v>84071.98</v>
      </c>
      <c r="V53" s="84" t="n">
        <v>0</v>
      </c>
      <c r="W53" s="86">
        <f>U53-V53</f>
        <v/>
      </c>
      <c r="X53" s="87" t="n">
        <v>0</v>
      </c>
      <c r="Y53" s="83" t="n">
        <v>0</v>
      </c>
      <c r="Z53" s="83" t="n">
        <v>0</v>
      </c>
      <c r="AA53" s="84" t="n">
        <v>0</v>
      </c>
      <c r="AB53" s="86">
        <f>Z53-AA53</f>
        <v/>
      </c>
      <c r="AC53" s="87" t="n">
        <v>0</v>
      </c>
      <c r="AD53" s="83" t="n">
        <v>0</v>
      </c>
      <c r="AE53" s="83" t="n">
        <v>0</v>
      </c>
      <c r="AF53" s="84" t="n">
        <v>0</v>
      </c>
      <c r="AG53" s="86">
        <f>AE53-AF53</f>
        <v/>
      </c>
      <c r="AH53" s="87" t="n">
        <v>0</v>
      </c>
      <c r="AI53" s="83" t="n">
        <v>0</v>
      </c>
      <c r="AJ53" s="83" t="n">
        <v>0</v>
      </c>
      <c r="AK53" s="84" t="n">
        <v>0</v>
      </c>
      <c r="AL53" s="86">
        <f>AJ53-AK53</f>
        <v/>
      </c>
      <c r="AM53" s="87" t="n">
        <v>0</v>
      </c>
      <c r="AN53" s="83" t="n">
        <v>0</v>
      </c>
      <c r="AO53" s="83" t="n">
        <v>0</v>
      </c>
      <c r="AP53" s="84" t="n">
        <v>0</v>
      </c>
      <c r="AQ53" s="86">
        <f>AO53-AP53</f>
        <v/>
      </c>
      <c r="AR53" s="87" t="n">
        <v>0</v>
      </c>
      <c r="AS53" s="83" t="n">
        <v>0</v>
      </c>
      <c r="AT53" s="83" t="n">
        <v>0</v>
      </c>
      <c r="AU53" s="84" t="n">
        <v>0</v>
      </c>
      <c r="AV53" s="86">
        <f>AT53-AU53</f>
        <v/>
      </c>
      <c r="AW53" s="87" t="n">
        <v>0</v>
      </c>
      <c r="AX53" s="83" t="n">
        <v>0</v>
      </c>
      <c r="AY53" s="83" t="n">
        <v>0</v>
      </c>
      <c r="AZ53" s="84" t="n">
        <v>0</v>
      </c>
      <c r="BA53" s="86">
        <f>AY53-AZ53</f>
        <v/>
      </c>
      <c r="BB53" s="87" t="n">
        <v>0</v>
      </c>
      <c r="BC53" s="83" t="n">
        <v>0</v>
      </c>
      <c r="BD53" s="83" t="n">
        <v>0</v>
      </c>
      <c r="BE53" s="84" t="n">
        <v>0</v>
      </c>
      <c r="BF53" s="86">
        <f>BD53-BE53</f>
        <v/>
      </c>
      <c r="BG53" s="87" t="n">
        <v>0</v>
      </c>
      <c r="BH53" s="83" t="n">
        <v>0</v>
      </c>
      <c r="BI53" s="83" t="n">
        <v>0</v>
      </c>
      <c r="BJ53" s="84" t="n">
        <v>0</v>
      </c>
      <c r="BK53" s="86">
        <f>BI53-BJ53</f>
        <v/>
      </c>
      <c r="BL53" s="87" t="n">
        <v>0</v>
      </c>
      <c r="BM53" s="83" t="n">
        <v>0</v>
      </c>
      <c r="BN53" s="83" t="n">
        <v>0</v>
      </c>
      <c r="BO53" s="84" t="n">
        <v>0</v>
      </c>
      <c r="BP53" s="86">
        <f>BN53-BO53</f>
        <v/>
      </c>
      <c r="BQ53" s="87" t="n">
        <v>0</v>
      </c>
      <c r="BR53" s="83" t="n">
        <v>0</v>
      </c>
      <c r="BS53" s="83" t="n">
        <v>0</v>
      </c>
      <c r="BT53" s="84" t="n">
        <v>0</v>
      </c>
      <c r="BU53" s="86">
        <f>BS53-BT53</f>
        <v/>
      </c>
      <c r="BV53" s="85" t="n">
        <v>0</v>
      </c>
      <c r="BW53" s="89" t="n"/>
      <c r="BX53" s="90" t="n"/>
    </row>
    <row r="54">
      <c r="A54" s="91" t="inlineStr">
        <is>
          <t>Ram</t>
        </is>
      </c>
      <c r="B54" s="83" t="inlineStr">
        <is>
          <t>9501195328</t>
        </is>
      </c>
      <c r="C54" s="98" t="n">
        <v>46023</v>
      </c>
      <c r="D54" s="98" t="n">
        <v>46387</v>
      </c>
      <c r="E54" s="92" t="inlineStr">
        <is>
          <t>IBM</t>
        </is>
      </c>
      <c r="F54" s="92" t="inlineStr">
        <is>
          <t>IT-MGS0204-OG-US-00</t>
        </is>
      </c>
      <c r="G54" s="92" t="n">
        <v>41500000</v>
      </c>
      <c r="H54" s="92" t="n">
        <v>1400</v>
      </c>
      <c r="I54" s="92" t="inlineStr">
        <is>
          <t>US</t>
        </is>
      </c>
      <c r="J54" s="92" t="n">
        <v>2321403</v>
      </c>
      <c r="K54" s="136" t="n">
        <v>36000</v>
      </c>
      <c r="L54" s="102" t="inlineStr">
        <is>
          <t xml:space="preserve">Seagen Oracle (Annual "AMS" Order) </t>
        </is>
      </c>
      <c r="M54" s="103" t="inlineStr">
        <is>
          <t>OPEN</t>
        </is>
      </c>
      <c r="N54" s="82" t="n">
        <v>0</v>
      </c>
      <c r="O54" s="83" t="n">
        <v>0</v>
      </c>
      <c r="P54" s="83" t="n">
        <v>0</v>
      </c>
      <c r="Q54" s="84" t="n">
        <v>0</v>
      </c>
      <c r="R54" s="84">
        <f>P54-Q54</f>
        <v/>
      </c>
      <c r="S54" s="85" t="n">
        <v>0</v>
      </c>
      <c r="T54" s="83" t="n">
        <v>0</v>
      </c>
      <c r="U54" s="83" t="n">
        <v>5999.76</v>
      </c>
      <c r="V54" s="84" t="n">
        <v>0</v>
      </c>
      <c r="W54" s="86">
        <f>U54-V54</f>
        <v/>
      </c>
      <c r="X54" s="87" t="n">
        <v>0</v>
      </c>
      <c r="Y54" s="83" t="n">
        <v>0</v>
      </c>
      <c r="Z54" s="83" t="n">
        <v>0</v>
      </c>
      <c r="AA54" s="84" t="n">
        <v>0</v>
      </c>
      <c r="AB54" s="86">
        <f>Z54-AA54</f>
        <v/>
      </c>
      <c r="AC54" s="87" t="n">
        <v>0</v>
      </c>
      <c r="AD54" s="83" t="n">
        <v>0</v>
      </c>
      <c r="AE54" s="83" t="n">
        <v>0</v>
      </c>
      <c r="AF54" s="84" t="n">
        <v>0</v>
      </c>
      <c r="AG54" s="86">
        <f>AE54-AF54</f>
        <v/>
      </c>
      <c r="AH54" s="87" t="n">
        <v>0</v>
      </c>
      <c r="AI54" s="83" t="n">
        <v>0</v>
      </c>
      <c r="AJ54" s="83" t="n">
        <v>0</v>
      </c>
      <c r="AK54" s="84" t="n">
        <v>0</v>
      </c>
      <c r="AL54" s="86">
        <f>AJ54-AK54</f>
        <v/>
      </c>
      <c r="AM54" s="87" t="n">
        <v>0</v>
      </c>
      <c r="AN54" s="83" t="n">
        <v>0</v>
      </c>
      <c r="AO54" s="83" t="n">
        <v>0</v>
      </c>
      <c r="AP54" s="84" t="n">
        <v>0</v>
      </c>
      <c r="AQ54" s="86">
        <f>AO54-AP54</f>
        <v/>
      </c>
      <c r="AR54" s="87" t="n">
        <v>0</v>
      </c>
      <c r="AS54" s="83" t="n">
        <v>0</v>
      </c>
      <c r="AT54" s="83" t="n">
        <v>0</v>
      </c>
      <c r="AU54" s="84" t="n">
        <v>0</v>
      </c>
      <c r="AV54" s="86">
        <f>AT54-AU54</f>
        <v/>
      </c>
      <c r="AW54" s="87" t="n">
        <v>0</v>
      </c>
      <c r="AX54" s="83" t="n">
        <v>0</v>
      </c>
      <c r="AY54" s="83" t="n">
        <v>0</v>
      </c>
      <c r="AZ54" s="84" t="n">
        <v>0</v>
      </c>
      <c r="BA54" s="86">
        <f>AY54-AZ54</f>
        <v/>
      </c>
      <c r="BB54" s="87" t="n">
        <v>0</v>
      </c>
      <c r="BC54" s="83" t="n">
        <v>0</v>
      </c>
      <c r="BD54" s="83" t="n">
        <v>0</v>
      </c>
      <c r="BE54" s="84" t="n">
        <v>0</v>
      </c>
      <c r="BF54" s="86">
        <f>BD54-BE54</f>
        <v/>
      </c>
      <c r="BG54" s="87" t="n">
        <v>0</v>
      </c>
      <c r="BH54" s="83" t="n">
        <v>0</v>
      </c>
      <c r="BI54" s="83" t="n">
        <v>0</v>
      </c>
      <c r="BJ54" s="84" t="n">
        <v>0</v>
      </c>
      <c r="BK54" s="86">
        <f>BI54-BJ54</f>
        <v/>
      </c>
      <c r="BL54" s="87" t="n">
        <v>0</v>
      </c>
      <c r="BM54" s="83" t="n">
        <v>0</v>
      </c>
      <c r="BN54" s="83" t="n">
        <v>0</v>
      </c>
      <c r="BO54" s="84" t="n">
        <v>0</v>
      </c>
      <c r="BP54" s="86">
        <f>BN54-BO54</f>
        <v/>
      </c>
      <c r="BQ54" s="87" t="n">
        <v>0</v>
      </c>
      <c r="BR54" s="83" t="n">
        <v>0</v>
      </c>
      <c r="BS54" s="83" t="n">
        <v>0</v>
      </c>
      <c r="BT54" s="84" t="n">
        <v>0</v>
      </c>
      <c r="BU54" s="86">
        <f>BS54-BT54</f>
        <v/>
      </c>
      <c r="BV54" s="85" t="n">
        <v>0</v>
      </c>
      <c r="BW54" s="89" t="n"/>
      <c r="BX54" s="90" t="n"/>
    </row>
    <row r="55">
      <c r="A55" s="91" t="n"/>
      <c r="B55" s="83" t="n"/>
      <c r="C55" s="92" t="n"/>
      <c r="D55" s="92" t="n"/>
      <c r="E55" s="92" t="n"/>
      <c r="F55" s="92" t="inlineStr">
        <is>
          <t>IT-MGS0202-OG-US-00</t>
        </is>
      </c>
      <c r="G55" s="92" t="n"/>
      <c r="H55" s="92" t="n"/>
      <c r="I55" s="92" t="n"/>
      <c r="J55" s="92" t="n"/>
      <c r="K55" s="93" t="n"/>
      <c r="L55" s="102" t="inlineStr">
        <is>
          <t>Oracle EBS Software Licenses</t>
        </is>
      </c>
      <c r="M55" s="103" t="n"/>
      <c r="N55" s="82" t="n"/>
      <c r="O55" s="83" t="n"/>
      <c r="P55" s="83" t="n"/>
      <c r="Q55" s="84" t="n"/>
      <c r="R55" s="84">
        <f>P55-Q55</f>
        <v/>
      </c>
      <c r="S55" s="85" t="n"/>
      <c r="T55" s="83" t="n"/>
      <c r="U55" s="83" t="n"/>
      <c r="V55" s="84" t="n"/>
      <c r="W55" s="86">
        <f>U55-V55</f>
        <v/>
      </c>
      <c r="X55" s="87" t="n"/>
      <c r="Y55" s="83" t="n"/>
      <c r="Z55" s="83" t="n"/>
      <c r="AA55" s="84" t="n"/>
      <c r="AB55" s="86">
        <f>Z55-AA55</f>
        <v/>
      </c>
      <c r="AC55" s="87" t="n"/>
      <c r="AD55" s="83" t="n"/>
      <c r="AE55" s="83" t="n"/>
      <c r="AF55" s="84" t="n"/>
      <c r="AG55" s="86">
        <f>AE55-AF55</f>
        <v/>
      </c>
      <c r="AH55" s="87" t="n"/>
      <c r="AI55" s="83" t="n"/>
      <c r="AJ55" s="83" t="n"/>
      <c r="AK55" s="84" t="n"/>
      <c r="AL55" s="86">
        <f>AJ55-AK55</f>
        <v/>
      </c>
      <c r="AM55" s="87" t="n"/>
      <c r="AN55" s="83" t="n"/>
      <c r="AO55" s="83" t="n"/>
      <c r="AP55" s="84" t="n"/>
      <c r="AQ55" s="86">
        <f>AO55-AP55</f>
        <v/>
      </c>
      <c r="AR55" s="87" t="n"/>
      <c r="AS55" s="83" t="n"/>
      <c r="AT55" s="83" t="n"/>
      <c r="AU55" s="84" t="n"/>
      <c r="AV55" s="86">
        <f>AT55-AU55</f>
        <v/>
      </c>
      <c r="AW55" s="87" t="n"/>
      <c r="AX55" s="83" t="n"/>
      <c r="AY55" s="83" t="n"/>
      <c r="AZ55" s="84" t="n"/>
      <c r="BA55" s="86">
        <f>AY55-AZ55</f>
        <v/>
      </c>
      <c r="BB55" s="87" t="n"/>
      <c r="BC55" s="83" t="n"/>
      <c r="BD55" s="83" t="n"/>
      <c r="BE55" s="84" t="n"/>
      <c r="BF55" s="86">
        <f>BD55-BE55</f>
        <v/>
      </c>
      <c r="BG55" s="87" t="n"/>
      <c r="BH55" s="83" t="n"/>
      <c r="BI55" s="83" t="n"/>
      <c r="BJ55" s="84" t="n"/>
      <c r="BK55" s="86">
        <f>BI55-BJ55</f>
        <v/>
      </c>
      <c r="BL55" s="87" t="n"/>
      <c r="BM55" s="83" t="n"/>
      <c r="BN55" s="83" t="n"/>
      <c r="BO55" s="84" t="n"/>
      <c r="BP55" s="86">
        <f>BN55-BO55</f>
        <v/>
      </c>
      <c r="BQ55" s="87" t="n"/>
      <c r="BR55" s="83" t="n"/>
      <c r="BS55" s="83" t="n"/>
      <c r="BT55" s="84" t="n"/>
      <c r="BU55" s="86">
        <f>BS55-BT55</f>
        <v/>
      </c>
      <c r="BV55" s="85" t="n">
        <v>0</v>
      </c>
      <c r="BW55" s="89" t="n"/>
      <c r="BX55" s="90" t="n"/>
    </row>
    <row r="56">
      <c r="A56" s="91" t="n"/>
      <c r="B56" s="83" t="n"/>
      <c r="C56" s="92" t="n"/>
      <c r="D56" s="92" t="n"/>
      <c r="E56" s="92" t="n"/>
      <c r="F56" s="92" t="inlineStr">
        <is>
          <t>IT-MGS0203-OG-US-00</t>
        </is>
      </c>
      <c r="G56" s="92" t="n"/>
      <c r="H56" s="92" t="n"/>
      <c r="I56" s="92" t="n"/>
      <c r="J56" s="92" t="n"/>
      <c r="K56" s="93" t="n"/>
      <c r="L56" s="102" t="inlineStr">
        <is>
          <t>Oracle OCI Software Usage</t>
        </is>
      </c>
      <c r="M56" s="103" t="n"/>
      <c r="N56" s="82" t="n"/>
      <c r="O56" s="83" t="n"/>
      <c r="P56" s="83" t="n"/>
      <c r="Q56" s="84" t="n"/>
      <c r="R56" s="84">
        <f>P56-Q56</f>
        <v/>
      </c>
      <c r="S56" s="85" t="n"/>
      <c r="T56" s="83" t="n"/>
      <c r="U56" s="83" t="n"/>
      <c r="V56" s="84" t="n"/>
      <c r="W56" s="86">
        <f>U56-V56</f>
        <v/>
      </c>
      <c r="X56" s="87" t="n"/>
      <c r="Y56" s="83" t="n"/>
      <c r="Z56" s="83" t="n"/>
      <c r="AA56" s="84" t="n"/>
      <c r="AB56" s="86">
        <f>Z56-AA56</f>
        <v/>
      </c>
      <c r="AC56" s="87" t="n"/>
      <c r="AD56" s="83" t="n"/>
      <c r="AE56" s="83" t="n"/>
      <c r="AF56" s="84" t="n"/>
      <c r="AG56" s="86">
        <f>AE56-AF56</f>
        <v/>
      </c>
      <c r="AH56" s="87" t="n"/>
      <c r="AI56" s="83" t="n"/>
      <c r="AJ56" s="83" t="n"/>
      <c r="AK56" s="84" t="n"/>
      <c r="AL56" s="86">
        <f>AJ56-AK56</f>
        <v/>
      </c>
      <c r="AM56" s="87" t="n"/>
      <c r="AN56" s="83" t="n"/>
      <c r="AO56" s="83" t="n"/>
      <c r="AP56" s="84" t="n"/>
      <c r="AQ56" s="86">
        <f>AO56-AP56</f>
        <v/>
      </c>
      <c r="AR56" s="87" t="n"/>
      <c r="AS56" s="83" t="n"/>
      <c r="AT56" s="83" t="n"/>
      <c r="AU56" s="84" t="n"/>
      <c r="AV56" s="86">
        <f>AT56-AU56</f>
        <v/>
      </c>
      <c r="AW56" s="87" t="n"/>
      <c r="AX56" s="83" t="n"/>
      <c r="AY56" s="83" t="n"/>
      <c r="AZ56" s="84" t="n"/>
      <c r="BA56" s="86">
        <f>AY56-AZ56</f>
        <v/>
      </c>
      <c r="BB56" s="87" t="n"/>
      <c r="BC56" s="83" t="n"/>
      <c r="BD56" s="83" t="n"/>
      <c r="BE56" s="84" t="n"/>
      <c r="BF56" s="86">
        <f>BD56-BE56</f>
        <v/>
      </c>
      <c r="BG56" s="87" t="n"/>
      <c r="BH56" s="83" t="n"/>
      <c r="BI56" s="83" t="n"/>
      <c r="BJ56" s="84" t="n"/>
      <c r="BK56" s="86">
        <f>BI56-BJ56</f>
        <v/>
      </c>
      <c r="BL56" s="87" t="n"/>
      <c r="BM56" s="83" t="n"/>
      <c r="BN56" s="83" t="n"/>
      <c r="BO56" s="84" t="n"/>
      <c r="BP56" s="86">
        <f>BN56-BO56</f>
        <v/>
      </c>
      <c r="BQ56" s="87" t="n"/>
      <c r="BR56" s="83" t="n"/>
      <c r="BS56" s="83" t="n"/>
      <c r="BT56" s="84" t="n"/>
      <c r="BU56" s="86">
        <f>BS56-BT56</f>
        <v/>
      </c>
      <c r="BV56" s="85" t="n">
        <v>0</v>
      </c>
      <c r="BW56" s="89" t="n"/>
      <c r="BX56" s="90" t="n"/>
    </row>
    <row r="57">
      <c r="A57" s="91" t="inlineStr">
        <is>
          <t>Leslie</t>
        </is>
      </c>
      <c r="B57" s="83" t="inlineStr">
        <is>
          <t>9501212179</t>
        </is>
      </c>
      <c r="C57" s="98" t="n">
        <v>46023</v>
      </c>
      <c r="D57" s="92" t="inlineStr">
        <is>
          <t>12/312026</t>
        </is>
      </c>
      <c r="E57" s="92" t="inlineStr">
        <is>
          <t>IBM</t>
        </is>
      </c>
      <c r="F57" s="92" t="inlineStr">
        <is>
          <t>IT-MGS0205-OG-US-00</t>
        </is>
      </c>
      <c r="G57" s="92" t="n">
        <v>41500000</v>
      </c>
      <c r="H57" s="92" t="n">
        <v>1400</v>
      </c>
      <c r="I57" s="92" t="inlineStr">
        <is>
          <t>US</t>
        </is>
      </c>
      <c r="J57" s="92" t="n">
        <v>2321403</v>
      </c>
      <c r="K57" s="136" t="n">
        <v>334732.5</v>
      </c>
      <c r="L57" s="102" t="inlineStr">
        <is>
          <t>SAP GLNS AMS 2026</t>
        </is>
      </c>
      <c r="M57" s="103" t="inlineStr">
        <is>
          <t>OPEN</t>
        </is>
      </c>
      <c r="N57" s="82" t="n"/>
      <c r="O57" s="83" t="n"/>
      <c r="P57" s="83" t="n"/>
      <c r="Q57" s="84" t="n"/>
      <c r="R57" s="84">
        <f>P57-Q57</f>
        <v/>
      </c>
      <c r="S57" s="85" t="n"/>
      <c r="T57" s="83" t="n"/>
      <c r="U57" s="83" t="n"/>
      <c r="V57" s="84" t="n"/>
      <c r="W57" s="86">
        <f>U57-V57</f>
        <v/>
      </c>
      <c r="X57" s="87" t="n"/>
      <c r="Y57" s="83" t="n"/>
      <c r="Z57" s="83" t="n"/>
      <c r="AA57" s="84" t="n"/>
      <c r="AB57" s="86">
        <f>Z57-AA57</f>
        <v/>
      </c>
      <c r="AC57" s="87" t="n"/>
      <c r="AD57" s="83" t="n"/>
      <c r="AE57" s="83" t="n"/>
      <c r="AF57" s="84" t="n"/>
      <c r="AG57" s="86">
        <f>AE57-AF57</f>
        <v/>
      </c>
      <c r="AH57" s="87" t="n"/>
      <c r="AI57" s="83" t="n"/>
      <c r="AJ57" s="83" t="n"/>
      <c r="AK57" s="84" t="n"/>
      <c r="AL57" s="86">
        <f>AJ57-AK57</f>
        <v/>
      </c>
      <c r="AM57" s="87" t="n"/>
      <c r="AN57" s="83" t="n"/>
      <c r="AO57" s="83" t="n"/>
      <c r="AP57" s="84" t="n"/>
      <c r="AQ57" s="86">
        <f>AO57-AP57</f>
        <v/>
      </c>
      <c r="AR57" s="87" t="n"/>
      <c r="AS57" s="83" t="n"/>
      <c r="AT57" s="83" t="n"/>
      <c r="AU57" s="84" t="n"/>
      <c r="AV57" s="86">
        <f>AT57-AU57</f>
        <v/>
      </c>
      <c r="AW57" s="87" t="n"/>
      <c r="AX57" s="83" t="n"/>
      <c r="AY57" s="83" t="n"/>
      <c r="AZ57" s="84" t="n"/>
      <c r="BA57" s="86">
        <f>AY57-AZ57</f>
        <v/>
      </c>
      <c r="BB57" s="87" t="n"/>
      <c r="BC57" s="83" t="n"/>
      <c r="BD57" s="83" t="n"/>
      <c r="BE57" s="84" t="n"/>
      <c r="BF57" s="86">
        <f>BD57-BE57</f>
        <v/>
      </c>
      <c r="BG57" s="87" t="n"/>
      <c r="BH57" s="83" t="n"/>
      <c r="BI57" s="83" t="n"/>
      <c r="BJ57" s="84" t="n"/>
      <c r="BK57" s="86">
        <f>BI57-BJ57</f>
        <v/>
      </c>
      <c r="BL57" s="87" t="n"/>
      <c r="BM57" s="83" t="n"/>
      <c r="BN57" s="83" t="n"/>
      <c r="BO57" s="84" t="n"/>
      <c r="BP57" s="86">
        <f>BN57-BO57</f>
        <v/>
      </c>
      <c r="BQ57" s="87" t="n"/>
      <c r="BR57" s="83" t="n"/>
      <c r="BS57" s="83" t="n"/>
      <c r="BT57" s="84" t="n"/>
      <c r="BU57" s="86">
        <f>BS57-BT57</f>
        <v/>
      </c>
      <c r="BV57" s="85" t="n">
        <v>0</v>
      </c>
      <c r="BW57" s="89" t="n"/>
      <c r="BX57" s="90" t="n"/>
    </row>
    <row r="58" ht="30" customHeight="1">
      <c r="A58" s="91" t="inlineStr">
        <is>
          <t>Ram</t>
        </is>
      </c>
      <c r="B58" s="83" t="inlineStr">
        <is>
          <t>9501196824</t>
        </is>
      </c>
      <c r="C58" s="98" t="n">
        <v>46023</v>
      </c>
      <c r="D58" s="98" t="n">
        <v>46387</v>
      </c>
      <c r="E58" s="92" t="inlineStr">
        <is>
          <t>IBM</t>
        </is>
      </c>
      <c r="F58" s="92" t="inlineStr">
        <is>
          <t xml:space="preserve">IT-FBT0282-OG-US-00 </t>
        </is>
      </c>
      <c r="G58" s="92" t="n">
        <v>41500000</v>
      </c>
      <c r="H58" s="92" t="n">
        <v>1400</v>
      </c>
      <c r="I58" s="92" t="inlineStr">
        <is>
          <t>US</t>
        </is>
      </c>
      <c r="J58" s="92" t="n">
        <v>2321403</v>
      </c>
      <c r="K58" s="136" t="n">
        <v>433000</v>
      </c>
      <c r="L58" s="102" t="inlineStr">
        <is>
          <t>IBM ISOW – Application Managed Service "AMS" (Concur PT&amp;E)</t>
        </is>
      </c>
      <c r="M58" s="103" t="inlineStr">
        <is>
          <t>OPEN</t>
        </is>
      </c>
      <c r="N58" s="82" t="n">
        <v>0</v>
      </c>
      <c r="O58" s="83" t="n">
        <v>0</v>
      </c>
      <c r="P58" s="83" t="n">
        <v>0</v>
      </c>
      <c r="Q58" s="84" t="n">
        <v>0</v>
      </c>
      <c r="R58" s="84">
        <f>P58-Q58</f>
        <v/>
      </c>
      <c r="S58" s="85" t="n">
        <v>0</v>
      </c>
      <c r="T58" s="83" t="n">
        <v>0</v>
      </c>
      <c r="U58" s="83" t="n">
        <v>72165.70999999999</v>
      </c>
      <c r="V58" s="84" t="n">
        <v>0</v>
      </c>
      <c r="W58" s="86">
        <f>U58-V58</f>
        <v/>
      </c>
      <c r="X58" s="87" t="n">
        <v>0</v>
      </c>
      <c r="Y58" s="83" t="n">
        <v>0</v>
      </c>
      <c r="Z58" s="83" t="n">
        <v>0</v>
      </c>
      <c r="AA58" s="84" t="n">
        <v>0</v>
      </c>
      <c r="AB58" s="86">
        <f>Z58-AA58</f>
        <v/>
      </c>
      <c r="AC58" s="87" t="n">
        <v>0</v>
      </c>
      <c r="AD58" s="83" t="n">
        <v>0</v>
      </c>
      <c r="AE58" s="83" t="n">
        <v>0</v>
      </c>
      <c r="AF58" s="84" t="n">
        <v>0</v>
      </c>
      <c r="AG58" s="86">
        <f>AE58-AF58</f>
        <v/>
      </c>
      <c r="AH58" s="87" t="n">
        <v>0</v>
      </c>
      <c r="AI58" s="83" t="n">
        <v>0</v>
      </c>
      <c r="AJ58" s="83" t="n">
        <v>0</v>
      </c>
      <c r="AK58" s="84" t="n">
        <v>0</v>
      </c>
      <c r="AL58" s="86">
        <f>AJ58-AK58</f>
        <v/>
      </c>
      <c r="AM58" s="87" t="n">
        <v>0</v>
      </c>
      <c r="AN58" s="83" t="n">
        <v>0</v>
      </c>
      <c r="AO58" s="83" t="n">
        <v>0</v>
      </c>
      <c r="AP58" s="84" t="n">
        <v>0</v>
      </c>
      <c r="AQ58" s="86">
        <f>AO58-AP58</f>
        <v/>
      </c>
      <c r="AR58" s="87" t="n">
        <v>0</v>
      </c>
      <c r="AS58" s="83" t="n">
        <v>0</v>
      </c>
      <c r="AT58" s="83" t="n">
        <v>0</v>
      </c>
      <c r="AU58" s="84" t="n">
        <v>0</v>
      </c>
      <c r="AV58" s="86">
        <f>AT58-AU58</f>
        <v/>
      </c>
      <c r="AW58" s="87" t="n">
        <v>0</v>
      </c>
      <c r="AX58" s="83" t="n">
        <v>0</v>
      </c>
      <c r="AY58" s="83" t="n">
        <v>0</v>
      </c>
      <c r="AZ58" s="84" t="n">
        <v>0</v>
      </c>
      <c r="BA58" s="86">
        <f>AY58-AZ58</f>
        <v/>
      </c>
      <c r="BB58" s="87" t="n">
        <v>0</v>
      </c>
      <c r="BC58" s="83" t="n">
        <v>0</v>
      </c>
      <c r="BD58" s="83" t="n">
        <v>0</v>
      </c>
      <c r="BE58" s="84" t="n">
        <v>0</v>
      </c>
      <c r="BF58" s="86">
        <f>BD58-BE58</f>
        <v/>
      </c>
      <c r="BG58" s="87" t="n">
        <v>0</v>
      </c>
      <c r="BH58" s="83" t="n">
        <v>0</v>
      </c>
      <c r="BI58" s="83" t="n">
        <v>0</v>
      </c>
      <c r="BJ58" s="84" t="n">
        <v>0</v>
      </c>
      <c r="BK58" s="86">
        <f>BI58-BJ58</f>
        <v/>
      </c>
      <c r="BL58" s="87" t="n">
        <v>0</v>
      </c>
      <c r="BM58" s="83" t="n">
        <v>0</v>
      </c>
      <c r="BN58" s="83" t="n">
        <v>0</v>
      </c>
      <c r="BO58" s="84" t="n">
        <v>0</v>
      </c>
      <c r="BP58" s="86">
        <f>BN58-BO58</f>
        <v/>
      </c>
      <c r="BQ58" s="87" t="n">
        <v>0</v>
      </c>
      <c r="BR58" s="83" t="n">
        <v>0</v>
      </c>
      <c r="BS58" s="83" t="n">
        <v>0</v>
      </c>
      <c r="BT58" s="84" t="n">
        <v>0</v>
      </c>
      <c r="BU58" s="86">
        <f>BS58-BT58</f>
        <v/>
      </c>
      <c r="BV58" s="85" t="n">
        <v>0</v>
      </c>
      <c r="BW58" s="89" t="n"/>
      <c r="BX58" s="90" t="n"/>
    </row>
    <row r="59" ht="30" customHeight="1">
      <c r="A59" s="91" t="inlineStr">
        <is>
          <t>Ram-OLD PO9500913294</t>
        </is>
      </c>
      <c r="B59" s="83" t="inlineStr">
        <is>
          <t>9501196865</t>
        </is>
      </c>
      <c r="C59" s="98" t="n">
        <v>46023</v>
      </c>
      <c r="D59" s="98" t="n">
        <v>46387</v>
      </c>
      <c r="E59" s="92" t="inlineStr">
        <is>
          <t>IBM</t>
        </is>
      </c>
      <c r="F59" s="92" t="inlineStr">
        <is>
          <t>IT-FBT0753-OT-US-00</t>
        </is>
      </c>
      <c r="G59" s="92" t="n">
        <v>41500000</v>
      </c>
      <c r="H59" s="92" t="n">
        <v>1400</v>
      </c>
      <c r="I59" s="92" t="inlineStr">
        <is>
          <t>US</t>
        </is>
      </c>
      <c r="J59" s="92" t="n">
        <v>2321403</v>
      </c>
      <c r="K59" s="136" t="n">
        <v>335904</v>
      </c>
      <c r="L59" s="102" t="inlineStr">
        <is>
          <t>SAP Application Managed Service "AMS" - Delta Applications - FBO Scope</t>
        </is>
      </c>
      <c r="M59" s="103" t="inlineStr">
        <is>
          <t>OPEN</t>
        </is>
      </c>
      <c r="N59" s="82" t="n">
        <v>0</v>
      </c>
      <c r="O59" s="83" t="n">
        <v>0</v>
      </c>
      <c r="P59" s="83" t="n">
        <v>0</v>
      </c>
      <c r="Q59" s="84" t="n">
        <v>0</v>
      </c>
      <c r="R59" s="84">
        <f>P59-Q59</f>
        <v/>
      </c>
      <c r="S59" s="85" t="n">
        <v>0</v>
      </c>
      <c r="T59" s="83" t="n">
        <v>0</v>
      </c>
      <c r="U59" s="83" t="n">
        <v>55984.1</v>
      </c>
      <c r="V59" s="84" t="n">
        <v>0</v>
      </c>
      <c r="W59" s="86">
        <f>U59-V59</f>
        <v/>
      </c>
      <c r="X59" s="87" t="n">
        <v>0</v>
      </c>
      <c r="Y59" s="83" t="n">
        <v>0</v>
      </c>
      <c r="Z59" s="83" t="n">
        <v>0</v>
      </c>
      <c r="AA59" s="84" t="n">
        <v>0</v>
      </c>
      <c r="AB59" s="86">
        <f>Z59-AA59</f>
        <v/>
      </c>
      <c r="AC59" s="87" t="n">
        <v>0</v>
      </c>
      <c r="AD59" s="83" t="n">
        <v>0</v>
      </c>
      <c r="AE59" s="83" t="n">
        <v>0</v>
      </c>
      <c r="AF59" s="84" t="n">
        <v>0</v>
      </c>
      <c r="AG59" s="86">
        <f>AE59-AF59</f>
        <v/>
      </c>
      <c r="AH59" s="87" t="n">
        <v>0</v>
      </c>
      <c r="AI59" s="83" t="n">
        <v>0</v>
      </c>
      <c r="AJ59" s="83" t="n">
        <v>0</v>
      </c>
      <c r="AK59" s="84" t="n">
        <v>0</v>
      </c>
      <c r="AL59" s="86">
        <f>AJ59-AK59</f>
        <v/>
      </c>
      <c r="AM59" s="87" t="n">
        <v>0</v>
      </c>
      <c r="AN59" s="83" t="n">
        <v>0</v>
      </c>
      <c r="AO59" s="83" t="n">
        <v>0</v>
      </c>
      <c r="AP59" s="84" t="n">
        <v>0</v>
      </c>
      <c r="AQ59" s="86">
        <f>AO59-AP59</f>
        <v/>
      </c>
      <c r="AR59" s="87" t="n">
        <v>0</v>
      </c>
      <c r="AS59" s="83" t="n">
        <v>0</v>
      </c>
      <c r="AT59" s="83" t="n">
        <v>0</v>
      </c>
      <c r="AU59" s="84" t="n">
        <v>0</v>
      </c>
      <c r="AV59" s="86">
        <f>AT59-AU59</f>
        <v/>
      </c>
      <c r="AW59" s="87" t="n">
        <v>0</v>
      </c>
      <c r="AX59" s="83" t="n">
        <v>0</v>
      </c>
      <c r="AY59" s="83" t="n">
        <v>0</v>
      </c>
      <c r="AZ59" s="84" t="n">
        <v>0</v>
      </c>
      <c r="BA59" s="86">
        <f>AY59-AZ59</f>
        <v/>
      </c>
      <c r="BB59" s="87" t="n">
        <v>0</v>
      </c>
      <c r="BC59" s="83" t="n">
        <v>0</v>
      </c>
      <c r="BD59" s="83" t="n">
        <v>0</v>
      </c>
      <c r="BE59" s="84" t="n">
        <v>0</v>
      </c>
      <c r="BF59" s="86">
        <f>BD59-BE59</f>
        <v/>
      </c>
      <c r="BG59" s="87" t="n">
        <v>0</v>
      </c>
      <c r="BH59" s="83" t="n">
        <v>0</v>
      </c>
      <c r="BI59" s="83" t="n">
        <v>0</v>
      </c>
      <c r="BJ59" s="84" t="n">
        <v>0</v>
      </c>
      <c r="BK59" s="86">
        <f>BI59-BJ59</f>
        <v/>
      </c>
      <c r="BL59" s="87" t="n">
        <v>0</v>
      </c>
      <c r="BM59" s="83" t="n">
        <v>0</v>
      </c>
      <c r="BN59" s="83" t="n">
        <v>0</v>
      </c>
      <c r="BO59" s="84" t="n">
        <v>0</v>
      </c>
      <c r="BP59" s="86">
        <f>BN59-BO59</f>
        <v/>
      </c>
      <c r="BQ59" s="87" t="n">
        <v>0</v>
      </c>
      <c r="BR59" s="83" t="n">
        <v>0</v>
      </c>
      <c r="BS59" s="83" t="n">
        <v>0</v>
      </c>
      <c r="BT59" s="84" t="n">
        <v>0</v>
      </c>
      <c r="BU59" s="86">
        <f>BS59-BT59</f>
        <v/>
      </c>
      <c r="BV59" s="85" t="n">
        <v>0</v>
      </c>
      <c r="BW59" s="89" t="n"/>
      <c r="BX59" s="90" t="n"/>
    </row>
    <row r="60" ht="30" customHeight="1">
      <c r="A60" s="91" t="inlineStr">
        <is>
          <t>Ram</t>
        </is>
      </c>
      <c r="B60" s="83" t="inlineStr">
        <is>
          <t>9501158806</t>
        </is>
      </c>
      <c r="C60" s="98" t="n">
        <v>46023</v>
      </c>
      <c r="D60" s="98" t="n">
        <v>46387</v>
      </c>
      <c r="E60" s="92" t="inlineStr">
        <is>
          <t>IBM</t>
        </is>
      </c>
      <c r="F60" s="92" t="inlineStr">
        <is>
          <t>IT-FBT0700-OG-US-00</t>
        </is>
      </c>
      <c r="G60" s="92" t="n">
        <v>41500000</v>
      </c>
      <c r="H60" s="92" t="n">
        <v>1400</v>
      </c>
      <c r="I60" s="92" t="inlineStr">
        <is>
          <t>US</t>
        </is>
      </c>
      <c r="J60" s="92" t="n">
        <v>2321403</v>
      </c>
      <c r="K60" s="136" t="n">
        <v>376200</v>
      </c>
      <c r="L60" s="102" t="inlineStr">
        <is>
          <t>IBM: CELONIS APPLICATION MANAGED SERVICES (AMS) / IT-FBT0700</t>
        </is>
      </c>
      <c r="M60" s="103" t="inlineStr">
        <is>
          <t>OPEN</t>
        </is>
      </c>
      <c r="N60" s="82" t="n">
        <v>0</v>
      </c>
      <c r="O60" s="83" t="n">
        <v>0</v>
      </c>
      <c r="P60" s="83" t="n">
        <v>0</v>
      </c>
      <c r="Q60" s="84" t="n">
        <v>31350</v>
      </c>
      <c r="R60" s="84">
        <f>P60-Q60</f>
        <v/>
      </c>
      <c r="S60" s="85" t="n">
        <v>-25838</v>
      </c>
      <c r="T60" s="83" t="n">
        <v>0</v>
      </c>
      <c r="U60" s="83" t="n">
        <v>31360.38</v>
      </c>
      <c r="V60" s="84" t="n">
        <v>0</v>
      </c>
      <c r="W60" s="86">
        <f>U60-V60</f>
        <v/>
      </c>
      <c r="X60" s="87" t="n">
        <v>0</v>
      </c>
      <c r="Y60" s="83" t="n">
        <v>0</v>
      </c>
      <c r="Z60" s="83" t="n">
        <v>0</v>
      </c>
      <c r="AA60" s="84" t="n">
        <v>0</v>
      </c>
      <c r="AB60" s="86">
        <f>Z60-AA60</f>
        <v/>
      </c>
      <c r="AC60" s="87" t="n">
        <v>0</v>
      </c>
      <c r="AD60" s="83" t="n">
        <v>0</v>
      </c>
      <c r="AE60" s="83" t="n">
        <v>0</v>
      </c>
      <c r="AF60" s="84" t="n">
        <v>0</v>
      </c>
      <c r="AG60" s="86">
        <f>AE60-AF60</f>
        <v/>
      </c>
      <c r="AH60" s="87" t="n">
        <v>0</v>
      </c>
      <c r="AI60" s="83" t="n">
        <v>0</v>
      </c>
      <c r="AJ60" s="83" t="n">
        <v>0</v>
      </c>
      <c r="AK60" s="84" t="n">
        <v>0</v>
      </c>
      <c r="AL60" s="86">
        <f>AJ60-AK60</f>
        <v/>
      </c>
      <c r="AM60" s="87" t="n">
        <v>0</v>
      </c>
      <c r="AN60" s="83" t="n">
        <v>0</v>
      </c>
      <c r="AO60" s="83" t="n">
        <v>0</v>
      </c>
      <c r="AP60" s="84" t="n">
        <v>0</v>
      </c>
      <c r="AQ60" s="86">
        <f>AO60-AP60</f>
        <v/>
      </c>
      <c r="AR60" s="87" t="n">
        <v>0</v>
      </c>
      <c r="AS60" s="83" t="n">
        <v>0</v>
      </c>
      <c r="AT60" s="83" t="n">
        <v>0</v>
      </c>
      <c r="AU60" s="84" t="n">
        <v>0</v>
      </c>
      <c r="AV60" s="86">
        <f>AT60-AU60</f>
        <v/>
      </c>
      <c r="AW60" s="87" t="n">
        <v>0</v>
      </c>
      <c r="AX60" s="83" t="n">
        <v>0</v>
      </c>
      <c r="AY60" s="83" t="n">
        <v>0</v>
      </c>
      <c r="AZ60" s="84" t="n">
        <v>0</v>
      </c>
      <c r="BA60" s="86">
        <f>AY60-AZ60</f>
        <v/>
      </c>
      <c r="BB60" s="87" t="n">
        <v>0</v>
      </c>
      <c r="BC60" s="83" t="n">
        <v>0</v>
      </c>
      <c r="BD60" s="83" t="n">
        <v>0</v>
      </c>
      <c r="BE60" s="84" t="n">
        <v>0</v>
      </c>
      <c r="BF60" s="86">
        <f>BD60-BE60</f>
        <v/>
      </c>
      <c r="BG60" s="87" t="n">
        <v>0</v>
      </c>
      <c r="BH60" s="83" t="n">
        <v>0</v>
      </c>
      <c r="BI60" s="83" t="n">
        <v>0</v>
      </c>
      <c r="BJ60" s="84" t="n">
        <v>0</v>
      </c>
      <c r="BK60" s="86">
        <f>BI60-BJ60</f>
        <v/>
      </c>
      <c r="BL60" s="87" t="n">
        <v>0</v>
      </c>
      <c r="BM60" s="83" t="n">
        <v>0</v>
      </c>
      <c r="BN60" s="83" t="n">
        <v>0</v>
      </c>
      <c r="BO60" s="84" t="n">
        <v>0</v>
      </c>
      <c r="BP60" s="86">
        <f>BN60-BO60</f>
        <v/>
      </c>
      <c r="BQ60" s="87" t="n">
        <v>0</v>
      </c>
      <c r="BR60" s="83" t="n">
        <v>0</v>
      </c>
      <c r="BS60" s="83" t="n">
        <v>0</v>
      </c>
      <c r="BT60" s="84" t="n">
        <v>0</v>
      </c>
      <c r="BU60" s="86">
        <f>BS60-BT60</f>
        <v/>
      </c>
      <c r="BV60" s="85" t="n">
        <v>0</v>
      </c>
      <c r="BW60" s="89" t="n"/>
      <c r="BX60" s="90" t="n"/>
    </row>
    <row r="61" ht="30" customHeight="1">
      <c r="A61" s="91" t="inlineStr">
        <is>
          <t>Ram - PF</t>
        </is>
      </c>
      <c r="B61" s="83" t="inlineStr">
        <is>
          <t>9501159633</t>
        </is>
      </c>
      <c r="C61" s="98" t="n">
        <v>46023</v>
      </c>
      <c r="D61" s="98" t="n">
        <v>46387</v>
      </c>
      <c r="E61" s="92" t="inlineStr">
        <is>
          <t>Oracle</t>
        </is>
      </c>
      <c r="F61" s="92" t="inlineStr">
        <is>
          <t>IT-SFT0159-86-OG-US</t>
        </is>
      </c>
      <c r="G61" s="92" t="n">
        <v>61010000</v>
      </c>
      <c r="H61" s="92" t="n">
        <v>1400</v>
      </c>
      <c r="I61" s="92" t="inlineStr">
        <is>
          <t>US</t>
        </is>
      </c>
      <c r="J61" s="92" t="n">
        <v>2321403</v>
      </c>
      <c r="K61" s="136" t="n">
        <v>146493</v>
      </c>
      <c r="L61" s="102" t="inlineStr">
        <is>
          <t>ORACLE: ORACLE CUSTOM MANAGED CLOUD SERVICES JDE OCI / IT-SF</t>
        </is>
      </c>
      <c r="M61" s="103" t="inlineStr">
        <is>
          <t>OPEN</t>
        </is>
      </c>
      <c r="N61" s="82" t="n">
        <v>0</v>
      </c>
      <c r="O61" s="83" t="n">
        <v>0</v>
      </c>
      <c r="P61" s="83" t="n">
        <v>0</v>
      </c>
      <c r="Q61" s="84" t="n">
        <v>115764.16</v>
      </c>
      <c r="R61" s="84">
        <f>P61-Q61</f>
        <v/>
      </c>
      <c r="S61" s="85" t="n">
        <v>0</v>
      </c>
      <c r="T61" s="83" t="n">
        <v>0</v>
      </c>
      <c r="U61" s="83" t="n">
        <v>0</v>
      </c>
      <c r="V61" s="84" t="n">
        <v>0</v>
      </c>
      <c r="W61" s="86">
        <f>U61-V61</f>
        <v/>
      </c>
      <c r="X61" s="87" t="n">
        <v>0</v>
      </c>
      <c r="Y61" s="83" t="n">
        <v>0</v>
      </c>
      <c r="Z61" s="83" t="n">
        <v>0</v>
      </c>
      <c r="AA61" s="84" t="n">
        <v>0</v>
      </c>
      <c r="AB61" s="86">
        <f>Z61-AA61</f>
        <v/>
      </c>
      <c r="AC61" s="87" t="n">
        <v>0</v>
      </c>
      <c r="AD61" s="83" t="n">
        <v>0</v>
      </c>
      <c r="AE61" s="83" t="n">
        <v>0</v>
      </c>
      <c r="AF61" s="84" t="n">
        <v>0</v>
      </c>
      <c r="AG61" s="86">
        <f>AE61-AF61</f>
        <v/>
      </c>
      <c r="AH61" s="87" t="n">
        <v>0</v>
      </c>
      <c r="AI61" s="83" t="n">
        <v>0</v>
      </c>
      <c r="AJ61" s="83" t="n">
        <v>0</v>
      </c>
      <c r="AK61" s="84" t="n">
        <v>0</v>
      </c>
      <c r="AL61" s="86">
        <f>AJ61-AK61</f>
        <v/>
      </c>
      <c r="AM61" s="87" t="n">
        <v>0</v>
      </c>
      <c r="AN61" s="83" t="n">
        <v>0</v>
      </c>
      <c r="AO61" s="83" t="n">
        <v>0</v>
      </c>
      <c r="AP61" s="84" t="n">
        <v>0</v>
      </c>
      <c r="AQ61" s="86">
        <f>AO61-AP61</f>
        <v/>
      </c>
      <c r="AR61" s="87" t="n">
        <v>0</v>
      </c>
      <c r="AS61" s="83" t="n">
        <v>0</v>
      </c>
      <c r="AT61" s="83" t="n">
        <v>0</v>
      </c>
      <c r="AU61" s="84" t="n">
        <v>0</v>
      </c>
      <c r="AV61" s="86">
        <f>AT61-AU61</f>
        <v/>
      </c>
      <c r="AW61" s="87" t="n">
        <v>0</v>
      </c>
      <c r="AX61" s="83" t="n">
        <v>0</v>
      </c>
      <c r="AY61" s="83" t="n">
        <v>0</v>
      </c>
      <c r="AZ61" s="84" t="n">
        <v>0</v>
      </c>
      <c r="BA61" s="86">
        <f>AY61-AZ61</f>
        <v/>
      </c>
      <c r="BB61" s="87" t="n">
        <v>0</v>
      </c>
      <c r="BC61" s="83" t="n">
        <v>0</v>
      </c>
      <c r="BD61" s="83" t="n">
        <v>0</v>
      </c>
      <c r="BE61" s="84" t="n">
        <v>0</v>
      </c>
      <c r="BF61" s="86">
        <f>BD61-BE61</f>
        <v/>
      </c>
      <c r="BG61" s="87" t="n">
        <v>0</v>
      </c>
      <c r="BH61" s="83" t="n">
        <v>0</v>
      </c>
      <c r="BI61" s="83" t="n">
        <v>0</v>
      </c>
      <c r="BJ61" s="84" t="n">
        <v>0</v>
      </c>
      <c r="BK61" s="86">
        <f>BI61-BJ61</f>
        <v/>
      </c>
      <c r="BL61" s="87" t="n">
        <v>0</v>
      </c>
      <c r="BM61" s="83" t="n">
        <v>0</v>
      </c>
      <c r="BN61" s="83" t="n">
        <v>0</v>
      </c>
      <c r="BO61" s="84" t="n">
        <v>0</v>
      </c>
      <c r="BP61" s="86">
        <f>BN61-BO61</f>
        <v/>
      </c>
      <c r="BQ61" s="87" t="n">
        <v>0</v>
      </c>
      <c r="BR61" s="83" t="n">
        <v>0</v>
      </c>
      <c r="BS61" s="83" t="n">
        <v>0</v>
      </c>
      <c r="BT61" s="84" t="n">
        <v>0</v>
      </c>
      <c r="BU61" s="86">
        <f>BS61-BT61</f>
        <v/>
      </c>
      <c r="BV61" s="85" t="n">
        <v>0</v>
      </c>
      <c r="BW61" s="89" t="n"/>
      <c r="BX61" s="90" t="n"/>
    </row>
    <row r="62" ht="30" customHeight="1">
      <c r="A62" s="91" t="inlineStr">
        <is>
          <t>Madhu Gopinath</t>
        </is>
      </c>
      <c r="B62" s="83" t="inlineStr">
        <is>
          <t>9501199250</t>
        </is>
      </c>
      <c r="C62" s="98" t="n">
        <v>46054</v>
      </c>
      <c r="D62" s="98" t="n">
        <v>46418</v>
      </c>
      <c r="E62" s="92" t="inlineStr">
        <is>
          <t>TEAM COMPUTERS PRIVATE LIMITED</t>
        </is>
      </c>
      <c r="F62" s="92" t="inlineStr">
        <is>
          <t>IT-FBT0636-OG-IN-00</t>
        </is>
      </c>
      <c r="G62" s="92" t="n">
        <v>41010100</v>
      </c>
      <c r="H62" s="92" t="n">
        <v>7280</v>
      </c>
      <c r="I62" s="92" t="inlineStr">
        <is>
          <t>INDIA</t>
        </is>
      </c>
      <c r="J62" s="92" t="n">
        <v>2662855</v>
      </c>
      <c r="K62" s="136" t="n">
        <v>69429</v>
      </c>
      <c r="L62" s="102" t="inlineStr">
        <is>
          <t xml:space="preserve">India SAP Helpdesk Support (SAP L1 &amp; L1.5) for 2026-27 </t>
        </is>
      </c>
      <c r="M62" s="103" t="inlineStr">
        <is>
          <t>OPEN</t>
        </is>
      </c>
      <c r="N62" s="82" t="n"/>
      <c r="O62" s="83" t="n"/>
      <c r="P62" s="83" t="n"/>
      <c r="Q62" s="84" t="n"/>
      <c r="R62" s="84">
        <f>P62-Q62</f>
        <v/>
      </c>
      <c r="S62" s="85" t="n"/>
      <c r="T62" s="83" t="n"/>
      <c r="U62" s="83" t="n"/>
      <c r="V62" s="84" t="n"/>
      <c r="W62" s="86">
        <f>U62-V62</f>
        <v/>
      </c>
      <c r="X62" s="87" t="n"/>
      <c r="Y62" s="83" t="n"/>
      <c r="Z62" s="83" t="n"/>
      <c r="AA62" s="84" t="n"/>
      <c r="AB62" s="86">
        <f>Z62-AA62</f>
        <v/>
      </c>
      <c r="AC62" s="87" t="n"/>
      <c r="AD62" s="83" t="n"/>
      <c r="AE62" s="83" t="n"/>
      <c r="AF62" s="84" t="n"/>
      <c r="AG62" s="86">
        <f>AE62-AF62</f>
        <v/>
      </c>
      <c r="AH62" s="87" t="n"/>
      <c r="AI62" s="83" t="n"/>
      <c r="AJ62" s="83" t="n"/>
      <c r="AK62" s="84" t="n"/>
      <c r="AL62" s="86">
        <f>AJ62-AK62</f>
        <v/>
      </c>
      <c r="AM62" s="87" t="n"/>
      <c r="AN62" s="83" t="n"/>
      <c r="AO62" s="83" t="n"/>
      <c r="AP62" s="84" t="n"/>
      <c r="AQ62" s="86">
        <f>AO62-AP62</f>
        <v/>
      </c>
      <c r="AR62" s="87" t="n"/>
      <c r="AS62" s="83" t="n"/>
      <c r="AT62" s="83" t="n"/>
      <c r="AU62" s="84" t="n"/>
      <c r="AV62" s="86">
        <f>AT62-AU62</f>
        <v/>
      </c>
      <c r="AW62" s="87" t="n"/>
      <c r="AX62" s="83" t="n"/>
      <c r="AY62" s="83" t="n"/>
      <c r="AZ62" s="84" t="n"/>
      <c r="BA62" s="86">
        <f>AY62-AZ62</f>
        <v/>
      </c>
      <c r="BB62" s="87" t="n"/>
      <c r="BC62" s="83" t="n"/>
      <c r="BD62" s="83" t="n"/>
      <c r="BE62" s="84" t="n"/>
      <c r="BF62" s="86">
        <f>BD62-BE62</f>
        <v/>
      </c>
      <c r="BG62" s="87" t="n"/>
      <c r="BH62" s="83" t="n"/>
      <c r="BI62" s="83" t="n"/>
      <c r="BJ62" s="84" t="n"/>
      <c r="BK62" s="86">
        <f>BI62-BJ62</f>
        <v/>
      </c>
      <c r="BL62" s="87" t="n"/>
      <c r="BM62" s="83" t="n"/>
      <c r="BN62" s="83" t="n"/>
      <c r="BO62" s="84" t="n"/>
      <c r="BP62" s="86">
        <f>BN62-BO62</f>
        <v/>
      </c>
      <c r="BQ62" s="87" t="n"/>
      <c r="BR62" s="83" t="n"/>
      <c r="BS62" s="83" t="n"/>
      <c r="BT62" s="84" t="n"/>
      <c r="BU62" s="86">
        <f>BS62-BT62</f>
        <v/>
      </c>
      <c r="BV62" s="85" t="n">
        <v>0</v>
      </c>
      <c r="BW62" s="89" t="n"/>
      <c r="BX62" s="90" t="n"/>
    </row>
    <row r="63">
      <c r="A63" s="91" t="n"/>
      <c r="B63" s="83" t="inlineStr">
        <is>
          <t>None</t>
        </is>
      </c>
      <c r="C63" s="92" t="n"/>
      <c r="D63" s="92" t="n"/>
      <c r="E63" s="92" t="n"/>
      <c r="F63" s="92" t="n"/>
      <c r="G63" s="92" t="n"/>
      <c r="H63" s="92" t="n"/>
      <c r="I63" s="92" t="n"/>
      <c r="J63" s="92" t="n"/>
      <c r="K63" s="93" t="n"/>
      <c r="L63" s="92" t="n"/>
      <c r="M63" s="90" t="n"/>
      <c r="N63" s="82" t="n"/>
      <c r="O63" s="83" t="n"/>
      <c r="P63" s="83" t="n"/>
      <c r="Q63" s="84" t="n"/>
      <c r="R63" s="84">
        <f>P63-Q63</f>
        <v/>
      </c>
      <c r="S63" s="85" t="n"/>
      <c r="T63" s="83" t="n"/>
      <c r="U63" s="83" t="n"/>
      <c r="V63" s="84" t="n"/>
      <c r="W63" s="86">
        <f>U63-V63</f>
        <v/>
      </c>
      <c r="X63" s="87" t="n"/>
      <c r="Y63" s="83" t="n"/>
      <c r="Z63" s="83" t="n"/>
      <c r="AA63" s="84" t="n"/>
      <c r="AB63" s="86">
        <f>Z63-AA63</f>
        <v/>
      </c>
      <c r="AC63" s="87" t="n"/>
      <c r="AD63" s="83" t="n"/>
      <c r="AE63" s="83" t="n"/>
      <c r="AF63" s="84" t="n"/>
      <c r="AG63" s="86">
        <f>AE63-AF63</f>
        <v/>
      </c>
      <c r="AH63" s="87" t="n"/>
      <c r="AI63" s="83" t="n"/>
      <c r="AJ63" s="83" t="n"/>
      <c r="AK63" s="84" t="n"/>
      <c r="AL63" s="86">
        <f>AJ63-AK63</f>
        <v/>
      </c>
      <c r="AM63" s="87" t="n"/>
      <c r="AN63" s="83" t="n"/>
      <c r="AO63" s="83" t="n"/>
      <c r="AP63" s="84" t="n"/>
      <c r="AQ63" s="86">
        <f>AO63-AP63</f>
        <v/>
      </c>
      <c r="AR63" s="87" t="n"/>
      <c r="AS63" s="83" t="n"/>
      <c r="AT63" s="83" t="n"/>
      <c r="AU63" s="84" t="n"/>
      <c r="AV63" s="86">
        <f>AT63-AU63</f>
        <v/>
      </c>
      <c r="AW63" s="87" t="n"/>
      <c r="AX63" s="83" t="n"/>
      <c r="AY63" s="83" t="n"/>
      <c r="AZ63" s="84" t="n"/>
      <c r="BA63" s="86">
        <f>AY63-AZ63</f>
        <v/>
      </c>
      <c r="BB63" s="87" t="n"/>
      <c r="BC63" s="83" t="n"/>
      <c r="BD63" s="83" t="n"/>
      <c r="BE63" s="84" t="n"/>
      <c r="BF63" s="86">
        <f>BD63-BE63</f>
        <v/>
      </c>
      <c r="BG63" s="87" t="n"/>
      <c r="BH63" s="83" t="n"/>
      <c r="BI63" s="83" t="n"/>
      <c r="BJ63" s="84" t="n"/>
      <c r="BK63" s="86">
        <f>BI63-BJ63</f>
        <v/>
      </c>
      <c r="BL63" s="87" t="n"/>
      <c r="BM63" s="83" t="n"/>
      <c r="BN63" s="83" t="n"/>
      <c r="BO63" s="84" t="n"/>
      <c r="BP63" s="86">
        <f>BN63-BO63</f>
        <v/>
      </c>
      <c r="BQ63" s="87" t="n"/>
      <c r="BR63" s="83" t="n"/>
      <c r="BS63" s="83" t="n"/>
      <c r="BT63" s="84" t="n"/>
      <c r="BU63" s="86">
        <f>BS63-BT63</f>
        <v/>
      </c>
      <c r="BV63" s="85" t="n">
        <v>0</v>
      </c>
      <c r="BW63" s="89" t="n"/>
      <c r="BX63" s="90" t="n"/>
    </row>
    <row r="64">
      <c r="A64" s="91" t="n"/>
      <c r="B64" s="83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3" t="n"/>
      <c r="L64" s="92" t="n"/>
      <c r="M64" s="90" t="n"/>
      <c r="N64" s="82" t="n"/>
      <c r="O64" s="83" t="n"/>
      <c r="P64" s="83" t="n"/>
      <c r="Q64" s="84" t="n"/>
      <c r="R64" s="84">
        <f>P64-Q64</f>
        <v/>
      </c>
      <c r="S64" s="85" t="n"/>
      <c r="T64" s="83" t="n"/>
      <c r="U64" s="83" t="n"/>
      <c r="V64" s="84" t="n"/>
      <c r="W64" s="86">
        <f>U64-V64</f>
        <v/>
      </c>
      <c r="X64" s="87" t="n"/>
      <c r="Y64" s="83" t="n"/>
      <c r="Z64" s="83" t="n"/>
      <c r="AA64" s="84" t="n"/>
      <c r="AB64" s="86">
        <f>Z64-AA64</f>
        <v/>
      </c>
      <c r="AC64" s="87" t="n"/>
      <c r="AD64" s="83" t="n"/>
      <c r="AE64" s="83" t="n"/>
      <c r="AF64" s="84" t="n"/>
      <c r="AG64" s="86">
        <f>AE64-AF64</f>
        <v/>
      </c>
      <c r="AH64" s="87" t="n"/>
      <c r="AI64" s="83" t="n"/>
      <c r="AJ64" s="83" t="n"/>
      <c r="AK64" s="84" t="n"/>
      <c r="AL64" s="86">
        <f>AJ64-AK64</f>
        <v/>
      </c>
      <c r="AM64" s="87" t="n"/>
      <c r="AN64" s="83" t="n"/>
      <c r="AO64" s="83" t="n"/>
      <c r="AP64" s="84" t="n"/>
      <c r="AQ64" s="86">
        <f>AO64-AP64</f>
        <v/>
      </c>
      <c r="AR64" s="87" t="n"/>
      <c r="AS64" s="83" t="n"/>
      <c r="AT64" s="83" t="n"/>
      <c r="AU64" s="84" t="n"/>
      <c r="AV64" s="86">
        <f>AT64-AU64</f>
        <v/>
      </c>
      <c r="AW64" s="87" t="n"/>
      <c r="AX64" s="83" t="n"/>
      <c r="AY64" s="83" t="n"/>
      <c r="AZ64" s="84" t="n"/>
      <c r="BA64" s="86">
        <f>AY64-AZ64</f>
        <v/>
      </c>
      <c r="BB64" s="87" t="n"/>
      <c r="BC64" s="83" t="n"/>
      <c r="BD64" s="83" t="n"/>
      <c r="BE64" s="84" t="n"/>
      <c r="BF64" s="86">
        <f>BD64-BE64</f>
        <v/>
      </c>
      <c r="BG64" s="87" t="n"/>
      <c r="BH64" s="83" t="n"/>
      <c r="BI64" s="83" t="n"/>
      <c r="BJ64" s="84" t="n"/>
      <c r="BK64" s="86">
        <f>BI64-BJ64</f>
        <v/>
      </c>
      <c r="BL64" s="87" t="n"/>
      <c r="BM64" s="83" t="n"/>
      <c r="BN64" s="83" t="n"/>
      <c r="BO64" s="84" t="n"/>
      <c r="BP64" s="86">
        <f>BN64-BO64</f>
        <v/>
      </c>
      <c r="BQ64" s="87" t="n"/>
      <c r="BR64" s="83" t="n"/>
      <c r="BS64" s="83" t="n"/>
      <c r="BT64" s="84" t="n"/>
      <c r="BU64" s="86">
        <f>BS64-BT64</f>
        <v/>
      </c>
      <c r="BV64" s="85" t="n">
        <v>0</v>
      </c>
      <c r="BW64" s="89" t="n"/>
      <c r="BX64" s="90" t="n"/>
    </row>
    <row r="65" ht="15.75" customFormat="1" customHeight="1" s="9" thickBot="1">
      <c r="A65" s="66" t="inlineStr">
        <is>
          <t>Previous Period Invoices</t>
        </is>
      </c>
      <c r="B65" s="67" t="n"/>
      <c r="C65" s="68" t="n"/>
      <c r="D65" s="68" t="n"/>
      <c r="E65" s="69" t="n"/>
      <c r="F65" s="69" t="n"/>
      <c r="G65" s="69" t="n"/>
      <c r="H65" s="69" t="n"/>
      <c r="I65" s="69" t="n"/>
      <c r="J65" s="69" t="n"/>
      <c r="K65" s="137" t="n"/>
      <c r="L65" s="69" t="n"/>
      <c r="M65" s="71" t="n"/>
      <c r="N65" s="72" t="n"/>
      <c r="O65" s="73" t="n"/>
      <c r="P65" s="73" t="n"/>
      <c r="Q65" s="74" t="n"/>
      <c r="R65" s="74">
        <f>IF(OR(P65="",Q65=""),"",P65-Q65)</f>
        <v/>
      </c>
      <c r="S65" s="75" t="n"/>
      <c r="T65" s="73" t="n"/>
      <c r="U65" s="73" t="n"/>
      <c r="V65" s="74" t="n"/>
      <c r="W65" s="76" t="n"/>
      <c r="X65" s="77" t="n"/>
      <c r="Y65" s="73" t="n"/>
      <c r="Z65" s="73" t="n"/>
      <c r="AA65" s="74" t="n"/>
      <c r="AB65" s="76" t="n"/>
      <c r="AC65" s="77" t="n"/>
      <c r="AD65" s="73" t="n"/>
      <c r="AE65" s="73" t="n"/>
      <c r="AF65" s="74" t="n"/>
      <c r="AG65" s="76">
        <f>IF(OR(AE65="",AF65=""),"",AE65-AF65)</f>
        <v/>
      </c>
      <c r="AH65" s="77" t="n"/>
      <c r="AI65" s="73" t="n"/>
      <c r="AJ65" s="73" t="n"/>
      <c r="AK65" s="74" t="n"/>
      <c r="AL65" s="76">
        <f>IF(OR(AJ65="",AK65=""),"",AJ65-AK65)</f>
        <v/>
      </c>
      <c r="AM65" s="77" t="n"/>
      <c r="AN65" s="73" t="n"/>
      <c r="AO65" s="73" t="n"/>
      <c r="AP65" s="74" t="n"/>
      <c r="AQ65" s="76">
        <f>IF(OR(AO65="",AP65=""),"",AO65-AP65)</f>
        <v/>
      </c>
      <c r="AR65" s="77" t="n"/>
      <c r="AS65" s="73" t="n"/>
      <c r="AT65" s="73" t="n"/>
      <c r="AU65" s="74" t="n"/>
      <c r="AV65" s="76">
        <f>IF(OR(AT65="",AU65=""),"",AT65-AU65)</f>
        <v/>
      </c>
      <c r="AW65" s="77" t="n"/>
      <c r="AX65" s="73" t="n"/>
      <c r="AY65" s="73" t="n"/>
      <c r="AZ65" s="74" t="n"/>
      <c r="BA65" s="76">
        <f>IF(OR(AY65="",AZ65=""),"",AY65-AZ65)</f>
        <v/>
      </c>
      <c r="BB65" s="77" t="n"/>
      <c r="BC65" s="73" t="n"/>
      <c r="BD65" s="73" t="n"/>
      <c r="BE65" s="74" t="n"/>
      <c r="BF65" s="76">
        <f>IF(OR(BD65="",BE65=""),"",BD65-BE65)</f>
        <v/>
      </c>
      <c r="BG65" s="77" t="n"/>
      <c r="BH65" s="73" t="n"/>
      <c r="BI65" s="73" t="n"/>
      <c r="BJ65" s="74" t="n"/>
      <c r="BK65" s="76">
        <f>IF(OR(BI65="",BJ65=""),"",BI65-BJ65)</f>
        <v/>
      </c>
      <c r="BL65" s="77" t="n"/>
      <c r="BM65" s="73" t="n"/>
      <c r="BN65" s="73" t="n"/>
      <c r="BO65" s="74" t="n"/>
      <c r="BP65" s="76">
        <f>IF(OR(BN65="",BO65=""),"",BN65-BO65)</f>
        <v/>
      </c>
      <c r="BQ65" s="77" t="n"/>
      <c r="BR65" s="73" t="n"/>
      <c r="BS65" s="73" t="n"/>
      <c r="BT65" s="74" t="n"/>
      <c r="BU65" s="76">
        <f>IF(OR(BS65="",BT65=""),"",BS65-BT65)</f>
        <v/>
      </c>
      <c r="BV65" s="75" t="n"/>
      <c r="BW65" s="53" t="n"/>
      <c r="BX65" s="49" t="n"/>
    </row>
    <row r="66">
      <c r="A66" t="inlineStr">
        <is>
          <t>EXPENSE END</t>
        </is>
      </c>
      <c r="AA66" s="3" t="n"/>
      <c r="BV66" s="95" t="n"/>
    </row>
  </sheetData>
  <autoFilter ref="A14:BY18"/>
  <mergeCells count="40">
    <mergeCell ref="X12:AB12"/>
    <mergeCell ref="BQ13:BU13"/>
    <mergeCell ref="BG13:BK13"/>
    <mergeCell ref="AH12:AL12"/>
    <mergeCell ref="X11:AB11"/>
    <mergeCell ref="N11:R11"/>
    <mergeCell ref="BG12:BK12"/>
    <mergeCell ref="BB13:BF13"/>
    <mergeCell ref="AW11:BA11"/>
    <mergeCell ref="S12:W12"/>
    <mergeCell ref="BB12:BF12"/>
    <mergeCell ref="AC13:AG13"/>
    <mergeCell ref="BL13:BP13"/>
    <mergeCell ref="L13:M13"/>
    <mergeCell ref="AM13:AQ13"/>
    <mergeCell ref="X13:AB13"/>
    <mergeCell ref="AC12:AG12"/>
    <mergeCell ref="L12:M12"/>
    <mergeCell ref="AW13:BA13"/>
    <mergeCell ref="N12:R12"/>
    <mergeCell ref="S11:W11"/>
    <mergeCell ref="S13:W13"/>
    <mergeCell ref="BL11:BP11"/>
    <mergeCell ref="AR13:AV13"/>
    <mergeCell ref="AM11:AQ11"/>
    <mergeCell ref="BQ12:BU12"/>
    <mergeCell ref="AH11:AL11"/>
    <mergeCell ref="N13:R13"/>
    <mergeCell ref="BG11:BK11"/>
    <mergeCell ref="BQ11:BU11"/>
    <mergeCell ref="AR12:AV12"/>
    <mergeCell ref="AR11:AV11"/>
    <mergeCell ref="AM12:AQ12"/>
    <mergeCell ref="AC11:AG11"/>
    <mergeCell ref="BL12:BP12"/>
    <mergeCell ref="L11:M11"/>
    <mergeCell ref="BB11:BF11"/>
    <mergeCell ref="AW12:BA12"/>
    <mergeCell ref="A9:B9"/>
    <mergeCell ref="AH13:AL13"/>
  </mergeCells>
  <conditionalFormatting sqref="Q65 V65 AA65 AF65 AK65 AP65 AU65 AZ65 BE65 BJ65 BO65 BT65">
    <cfRule type="expression" priority="8" dxfId="1">
      <formula>IF(AND(P65&gt;0,Q65=0),TRUE,FALSE)</formula>
    </cfRule>
  </conditionalFormatting>
  <conditionalFormatting sqref="V65:X65 AB65:AC65 AG65:AH65 AL65:AM65 AQ65:AR65 AV65:AW65 BA65:BB65 BF65:BG65 BK65:BL65 BP65:BQ65 BT10 BU65">
    <cfRule type="expression" priority="9" dxfId="1">
      <formula>IF(AND(U10&lt;&gt;"",V10="",TODAY()&gt;DATE(YEAR(TODAY()),MONTH(DATEVALUE("1-"&amp;LEFT(#REF!,3)&amp;"-1900")),20)),TRUE,FALSE)</formula>
    </cfRule>
  </conditionalFormatting>
  <conditionalFormatting sqref="BW11:BW12">
    <cfRule type="expression" priority="7" dxfId="0">
      <formula>IF(BW11&lt;0,TRUE,FALSE)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hidden="1" outlineLevel="1" width="21" customWidth="1" min="2" max="78"/>
  </cols>
  <sheetData>
    <row r="1">
      <c r="A1" t="inlineStr">
        <is>
          <t>PO #</t>
        </is>
      </c>
      <c r="B1" t="inlineStr">
        <is>
          <t>Pfizer requested PO</t>
        </is>
      </c>
      <c r="C1" t="inlineStr">
        <is>
          <t>PMA</t>
        </is>
      </c>
      <c r="D1" t="inlineStr">
        <is>
          <t>PO Owner</t>
        </is>
      </c>
      <c r="E1" t="inlineStr">
        <is>
          <t>Work Code</t>
        </is>
      </c>
      <c r="F1" t="inlineStr">
        <is>
          <t>Project Name</t>
        </is>
      </c>
      <c r="G1" t="inlineStr">
        <is>
          <t>Project Start Date</t>
        </is>
      </c>
      <c r="H1" t="inlineStr">
        <is>
          <t>Project End Date</t>
        </is>
      </c>
      <c r="I1" t="inlineStr">
        <is>
          <t>Resource Talent Id</t>
        </is>
      </c>
      <c r="J1" t="inlineStr">
        <is>
          <t>Resource Name</t>
        </is>
      </c>
      <c r="K1" t="inlineStr">
        <is>
          <t>Bill Rate</t>
        </is>
      </c>
      <c r="L1" t="inlineStr">
        <is>
          <t>Location</t>
        </is>
      </c>
      <c r="M1" t="inlineStr">
        <is>
          <t>Resource Status</t>
        </is>
      </c>
      <c r="N1" t="inlineStr">
        <is>
          <t>Forecast Month Hours</t>
        </is>
      </c>
      <c r="O1" t="inlineStr">
        <is>
          <t>Forecast Fee $</t>
        </is>
      </c>
      <c r="P1" t="inlineStr">
        <is>
          <t>Forecast Expenses $</t>
        </is>
      </c>
      <c r="Q1" t="inlineStr">
        <is>
          <t>Forecast Total $</t>
        </is>
      </c>
      <c r="R1" t="inlineStr">
        <is>
          <t>Actual Month Hours</t>
        </is>
      </c>
      <c r="S1" t="inlineStr">
        <is>
          <t>Acual Fee $</t>
        </is>
      </c>
      <c r="T1" t="inlineStr">
        <is>
          <t>Actual Expenses $</t>
        </is>
      </c>
      <c r="U1" t="inlineStr">
        <is>
          <t>Actual Total $</t>
        </is>
      </c>
      <c r="V1" t="inlineStr">
        <is>
          <t>Monthly Hours Variance</t>
        </is>
      </c>
      <c r="W1" t="inlineStr">
        <is>
          <t>Hours Billed Flag</t>
        </is>
      </c>
      <c r="X1" t="inlineStr">
        <is>
          <t>Forecast Accuracy</t>
        </is>
      </c>
      <c r="Y1" t="inlineStr">
        <is>
          <t>Expense%</t>
        </is>
      </c>
      <c r="Z1" t="inlineStr">
        <is>
          <t>Comments</t>
        </is>
      </c>
      <c r="AA1" t="inlineStr">
        <is>
          <t>Total Forecast Hours 2025</t>
        </is>
      </c>
      <c r="AB1" t="inlineStr">
        <is>
          <t>Jan 2026 - FFHours</t>
        </is>
      </c>
      <c r="AC1" t="inlineStr">
        <is>
          <t>Feb 2026 - FHours</t>
        </is>
      </c>
      <c r="AD1" t="inlineStr">
        <is>
          <t>March 2026 - FHours</t>
        </is>
      </c>
      <c r="AE1" t="inlineStr">
        <is>
          <t>April 2026 - FHours</t>
        </is>
      </c>
      <c r="AF1" t="inlineStr">
        <is>
          <t>May 2026 - FHours</t>
        </is>
      </c>
      <c r="AG1" t="inlineStr">
        <is>
          <t>June 2026 - FHours</t>
        </is>
      </c>
      <c r="AH1" t="inlineStr">
        <is>
          <t>July 2026 - FHours</t>
        </is>
      </c>
      <c r="AI1" t="inlineStr">
        <is>
          <t>Aug 2026 - FHours</t>
        </is>
      </c>
      <c r="AJ1" t="inlineStr">
        <is>
          <t>Sep 2026 - FHours</t>
        </is>
      </c>
      <c r="AK1" t="inlineStr">
        <is>
          <t>Oct 2026 - FHours</t>
        </is>
      </c>
      <c r="AL1" t="inlineStr">
        <is>
          <t>Nov 2026 - FHours</t>
        </is>
      </c>
      <c r="AM1" t="inlineStr">
        <is>
          <t>Dec 2026 - FHours</t>
        </is>
      </c>
      <c r="AN1" t="inlineStr">
        <is>
          <t>2026 Forecast total Fee</t>
        </is>
      </c>
      <c r="AO1" t="inlineStr">
        <is>
          <t>Jan 2026 - FFee</t>
        </is>
      </c>
      <c r="AP1" t="inlineStr">
        <is>
          <t>Feb 2026 - FFee</t>
        </is>
      </c>
      <c r="AQ1" t="inlineStr">
        <is>
          <t>March 2026 - FFee</t>
        </is>
      </c>
      <c r="AR1" t="inlineStr">
        <is>
          <t>April 2026 - FFee</t>
        </is>
      </c>
      <c r="AS1" t="inlineStr">
        <is>
          <t>May 2026 - FFee</t>
        </is>
      </c>
      <c r="AT1" t="inlineStr">
        <is>
          <t>June 2026 - FFee</t>
        </is>
      </c>
      <c r="AU1" t="inlineStr">
        <is>
          <t>July 2026 - FFee</t>
        </is>
      </c>
      <c r="AV1" t="inlineStr">
        <is>
          <t>Aug 2026 - FFee</t>
        </is>
      </c>
      <c r="AW1" t="inlineStr">
        <is>
          <t>Sep 2026 - FFee</t>
        </is>
      </c>
      <c r="AX1" t="inlineStr">
        <is>
          <t>Oct 2026 - FFee</t>
        </is>
      </c>
      <c r="AY1" t="inlineStr">
        <is>
          <t>Nov 2026 - FFee</t>
        </is>
      </c>
      <c r="AZ1" t="inlineStr">
        <is>
          <t>Dec 2026 - FFee</t>
        </is>
      </c>
      <c r="BA1" t="inlineStr">
        <is>
          <t>2026 Total Forecast Expenses</t>
        </is>
      </c>
      <c r="BB1" t="inlineStr">
        <is>
          <t>Jan 2026 - FExpenses</t>
        </is>
      </c>
      <c r="BC1" t="inlineStr">
        <is>
          <t>Feb 2026 - FExpenses</t>
        </is>
      </c>
      <c r="BD1" t="inlineStr">
        <is>
          <t>March 2026 - FExpenses</t>
        </is>
      </c>
      <c r="BE1" t="inlineStr">
        <is>
          <t>April 2026 - FExpenses</t>
        </is>
      </c>
      <c r="BF1" t="inlineStr">
        <is>
          <t>May 2026 - FExpenses</t>
        </is>
      </c>
      <c r="BG1" t="inlineStr">
        <is>
          <t>June 2026 - FExpenses</t>
        </is>
      </c>
      <c r="BH1" t="inlineStr">
        <is>
          <t>July 2026 - FExpenses</t>
        </is>
      </c>
      <c r="BI1" t="inlineStr">
        <is>
          <t>Aug 2026 - FExpenses</t>
        </is>
      </c>
      <c r="BJ1" t="inlineStr">
        <is>
          <t>Sep 2026 - FExpenses</t>
        </is>
      </c>
      <c r="BK1" t="inlineStr">
        <is>
          <t>Oct 2026 - FExpenses</t>
        </is>
      </c>
      <c r="BL1" t="inlineStr">
        <is>
          <t>Nov 2026 - FExpenses</t>
        </is>
      </c>
      <c r="BM1" t="inlineStr">
        <is>
          <t>Dec 2026 - FExpenses</t>
        </is>
      </c>
      <c r="BN1" t="inlineStr">
        <is>
          <t>Forecast Total 2026</t>
        </is>
      </c>
      <c r="BO1" t="inlineStr">
        <is>
          <t>Jan 2026 - FTotal</t>
        </is>
      </c>
      <c r="BP1" t="inlineStr">
        <is>
          <t>Feb 2026 - FTotal</t>
        </is>
      </c>
      <c r="BQ1" t="inlineStr">
        <is>
          <t>March 2026 - FTotal</t>
        </is>
      </c>
      <c r="BR1" t="inlineStr">
        <is>
          <t>April 2026 - FTotal</t>
        </is>
      </c>
      <c r="BS1" t="inlineStr">
        <is>
          <t>May 2026 - FTotal</t>
        </is>
      </c>
      <c r="BT1" t="inlineStr">
        <is>
          <t>June 2026 - FTotal</t>
        </is>
      </c>
      <c r="BU1" t="inlineStr">
        <is>
          <t>July 2026 - FTotal</t>
        </is>
      </c>
      <c r="BV1" t="inlineStr">
        <is>
          <t>Aug 2026 - FTotal</t>
        </is>
      </c>
      <c r="BW1" t="inlineStr">
        <is>
          <t>Sep 2026 - FTotal</t>
        </is>
      </c>
      <c r="BX1" t="inlineStr">
        <is>
          <t>Oct 2026 - FTotal</t>
        </is>
      </c>
      <c r="BY1" t="inlineStr">
        <is>
          <t>Nov 2026 - FTotal</t>
        </is>
      </c>
      <c r="BZ1" t="inlineStr">
        <is>
          <t>Dec 2026 - FTotal</t>
        </is>
      </c>
    </row>
    <row r="2">
      <c r="A2" t="inlineStr">
        <is>
          <t>PO Total</t>
        </is>
      </c>
    </row>
  </sheetData>
  <autoFilter ref="A1:BZ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4" customWidth="1" min="4" max="4"/>
    <col width="21" customWidth="1" min="5" max="5"/>
    <col width="21" customWidth="1" min="6" max="6"/>
    <col width="21" customWidth="1" min="7" max="7"/>
    <col width="52" customWidth="1" min="8" max="8"/>
    <col width="7" customWidth="1" min="9" max="9"/>
    <col width="12" customWidth="1" min="10" max="10"/>
    <col width="10" customWidth="1" min="11" max="11"/>
    <col hidden="1" outlineLevel="1" width="13" customWidth="1" min="12" max="60"/>
  </cols>
  <sheetData>
    <row r="1">
      <c r="A1" t="inlineStr">
        <is>
          <t>PO Number</t>
        </is>
      </c>
      <c r="B1" t="inlineStr">
        <is>
          <t>Accounting Period</t>
        </is>
      </c>
      <c r="C1" t="inlineStr">
        <is>
          <t>AP Voucher Number</t>
        </is>
      </c>
      <c r="D1" t="inlineStr">
        <is>
          <t>Vendor Name</t>
        </is>
      </c>
      <c r="E1" t="inlineStr">
        <is>
          <t>WBS Element</t>
        </is>
      </c>
      <c r="F1" t="inlineStr">
        <is>
          <t>GL Invoice Date</t>
        </is>
      </c>
      <c r="G1" t="inlineStr">
        <is>
          <t>GL Posting Date</t>
        </is>
      </c>
      <c r="H1" t="inlineStr">
        <is>
          <t>Description</t>
        </is>
      </c>
      <c r="I1" t="inlineStr">
        <is>
          <t>Month</t>
        </is>
      </c>
      <c r="J1" t="inlineStr">
        <is>
          <t>AP02</t>
        </is>
      </c>
      <c r="K1" t="inlineStr">
        <is>
          <t>Type</t>
        </is>
      </c>
      <c r="L1" t="inlineStr">
        <is>
          <t>Fiscal Year</t>
        </is>
      </c>
      <c r="M1" t="inlineStr">
        <is>
          <t>Planful Date</t>
        </is>
      </c>
      <c r="N1" t="inlineStr">
        <is>
          <t>Function Code</t>
        </is>
      </c>
      <c r="O1" t="inlineStr">
        <is>
          <t>Sub Function Code</t>
        </is>
      </c>
      <c r="P1" t="inlineStr">
        <is>
          <t>Cost Center*</t>
        </is>
      </c>
      <c r="Q1" t="inlineStr">
        <is>
          <t>LT Member*</t>
        </is>
      </c>
      <c r="R1" t="inlineStr">
        <is>
          <t>LT Member -1*</t>
        </is>
      </c>
      <c r="S1" t="inlineStr">
        <is>
          <t>CC Description</t>
        </is>
      </c>
      <c r="T1" t="inlineStr">
        <is>
          <t>CC Level 1</t>
        </is>
      </c>
      <c r="U1" t="inlineStr">
        <is>
          <t>CC Level 2</t>
        </is>
      </c>
      <c r="V1" t="inlineStr">
        <is>
          <t>Org</t>
        </is>
      </c>
      <c r="W1" t="inlineStr">
        <is>
          <t>CC Level 4</t>
        </is>
      </c>
      <c r="X1" t="inlineStr">
        <is>
          <t>CC Level 5</t>
        </is>
      </c>
      <c r="Y1" t="inlineStr">
        <is>
          <t>Major Code</t>
        </is>
      </c>
      <c r="Z1" t="inlineStr">
        <is>
          <t>Minor Code</t>
        </is>
      </c>
      <c r="AA1" t="inlineStr">
        <is>
          <t>Exp Acct Minor Code - Text</t>
        </is>
      </c>
      <c r="AB1" t="inlineStr">
        <is>
          <t>Account*</t>
        </is>
      </c>
      <c r="AC1" t="inlineStr">
        <is>
          <t>Expense Account Code</t>
        </is>
      </c>
      <c r="AD1" t="inlineStr">
        <is>
          <t>Division Code</t>
        </is>
      </c>
      <c r="AE1" t="inlineStr">
        <is>
          <t>Market Code</t>
        </is>
      </c>
      <c r="AF1" t="inlineStr">
        <is>
          <t>Value Type</t>
        </is>
      </c>
      <c r="AG1" t="inlineStr">
        <is>
          <t>Document Type</t>
        </is>
      </c>
      <c r="AH1" t="inlineStr">
        <is>
          <t>Legal Entity</t>
        </is>
      </c>
      <c r="AI1" t="inlineStr">
        <is>
          <t>Country</t>
        </is>
      </c>
      <c r="AJ1" t="inlineStr">
        <is>
          <t>Region</t>
        </is>
      </c>
      <c r="AK1" t="inlineStr">
        <is>
          <t>Project Code*</t>
        </is>
      </c>
      <c r="AL1" t="inlineStr">
        <is>
          <t>Project Definition</t>
        </is>
      </c>
      <c r="AM1" t="inlineStr">
        <is>
          <t>GL Description</t>
        </is>
      </c>
      <c r="AN1" t="inlineStr">
        <is>
          <t>Grouping</t>
        </is>
      </c>
      <c r="AO1" t="inlineStr">
        <is>
          <t>GL Transaction Number</t>
        </is>
      </c>
      <c r="AP1" t="inlineStr">
        <is>
          <t>GL Invoice Number</t>
        </is>
      </c>
      <c r="AQ1" t="inlineStr">
        <is>
          <t>Ledger Currency</t>
        </is>
      </c>
      <c r="AR1" t="inlineStr">
        <is>
          <t>Local Currency</t>
        </is>
      </c>
      <c r="AS1" t="inlineStr">
        <is>
          <t>Transaction Currency</t>
        </is>
      </c>
      <c r="AT1" t="inlineStr">
        <is>
          <t>GL MAR Corp Amount</t>
        </is>
      </c>
      <c r="AU1" t="inlineStr">
        <is>
          <t>GL Local Amount</t>
        </is>
      </c>
      <c r="AV1" t="inlineStr">
        <is>
          <t>GL BER Corp Amount</t>
        </is>
      </c>
      <c r="AW1" t="inlineStr">
        <is>
          <t>GL Transaction Amount</t>
        </is>
      </c>
      <c r="AX1" t="inlineStr">
        <is>
          <t>AP01</t>
        </is>
      </c>
      <c r="AY1" t="inlineStr">
        <is>
          <t>AP03</t>
        </is>
      </c>
      <c r="AZ1" t="inlineStr">
        <is>
          <t>AP04</t>
        </is>
      </c>
      <c r="BA1" t="inlineStr">
        <is>
          <t>AP05</t>
        </is>
      </c>
      <c r="BB1" t="inlineStr">
        <is>
          <t>AP06</t>
        </is>
      </c>
      <c r="BC1" t="inlineStr">
        <is>
          <t>AP07</t>
        </is>
      </c>
      <c r="BD1" t="inlineStr">
        <is>
          <t>AP08</t>
        </is>
      </c>
      <c r="BE1" t="inlineStr">
        <is>
          <t>AP09</t>
        </is>
      </c>
      <c r="BF1" t="inlineStr">
        <is>
          <t>AP10</t>
        </is>
      </c>
      <c r="BG1" t="inlineStr">
        <is>
          <t>AP11</t>
        </is>
      </c>
      <c r="BH1" t="inlineStr">
        <is>
          <t>AP12</t>
        </is>
      </c>
    </row>
    <row r="2">
      <c r="A2" t="inlineStr">
        <is>
          <t>9501133449</t>
        </is>
      </c>
      <c r="B2" t="n">
        <v>202601</v>
      </c>
      <c r="C2" t="n">
        <v>2100005597</v>
      </c>
      <c r="D2" t="inlineStr">
        <is>
          <t>Not assigned</t>
        </is>
      </c>
      <c r="E2" t="inlineStr">
        <is>
          <t>IT-FBT0393-OG-JP-00</t>
        </is>
      </c>
      <c r="F2" s="138" t="n">
        <v>46023</v>
      </c>
      <c r="G2" s="138" t="n">
        <v>46021</v>
      </c>
      <c r="H2" t="inlineStr">
        <is>
          <t>9501133449_1_SAP FICO L2 SUPPORT 2026H1</t>
        </is>
      </c>
      <c r="I2" t="n">
        <v>1</v>
      </c>
      <c r="J2" t="n">
        <v/>
      </c>
      <c r="L2" t="n">
        <v>2026</v>
      </c>
      <c r="M2" s="138" t="n">
        <v>46023</v>
      </c>
      <c r="N2" t="inlineStr">
        <is>
          <t>DIGITAL</t>
        </is>
      </c>
      <c r="O2" t="inlineStr">
        <is>
          <t>IT110</t>
        </is>
      </c>
      <c r="P2" t="n">
        <v>2430238</v>
      </c>
      <c r="Q2" t="inlineStr">
        <is>
          <t>Maguire, Karla</t>
        </is>
      </c>
      <c r="R2" t="inlineStr">
        <is>
          <t>Tamavada, Ram</t>
        </is>
      </c>
      <c r="S2" t="inlineStr">
        <is>
          <t>3840/8617/86/IT110/2430238</t>
        </is>
      </c>
      <c r="T2" t="inlineStr">
        <is>
          <t>DIGITAL AND TECHNOLOGY</t>
        </is>
      </c>
      <c r="U2" t="inlineStr">
        <is>
          <t>CTIES</t>
        </is>
      </c>
      <c r="V2" t="inlineStr">
        <is>
          <t>ERP</t>
        </is>
      </c>
      <c r="W2" t="inlineStr">
        <is>
          <t>DIGITAL OPERATIONS AND COMMAND CENTER</t>
        </is>
      </c>
      <c r="X2" t="inlineStr">
        <is>
          <t>ERP SUPPORT SERVICES - JP</t>
        </is>
      </c>
      <c r="Y2" t="n">
        <v>890</v>
      </c>
      <c r="Z2" t="n">
        <v>923</v>
      </c>
      <c r="AA2" t="inlineStr">
        <is>
          <t>Managed Services</t>
        </is>
      </c>
      <c r="AB2" t="inlineStr">
        <is>
          <t>Managed Services</t>
        </is>
      </c>
      <c r="AC2" t="n">
        <v>41500000</v>
      </c>
      <c r="AD2" t="n">
        <v>86</v>
      </c>
      <c r="AE2" t="n">
        <v>8617</v>
      </c>
      <c r="AF2" t="n">
        <v>10</v>
      </c>
      <c r="AG2" t="inlineStr">
        <is>
          <t>ZY</t>
        </is>
      </c>
      <c r="AH2" t="n">
        <v>3840</v>
      </c>
      <c r="AI2" t="inlineStr">
        <is>
          <t>Japan</t>
        </is>
      </c>
      <c r="AJ2" t="inlineStr">
        <is>
          <t>Not assigned</t>
        </is>
      </c>
      <c r="AK2" t="inlineStr">
        <is>
          <t>IT-FBT0393-OG-JP-00</t>
        </is>
      </c>
      <c r="AL2" t="inlineStr">
        <is>
          <t>Japan BT Support</t>
        </is>
      </c>
      <c r="AM2" t="inlineStr">
        <is>
          <t>9501133449_1_SAP FICO L2 SUPPORT 2026H1</t>
        </is>
      </c>
      <c r="AN2" t="inlineStr">
        <is>
          <t>Japan</t>
        </is>
      </c>
      <c r="AO2" t="n">
        <v>210000559741</v>
      </c>
      <c r="AP2" t="inlineStr">
        <is>
          <t>GL_PO ACCRUAL</t>
        </is>
      </c>
      <c r="AQ2" t="inlineStr">
        <is>
          <t>USD</t>
        </is>
      </c>
      <c r="AR2" t="inlineStr">
        <is>
          <t>Yen</t>
        </is>
      </c>
      <c r="AS2" t="inlineStr">
        <is>
          <t>JPY</t>
        </is>
      </c>
      <c r="AT2" t="n">
        <v>10951.02</v>
      </c>
      <c r="AU2" t="n">
        <v>1706830</v>
      </c>
      <c r="AV2" t="n">
        <v>11347.01</v>
      </c>
      <c r="AW2" t="n">
        <v>1706830</v>
      </c>
      <c r="AX2" t="n">
        <v>11347.01</v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</row>
    <row r="3">
      <c r="A3" t="inlineStr">
        <is>
          <t>9501133442</t>
        </is>
      </c>
      <c r="B3" t="n">
        <v>202601</v>
      </c>
      <c r="C3" t="n">
        <v>2100005597</v>
      </c>
      <c r="D3" t="inlineStr">
        <is>
          <t>Not assigned</t>
        </is>
      </c>
      <c r="E3" t="inlineStr">
        <is>
          <t>IT-FBT0638-OG-JP-00</t>
        </is>
      </c>
      <c r="F3" s="138" t="n">
        <v>46023</v>
      </c>
      <c r="G3" s="138" t="n">
        <v>46021</v>
      </c>
      <c r="H3" t="inlineStr">
        <is>
          <t>9501133442_1_FINANCE SYSTEM SUPPORT 2025.12.01-202</t>
        </is>
      </c>
      <c r="I3" t="n">
        <v>1</v>
      </c>
      <c r="J3" t="n">
        <v/>
      </c>
      <c r="L3" t="n">
        <v>2026</v>
      </c>
      <c r="M3" s="138" t="n">
        <v>46023</v>
      </c>
      <c r="N3" t="inlineStr">
        <is>
          <t>DIGITAL</t>
        </is>
      </c>
      <c r="O3" t="inlineStr">
        <is>
          <t>IT110</t>
        </is>
      </c>
      <c r="P3" t="n">
        <v>2430238</v>
      </c>
      <c r="Q3" t="inlineStr">
        <is>
          <t>Maguire, Karla</t>
        </is>
      </c>
      <c r="R3" t="inlineStr">
        <is>
          <t>Tamavada, Ram</t>
        </is>
      </c>
      <c r="S3" t="inlineStr">
        <is>
          <t>3840/8617/86/IT110/2430238</t>
        </is>
      </c>
      <c r="T3" t="inlineStr">
        <is>
          <t>DIGITAL AND TECHNOLOGY</t>
        </is>
      </c>
      <c r="U3" t="inlineStr">
        <is>
          <t>CTIES</t>
        </is>
      </c>
      <c r="V3" t="inlineStr">
        <is>
          <t>ERP</t>
        </is>
      </c>
      <c r="W3" t="inlineStr">
        <is>
          <t>DIGITAL OPERATIONS AND COMMAND CENTER</t>
        </is>
      </c>
      <c r="X3" t="inlineStr">
        <is>
          <t>ERP SUPPORT SERVICES - JP</t>
        </is>
      </c>
      <c r="Y3" t="n">
        <v>890</v>
      </c>
      <c r="Z3" t="n">
        <v>923</v>
      </c>
      <c r="AA3" t="inlineStr">
        <is>
          <t>Managed Services</t>
        </is>
      </c>
      <c r="AB3" t="inlineStr">
        <is>
          <t>Managed Services</t>
        </is>
      </c>
      <c r="AC3" t="n">
        <v>41500000</v>
      </c>
      <c r="AD3" t="n">
        <v>86</v>
      </c>
      <c r="AE3" t="n">
        <v>8617</v>
      </c>
      <c r="AF3" t="n">
        <v>10</v>
      </c>
      <c r="AG3" t="inlineStr">
        <is>
          <t>ZY</t>
        </is>
      </c>
      <c r="AH3" t="n">
        <v>3840</v>
      </c>
      <c r="AI3" t="inlineStr">
        <is>
          <t>Japan</t>
        </is>
      </c>
      <c r="AJ3" t="inlineStr">
        <is>
          <t>Not assigned</t>
        </is>
      </c>
      <c r="AK3" t="inlineStr">
        <is>
          <t>IT-FBT0638-OG-JP-00</t>
        </is>
      </c>
      <c r="AL3" t="inlineStr">
        <is>
          <t>Japan L1/L2 FINANCE</t>
        </is>
      </c>
      <c r="AM3" t="inlineStr">
        <is>
          <t>9501133442_1_FINANCE SYSTEM SUPPORT 2025.12.01-202</t>
        </is>
      </c>
      <c r="AN3" t="inlineStr">
        <is>
          <t>Japan</t>
        </is>
      </c>
      <c r="AO3" t="n">
        <v>210000559740</v>
      </c>
      <c r="AP3" t="inlineStr">
        <is>
          <t>GL_PO ACCRUAL</t>
        </is>
      </c>
      <c r="AQ3" t="inlineStr">
        <is>
          <t>USD</t>
        </is>
      </c>
      <c r="AR3" t="inlineStr">
        <is>
          <t>Yen</t>
        </is>
      </c>
      <c r="AS3" t="inlineStr">
        <is>
          <t>JPY</t>
        </is>
      </c>
      <c r="AT3" t="n">
        <v>10180.76</v>
      </c>
      <c r="AU3" t="n">
        <v>1586777</v>
      </c>
      <c r="AV3" t="n">
        <v>10548.89</v>
      </c>
      <c r="AW3" t="n">
        <v>1586777</v>
      </c>
      <c r="AX3" t="n">
        <v>10548.89</v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</row>
    <row r="4">
      <c r="A4" t="inlineStr">
        <is>
          <t>9501137831</t>
        </is>
      </c>
      <c r="B4" t="n">
        <v>202601</v>
      </c>
      <c r="C4" t="n">
        <v>2100007122</v>
      </c>
      <c r="D4" t="inlineStr">
        <is>
          <t>Not assigned</t>
        </is>
      </c>
      <c r="E4" t="inlineStr">
        <is>
          <t>IT-FBT0066-OG-IN-00</t>
        </is>
      </c>
      <c r="F4" s="138" t="n">
        <v>46026</v>
      </c>
      <c r="G4" s="138" t="n">
        <v>46021</v>
      </c>
      <c r="H4" t="inlineStr">
        <is>
          <t>AP1 2WM PO ACCRUAL_ 9501137831_1_SAP SOM SME CONSU</t>
        </is>
      </c>
      <c r="I4" t="n">
        <v>1</v>
      </c>
      <c r="J4" t="n">
        <v/>
      </c>
      <c r="L4" t="n">
        <v>2026</v>
      </c>
      <c r="M4" s="138" t="n">
        <v>46023</v>
      </c>
      <c r="N4" t="inlineStr">
        <is>
          <t>DIGITAL</t>
        </is>
      </c>
      <c r="O4" t="inlineStr">
        <is>
          <t>IT110</t>
        </is>
      </c>
      <c r="P4" t="n">
        <v>2662855</v>
      </c>
      <c r="Q4" t="inlineStr">
        <is>
          <t>Maguire, Karla</t>
        </is>
      </c>
      <c r="R4" t="inlineStr">
        <is>
          <t>Tamavada, Ram</t>
        </is>
      </c>
      <c r="S4" t="inlineStr">
        <is>
          <t>7280/8011/86/IT110/0002662855 (890) (Net</t>
        </is>
      </c>
      <c r="T4" t="inlineStr">
        <is>
          <t>DIGITAL AND TECHNOLOGY</t>
        </is>
      </c>
      <c r="U4" t="inlineStr">
        <is>
          <t>CTIES</t>
        </is>
      </c>
      <c r="V4" t="inlineStr">
        <is>
          <t>ERP</t>
        </is>
      </c>
      <c r="W4" t="inlineStr">
        <is>
          <t>DIGITAL OPERATIONS AND COMMAND CENTER</t>
        </is>
      </c>
      <c r="X4" t="inlineStr">
        <is>
          <t>ERP SUPPORT SERVICES - IN</t>
        </is>
      </c>
      <c r="Y4" t="n">
        <v>890</v>
      </c>
      <c r="Z4" t="n">
        <v>915</v>
      </c>
      <c r="AA4" t="inlineStr">
        <is>
          <t>Professional Serv-Admin&amp;Commercial</t>
        </is>
      </c>
      <c r="AB4" t="inlineStr">
        <is>
          <t>Contractors</t>
        </is>
      </c>
      <c r="AC4" t="n">
        <v>41010100</v>
      </c>
      <c r="AD4" t="n">
        <v>86</v>
      </c>
      <c r="AE4" t="n">
        <v>8011</v>
      </c>
      <c r="AF4" t="n">
        <v>10</v>
      </c>
      <c r="AG4" t="inlineStr">
        <is>
          <t>ZY</t>
        </is>
      </c>
      <c r="AH4" t="n">
        <v>7280</v>
      </c>
      <c r="AI4" t="inlineStr">
        <is>
          <t>India</t>
        </is>
      </c>
      <c r="AJ4" t="inlineStr">
        <is>
          <t>APAC</t>
        </is>
      </c>
      <c r="AK4" t="inlineStr">
        <is>
          <t>IT-FBT0066-OG-IN-00</t>
        </is>
      </c>
      <c r="AL4" t="inlineStr">
        <is>
          <t>India L2 Support IT-</t>
        </is>
      </c>
      <c r="AM4" t="inlineStr">
        <is>
          <t>AP1 2WM PO ACCRUAL_ 9501137831_1_SAP SOM SME CONSU</t>
        </is>
      </c>
      <c r="AN4" t="inlineStr">
        <is>
          <t>India</t>
        </is>
      </c>
      <c r="AO4" t="n">
        <v>210000712297</v>
      </c>
      <c r="AP4" t="inlineStr">
        <is>
          <t>GL_PO ACCRUAL</t>
        </is>
      </c>
      <c r="AQ4" t="inlineStr">
        <is>
          <t>USD</t>
        </is>
      </c>
      <c r="AR4" t="inlineStr">
        <is>
          <t>Rupee</t>
        </is>
      </c>
      <c r="AS4" t="inlineStr">
        <is>
          <t>INR</t>
        </is>
      </c>
      <c r="AT4" t="n">
        <v>3217.02</v>
      </c>
      <c r="AU4" t="n">
        <v>289560.44</v>
      </c>
      <c r="AV4" t="n">
        <v>3217.02</v>
      </c>
      <c r="AW4" t="n">
        <v>289560.44</v>
      </c>
      <c r="AX4" t="n">
        <v>3217.02</v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</row>
    <row r="5">
      <c r="A5" t="inlineStr">
        <is>
          <t>9501137269</t>
        </is>
      </c>
      <c r="B5" t="n">
        <v>202601</v>
      </c>
      <c r="C5" t="n">
        <v>2100007123</v>
      </c>
      <c r="D5" t="inlineStr">
        <is>
          <t>Not assigned</t>
        </is>
      </c>
      <c r="E5" t="inlineStr">
        <is>
          <t>IT-FBT0637-OG-IN-00</t>
        </is>
      </c>
      <c r="F5" s="138" t="n">
        <v>46026</v>
      </c>
      <c r="G5" s="138" t="n">
        <v>46021</v>
      </c>
      <c r="H5" t="inlineStr">
        <is>
          <t>AP1 2WM PO ACCRUAL_ 9501137269_1_SOFTWARE MAINTENA</t>
        </is>
      </c>
      <c r="I5" t="n">
        <v>1</v>
      </c>
      <c r="J5" t="n">
        <v/>
      </c>
      <c r="L5" t="n">
        <v>2026</v>
      </c>
      <c r="M5" s="138" t="n">
        <v>46023</v>
      </c>
      <c r="N5" t="inlineStr">
        <is>
          <t>DIGITAL</t>
        </is>
      </c>
      <c r="O5" t="inlineStr">
        <is>
          <t>IT110</t>
        </is>
      </c>
      <c r="P5" t="n">
        <v>2662855</v>
      </c>
      <c r="Q5" t="inlineStr">
        <is>
          <t>Maguire, Karla</t>
        </is>
      </c>
      <c r="R5" t="inlineStr">
        <is>
          <t>Tamavada, Ram</t>
        </is>
      </c>
      <c r="S5" t="inlineStr">
        <is>
          <t>7280/8011/86/IT110/0002662855 (890) (Net</t>
        </is>
      </c>
      <c r="T5" t="inlineStr">
        <is>
          <t>DIGITAL AND TECHNOLOGY</t>
        </is>
      </c>
      <c r="U5" t="inlineStr">
        <is>
          <t>CTIES</t>
        </is>
      </c>
      <c r="V5" t="inlineStr">
        <is>
          <t>ERP</t>
        </is>
      </c>
      <c r="W5" t="inlineStr">
        <is>
          <t>DIGITAL OPERATIONS AND COMMAND CENTER</t>
        </is>
      </c>
      <c r="X5" t="inlineStr">
        <is>
          <t>ERP SUPPORT SERVICES - IN</t>
        </is>
      </c>
      <c r="Y5" t="n">
        <v>890</v>
      </c>
      <c r="Z5" t="n">
        <v>915</v>
      </c>
      <c r="AA5" t="inlineStr">
        <is>
          <t>Professional Serv-Admin&amp;Commercial</t>
        </is>
      </c>
      <c r="AB5" t="inlineStr">
        <is>
          <t>Contractors</t>
        </is>
      </c>
      <c r="AC5" t="n">
        <v>41010100</v>
      </c>
      <c r="AD5" t="n">
        <v>86</v>
      </c>
      <c r="AE5" t="n">
        <v>8011</v>
      </c>
      <c r="AF5" t="n">
        <v>10</v>
      </c>
      <c r="AG5" t="inlineStr">
        <is>
          <t>ZY</t>
        </is>
      </c>
      <c r="AH5" t="n">
        <v>7280</v>
      </c>
      <c r="AI5" t="inlineStr">
        <is>
          <t>India</t>
        </is>
      </c>
      <c r="AJ5" t="inlineStr">
        <is>
          <t>APAC</t>
        </is>
      </c>
      <c r="AK5" t="inlineStr">
        <is>
          <t>IT-FBT0637-OG-IN-00</t>
        </is>
      </c>
      <c r="AL5" t="inlineStr">
        <is>
          <t>India Prime Solution</t>
        </is>
      </c>
      <c r="AM5" t="inlineStr">
        <is>
          <t>AP1 2WM PO ACCRUAL_ 9501137269_1_SOFTWARE MAINTENA</t>
        </is>
      </c>
      <c r="AN5" t="inlineStr">
        <is>
          <t>India</t>
        </is>
      </c>
      <c r="AO5" t="n">
        <v>2100007123125</v>
      </c>
      <c r="AP5" t="inlineStr">
        <is>
          <t>GL_PO ACCRUAL</t>
        </is>
      </c>
      <c r="AQ5" t="inlineStr">
        <is>
          <t>USD</t>
        </is>
      </c>
      <c r="AR5" t="inlineStr">
        <is>
          <t>Rupee</t>
        </is>
      </c>
      <c r="AS5" t="inlineStr">
        <is>
          <t>INR</t>
        </is>
      </c>
      <c r="AT5" t="n">
        <v>844.8099999999999</v>
      </c>
      <c r="AU5" t="n">
        <v>76040.27</v>
      </c>
      <c r="AV5" t="n">
        <v>844.8099999999999</v>
      </c>
      <c r="AW5" t="n">
        <v>76040.27</v>
      </c>
      <c r="AX5" t="n">
        <v>844.8099999999999</v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</row>
    <row r="6">
      <c r="A6" t="inlineStr">
        <is>
          <t>9501159633</t>
        </is>
      </c>
      <c r="B6" t="n">
        <v>202601</v>
      </c>
      <c r="C6" t="n">
        <v>5107761161</v>
      </c>
      <c r="D6" t="inlineStr">
        <is>
          <t>ORACLE AMERICA INC</t>
        </is>
      </c>
      <c r="E6" t="inlineStr">
        <is>
          <t>IT-SFT0159-86-OG-US</t>
        </is>
      </c>
      <c r="F6" s="138" t="n">
        <v>46021</v>
      </c>
      <c r="G6" s="138" t="n">
        <v>46028</v>
      </c>
      <c r="H6" t="inlineStr">
        <is>
          <t>ORACLE MANAGED CLOUD SERVICES - (01/01/2</t>
        </is>
      </c>
      <c r="I6" t="n">
        <v>1</v>
      </c>
      <c r="J6" t="n">
        <v/>
      </c>
      <c r="K6" t="inlineStr">
        <is>
          <t>Actual</t>
        </is>
      </c>
      <c r="L6" t="n">
        <v>2026</v>
      </c>
      <c r="M6" s="138" t="n">
        <v>46023</v>
      </c>
      <c r="N6" t="inlineStr">
        <is>
          <t>DIGITAL</t>
        </is>
      </c>
      <c r="O6" t="inlineStr">
        <is>
          <t>IT140</t>
        </is>
      </c>
      <c r="P6" t="n">
        <v>2321403</v>
      </c>
      <c r="Q6" t="inlineStr">
        <is>
          <t>Maguire, Karla</t>
        </is>
      </c>
      <c r="R6" t="inlineStr">
        <is>
          <t>Tamavada, Ram</t>
        </is>
      </c>
      <c r="S6" t="inlineStr">
        <is>
          <t>1400/8011/86/IT140/0002321403 (890) (Net</t>
        </is>
      </c>
      <c r="T6" t="inlineStr">
        <is>
          <t>DIGITAL AND TECHNOLOGY</t>
        </is>
      </c>
      <c r="U6" t="inlineStr">
        <is>
          <t>CTIES</t>
        </is>
      </c>
      <c r="V6" t="inlineStr">
        <is>
          <t>ERP</t>
        </is>
      </c>
      <c r="W6" t="inlineStr">
        <is>
          <t>DIGITAL OPERATIONS AND COMMAND CENTER</t>
        </is>
      </c>
      <c r="X6" t="inlineStr">
        <is>
          <t>ERP SUPPORT SERVICES - US</t>
        </is>
      </c>
      <c r="Y6" t="n">
        <v>890</v>
      </c>
      <c r="Z6" t="n">
        <v>901</v>
      </c>
      <c r="AA6" t="inlineStr">
        <is>
          <t>Computing/Software</t>
        </is>
      </c>
      <c r="AB6" t="inlineStr">
        <is>
          <t>Software</t>
        </is>
      </c>
      <c r="AC6" t="n">
        <v>61010000</v>
      </c>
      <c r="AD6" t="n">
        <v>86</v>
      </c>
      <c r="AE6" t="n">
        <v>8011</v>
      </c>
      <c r="AF6" t="n">
        <v>10</v>
      </c>
      <c r="AG6" t="inlineStr">
        <is>
          <t>RE</t>
        </is>
      </c>
      <c r="AH6" t="n">
        <v>1400</v>
      </c>
      <c r="AI6" t="inlineStr">
        <is>
          <t>United States</t>
        </is>
      </c>
      <c r="AJ6" t="inlineStr">
        <is>
          <t>AMER</t>
        </is>
      </c>
      <c r="AK6" t="inlineStr">
        <is>
          <t>IT-SFT0159-86-OG-US</t>
        </is>
      </c>
      <c r="AL6" t="inlineStr">
        <is>
          <t>Oracle</t>
        </is>
      </c>
      <c r="AM6" t="inlineStr">
        <is>
          <t>ORACLE MANAGED CLOUD SERVICES - (01/01/2</t>
        </is>
      </c>
      <c r="AN6" t="inlineStr">
        <is>
          <t>E1; 2026 Pullforward</t>
        </is>
      </c>
      <c r="AO6" t="n">
        <v>51077611612</v>
      </c>
      <c r="AP6" t="n">
        <v>102294155</v>
      </c>
      <c r="AQ6" t="inlineStr">
        <is>
          <t>USD</t>
        </is>
      </c>
      <c r="AR6" t="inlineStr">
        <is>
          <t>US Dollar</t>
        </is>
      </c>
      <c r="AS6" t="inlineStr">
        <is>
          <t>USD</t>
        </is>
      </c>
      <c r="AT6" t="n">
        <v>30728.67</v>
      </c>
      <c r="AU6" t="n">
        <v>30728.67</v>
      </c>
      <c r="AV6" t="n">
        <v>30728.67</v>
      </c>
      <c r="AW6" t="n">
        <v>30728.67</v>
      </c>
      <c r="AX6" t="n">
        <v>30728.67</v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</row>
    <row r="7">
      <c r="A7" t="inlineStr">
        <is>
          <t>9501159633</t>
        </is>
      </c>
      <c r="B7" t="n">
        <v>202601</v>
      </c>
      <c r="C7" t="n">
        <v>2100082275</v>
      </c>
      <c r="D7" t="inlineStr">
        <is>
          <t>Not assigned</t>
        </is>
      </c>
      <c r="E7" t="inlineStr">
        <is>
          <t>IT-SFT0159-86-OG-US</t>
        </is>
      </c>
      <c r="F7" s="138" t="n">
        <v>46027</v>
      </c>
      <c r="G7" s="138" t="n">
        <v>46030</v>
      </c>
      <c r="H7" t="inlineStr">
        <is>
          <t>AC12-E1 ORACLE HOSTING AND MAINTENANCE-OCI</t>
        </is>
      </c>
      <c r="I7" t="n">
        <v>1</v>
      </c>
      <c r="J7" t="n">
        <v/>
      </c>
      <c r="L7" t="n">
        <v>2026</v>
      </c>
      <c r="M7" s="138" t="n">
        <v>46023</v>
      </c>
      <c r="N7" t="inlineStr">
        <is>
          <t>DIGITAL</t>
        </is>
      </c>
      <c r="O7" t="inlineStr">
        <is>
          <t>IT140</t>
        </is>
      </c>
      <c r="P7" t="n">
        <v>2321403</v>
      </c>
      <c r="Q7" t="inlineStr">
        <is>
          <t>Maguire, Karla</t>
        </is>
      </c>
      <c r="R7" t="inlineStr">
        <is>
          <t>Tamavada, Ram</t>
        </is>
      </c>
      <c r="S7" t="inlineStr">
        <is>
          <t>1400/8011/86/IT140/0002321403 (890) (Net</t>
        </is>
      </c>
      <c r="T7" t="inlineStr">
        <is>
          <t>DIGITAL AND TECHNOLOGY</t>
        </is>
      </c>
      <c r="U7" t="inlineStr">
        <is>
          <t>CTIES</t>
        </is>
      </c>
      <c r="V7" t="inlineStr">
        <is>
          <t>ERP</t>
        </is>
      </c>
      <c r="W7" t="inlineStr">
        <is>
          <t>DIGITAL OPERATIONS AND COMMAND CENTER</t>
        </is>
      </c>
      <c r="X7" t="inlineStr">
        <is>
          <t>ERP SUPPORT SERVICES - US</t>
        </is>
      </c>
      <c r="Y7" t="n">
        <v>890</v>
      </c>
      <c r="Z7" t="n">
        <v>901</v>
      </c>
      <c r="AA7" t="inlineStr">
        <is>
          <t>Computing/Software</t>
        </is>
      </c>
      <c r="AB7" t="inlineStr">
        <is>
          <t>Software</t>
        </is>
      </c>
      <c r="AC7" t="n">
        <v>61010000</v>
      </c>
      <c r="AD7" t="n">
        <v>86</v>
      </c>
      <c r="AE7" t="n">
        <v>8011</v>
      </c>
      <c r="AF7" t="n">
        <v>10</v>
      </c>
      <c r="AG7" t="inlineStr">
        <is>
          <t>ZY</t>
        </is>
      </c>
      <c r="AH7" t="n">
        <v>1400</v>
      </c>
      <c r="AI7" t="inlineStr">
        <is>
          <t>United States</t>
        </is>
      </c>
      <c r="AJ7" t="inlineStr">
        <is>
          <t>AMER</t>
        </is>
      </c>
      <c r="AK7" t="inlineStr">
        <is>
          <t>IT-SFT0159-86-OG-US</t>
        </is>
      </c>
      <c r="AL7" t="inlineStr">
        <is>
          <t>Oracle</t>
        </is>
      </c>
      <c r="AM7" t="inlineStr">
        <is>
          <t>AC12-E1 ORACLE HOSTING AND MAINTENANCE-OCI</t>
        </is>
      </c>
      <c r="AN7" t="inlineStr">
        <is>
          <t>E1; 2026 Pullforward</t>
        </is>
      </c>
      <c r="AO7" t="n">
        <v>2100082275271</v>
      </c>
      <c r="AP7" t="inlineStr">
        <is>
          <t>AP12 2025WDAC 2</t>
        </is>
      </c>
      <c r="AQ7" t="inlineStr">
        <is>
          <t>USD</t>
        </is>
      </c>
      <c r="AR7" t="inlineStr">
        <is>
          <t>US Dollar</t>
        </is>
      </c>
      <c r="AS7" t="inlineStr">
        <is>
          <t>USD</t>
        </is>
      </c>
      <c r="AT7" t="n">
        <v>-146492.83</v>
      </c>
      <c r="AU7" t="n">
        <v>-146492.83</v>
      </c>
      <c r="AV7" t="n">
        <v>-146492.83</v>
      </c>
      <c r="AW7" t="n">
        <v>-146492.83</v>
      </c>
      <c r="AX7" t="n">
        <v>-146492.83</v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</row>
    <row r="8">
      <c r="A8" t="inlineStr">
        <is>
          <t>9501166164</t>
        </is>
      </c>
      <c r="B8" t="n">
        <v>202601</v>
      </c>
      <c r="C8" t="n">
        <v>2100082339</v>
      </c>
      <c r="D8" t="inlineStr">
        <is>
          <t>Not assigned</t>
        </is>
      </c>
      <c r="E8" t="inlineStr">
        <is>
          <t>IT-FBT0281-OG-US-00</t>
        </is>
      </c>
      <c r="F8" s="138" t="n">
        <v>46048</v>
      </c>
      <c r="G8" s="138" t="n">
        <v>46037</v>
      </c>
      <c r="H8" t="inlineStr">
        <is>
          <t>PO - 9501166164 - IBM CORP</t>
        </is>
      </c>
      <c r="I8" t="n">
        <v>1</v>
      </c>
      <c r="J8" t="n">
        <v/>
      </c>
      <c r="L8" t="n">
        <v>2026</v>
      </c>
      <c r="M8" s="138" t="n">
        <v>46023</v>
      </c>
      <c r="N8" t="inlineStr">
        <is>
          <t>DIGITAL</t>
        </is>
      </c>
      <c r="O8" t="inlineStr">
        <is>
          <t>IT140</t>
        </is>
      </c>
      <c r="P8" t="n">
        <v>2321403</v>
      </c>
      <c r="Q8" t="inlineStr">
        <is>
          <t>Maguire, Karla</t>
        </is>
      </c>
      <c r="R8" t="inlineStr">
        <is>
          <t>Tamavada, Ram</t>
        </is>
      </c>
      <c r="S8" t="inlineStr">
        <is>
          <t>1400/8011/86/IT140/0002321403 (890) (Net</t>
        </is>
      </c>
      <c r="T8" t="inlineStr">
        <is>
          <t>DIGITAL AND TECHNOLOGY</t>
        </is>
      </c>
      <c r="U8" t="inlineStr">
        <is>
          <t>CTIES</t>
        </is>
      </c>
      <c r="V8" t="inlineStr">
        <is>
          <t>ERP</t>
        </is>
      </c>
      <c r="W8" t="inlineStr">
        <is>
          <t>DIGITAL OPERATIONS AND COMMAND CENTER</t>
        </is>
      </c>
      <c r="X8" t="inlineStr">
        <is>
          <t>ERP SUPPORT SERVICES - US</t>
        </is>
      </c>
      <c r="Y8" t="n">
        <v>890</v>
      </c>
      <c r="Z8" t="n">
        <v>923</v>
      </c>
      <c r="AA8" t="inlineStr">
        <is>
          <t>Managed Services</t>
        </is>
      </c>
      <c r="AB8" t="inlineStr">
        <is>
          <t>Managed Services</t>
        </is>
      </c>
      <c r="AC8" t="n">
        <v>41500000</v>
      </c>
      <c r="AD8" t="n">
        <v>86</v>
      </c>
      <c r="AE8" t="n">
        <v>8011</v>
      </c>
      <c r="AF8" t="n">
        <v>10</v>
      </c>
      <c r="AG8" t="inlineStr">
        <is>
          <t>ZY</t>
        </is>
      </c>
      <c r="AH8" t="n">
        <v>1400</v>
      </c>
      <c r="AI8" t="inlineStr">
        <is>
          <t>United States</t>
        </is>
      </c>
      <c r="AJ8" t="inlineStr">
        <is>
          <t>AMER</t>
        </is>
      </c>
      <c r="AK8" t="inlineStr">
        <is>
          <t>IT-FBT0281-OG-US-00</t>
        </is>
      </c>
      <c r="AL8" t="inlineStr">
        <is>
          <t>ERP IBM BTAMS</t>
        </is>
      </c>
      <c r="AM8" t="inlineStr">
        <is>
          <t>PO - 9501166164 - IBM CORP</t>
        </is>
      </c>
      <c r="AN8" t="inlineStr">
        <is>
          <t>BTAMS</t>
        </is>
      </c>
      <c r="AO8" t="n">
        <v>210008233935</v>
      </c>
      <c r="AP8" t="inlineStr">
        <is>
          <t>2WM</t>
        </is>
      </c>
      <c r="AQ8" t="inlineStr">
        <is>
          <t>USD</t>
        </is>
      </c>
      <c r="AR8" t="inlineStr">
        <is>
          <t>US Dollar</t>
        </is>
      </c>
      <c r="AS8" t="inlineStr">
        <is>
          <t>USD</t>
        </is>
      </c>
      <c r="AT8" t="n">
        <v>319478.03</v>
      </c>
      <c r="AU8" t="n">
        <v>319478.03</v>
      </c>
      <c r="AV8" t="n">
        <v>319478.03</v>
      </c>
      <c r="AW8" t="n">
        <v>319478.03</v>
      </c>
      <c r="AX8" t="n">
        <v>319478.03</v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</row>
    <row r="9">
      <c r="A9" t="inlineStr">
        <is>
          <t>9501166164</t>
        </is>
      </c>
      <c r="B9" t="n">
        <v>202601</v>
      </c>
      <c r="C9" t="n">
        <v>2100082364</v>
      </c>
      <c r="D9" t="inlineStr">
        <is>
          <t>Not assigned</t>
        </is>
      </c>
      <c r="E9" t="inlineStr">
        <is>
          <t>IT-FBT0281-OG-US-00</t>
        </is>
      </c>
      <c r="F9" s="138" t="n">
        <v>46049</v>
      </c>
      <c r="G9" s="138" t="n">
        <v>46037</v>
      </c>
      <c r="H9" t="inlineStr">
        <is>
          <t>PO- 9501166164 - IBM CORP</t>
        </is>
      </c>
      <c r="I9" t="n">
        <v>1</v>
      </c>
      <c r="J9" t="n">
        <v/>
      </c>
      <c r="L9" t="n">
        <v>2026</v>
      </c>
      <c r="M9" s="138" t="n">
        <v>46023</v>
      </c>
      <c r="N9" t="inlineStr">
        <is>
          <t>DIGITAL</t>
        </is>
      </c>
      <c r="O9" t="inlineStr">
        <is>
          <t>IT140</t>
        </is>
      </c>
      <c r="P9" t="n">
        <v>2321403</v>
      </c>
      <c r="Q9" t="inlineStr">
        <is>
          <t>Maguire, Karla</t>
        </is>
      </c>
      <c r="R9" t="inlineStr">
        <is>
          <t>Tamavada, Ram</t>
        </is>
      </c>
      <c r="S9" t="inlineStr">
        <is>
          <t>1400/8011/86/IT140/0002321403 (890) (Net</t>
        </is>
      </c>
      <c r="T9" t="inlineStr">
        <is>
          <t>DIGITAL AND TECHNOLOGY</t>
        </is>
      </c>
      <c r="U9" t="inlineStr">
        <is>
          <t>CTIES</t>
        </is>
      </c>
      <c r="V9" t="inlineStr">
        <is>
          <t>ERP</t>
        </is>
      </c>
      <c r="W9" t="inlineStr">
        <is>
          <t>DIGITAL OPERATIONS AND COMMAND CENTER</t>
        </is>
      </c>
      <c r="X9" t="inlineStr">
        <is>
          <t>ERP SUPPORT SERVICES - US</t>
        </is>
      </c>
      <c r="Y9" t="n">
        <v>890</v>
      </c>
      <c r="Z9" t="n">
        <v>923</v>
      </c>
      <c r="AA9" t="inlineStr">
        <is>
          <t>Managed Services</t>
        </is>
      </c>
      <c r="AB9" t="inlineStr">
        <is>
          <t>Managed Services</t>
        </is>
      </c>
      <c r="AC9" t="n">
        <v>41500000</v>
      </c>
      <c r="AD9" t="n">
        <v>86</v>
      </c>
      <c r="AE9" t="n">
        <v>8011</v>
      </c>
      <c r="AF9" t="n">
        <v>10</v>
      </c>
      <c r="AG9" t="inlineStr">
        <is>
          <t>ZY</t>
        </is>
      </c>
      <c r="AH9" t="n">
        <v>1400</v>
      </c>
      <c r="AI9" t="inlineStr">
        <is>
          <t>United States</t>
        </is>
      </c>
      <c r="AJ9" t="inlineStr">
        <is>
          <t>AMER</t>
        </is>
      </c>
      <c r="AK9" t="inlineStr">
        <is>
          <t>IT-FBT0281-OG-US-00</t>
        </is>
      </c>
      <c r="AL9" t="inlineStr">
        <is>
          <t>ERP IBM BTAMS</t>
        </is>
      </c>
      <c r="AM9" t="inlineStr">
        <is>
          <t>PO- 9501166164 - IBM CORP</t>
        </is>
      </c>
      <c r="AN9" t="inlineStr">
        <is>
          <t>BTAMS</t>
        </is>
      </c>
      <c r="AO9" t="n">
        <v>210008236451</v>
      </c>
      <c r="AP9" t="inlineStr">
        <is>
          <t>2WM ADJ</t>
        </is>
      </c>
      <c r="AQ9" t="inlineStr">
        <is>
          <t>USD</t>
        </is>
      </c>
      <c r="AR9" t="inlineStr">
        <is>
          <t>US Dollar</t>
        </is>
      </c>
      <c r="AS9" t="inlineStr">
        <is>
          <t>USD</t>
        </is>
      </c>
      <c r="AT9" t="n">
        <v>68155.31</v>
      </c>
      <c r="AU9" t="n">
        <v>68155.31</v>
      </c>
      <c r="AV9" t="n">
        <v>68155.31</v>
      </c>
      <c r="AW9" t="n">
        <v>68155.31</v>
      </c>
      <c r="AX9" t="n">
        <v>68155.31</v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</row>
    <row r="10">
      <c r="A10" t="inlineStr">
        <is>
          <t>9501158806</t>
        </is>
      </c>
      <c r="B10" t="n">
        <v>202601</v>
      </c>
      <c r="C10" t="n">
        <v>2100082346</v>
      </c>
      <c r="D10" t="inlineStr">
        <is>
          <t>Not assigned</t>
        </is>
      </c>
      <c r="E10" t="inlineStr">
        <is>
          <t>IT-FBT0700-OG-US-00</t>
        </is>
      </c>
      <c r="F10" s="138" t="n">
        <v>46048</v>
      </c>
      <c r="G10" s="138" t="n">
        <v>46037</v>
      </c>
      <c r="H10" t="inlineStr">
        <is>
          <t>PO - 9501158806 - IBM CORP</t>
        </is>
      </c>
      <c r="I10" t="n">
        <v>1</v>
      </c>
      <c r="J10" t="n">
        <v/>
      </c>
      <c r="L10" t="n">
        <v>2026</v>
      </c>
      <c r="M10" s="138" t="n">
        <v>46023</v>
      </c>
      <c r="N10" t="inlineStr">
        <is>
          <t>DIGITAL</t>
        </is>
      </c>
      <c r="O10" t="inlineStr">
        <is>
          <t>IT140</t>
        </is>
      </c>
      <c r="P10" t="n">
        <v>2321403</v>
      </c>
      <c r="Q10" t="inlineStr">
        <is>
          <t>Maguire, Karla</t>
        </is>
      </c>
      <c r="R10" t="inlineStr">
        <is>
          <t>Tamavada, Ram</t>
        </is>
      </c>
      <c r="S10" t="inlineStr">
        <is>
          <t>1400/8011/86/IT140/0002321403 (890) (Net</t>
        </is>
      </c>
      <c r="T10" t="inlineStr">
        <is>
          <t>DIGITAL AND TECHNOLOGY</t>
        </is>
      </c>
      <c r="U10" t="inlineStr">
        <is>
          <t>CTIES</t>
        </is>
      </c>
      <c r="V10" t="inlineStr">
        <is>
          <t>ERP</t>
        </is>
      </c>
      <c r="W10" t="inlineStr">
        <is>
          <t>DIGITAL OPERATIONS AND COMMAND CENTER</t>
        </is>
      </c>
      <c r="X10" t="inlineStr">
        <is>
          <t>ERP SUPPORT SERVICES - US</t>
        </is>
      </c>
      <c r="Y10" t="n">
        <v>890</v>
      </c>
      <c r="Z10" t="n">
        <v>923</v>
      </c>
      <c r="AA10" t="inlineStr">
        <is>
          <t>Managed Services</t>
        </is>
      </c>
      <c r="AB10" t="inlineStr">
        <is>
          <t>Managed Services</t>
        </is>
      </c>
      <c r="AC10" t="n">
        <v>41500000</v>
      </c>
      <c r="AD10" t="n">
        <v>86</v>
      </c>
      <c r="AE10" t="n">
        <v>8011</v>
      </c>
      <c r="AF10" t="n">
        <v>10</v>
      </c>
      <c r="AG10" t="inlineStr">
        <is>
          <t>ZY</t>
        </is>
      </c>
      <c r="AH10" t="n">
        <v>1400</v>
      </c>
      <c r="AI10" t="inlineStr">
        <is>
          <t>United States</t>
        </is>
      </c>
      <c r="AJ10" t="inlineStr">
        <is>
          <t>AMER</t>
        </is>
      </c>
      <c r="AK10" t="inlineStr">
        <is>
          <t>IT-FBT0700-OG-US-00</t>
        </is>
      </c>
      <c r="AL10" t="inlineStr">
        <is>
          <t>Celonis Software BTA</t>
        </is>
      </c>
      <c r="AM10" t="inlineStr">
        <is>
          <t>PO - 9501158806 - IBM CORP</t>
        </is>
      </c>
      <c r="AN10" t="inlineStr">
        <is>
          <t>BTAMS</t>
        </is>
      </c>
      <c r="AO10" t="n">
        <v>210008234672</v>
      </c>
      <c r="AP10" t="inlineStr">
        <is>
          <t>2WM</t>
        </is>
      </c>
      <c r="AQ10" t="inlineStr">
        <is>
          <t>USD</t>
        </is>
      </c>
      <c r="AR10" t="inlineStr">
        <is>
          <t>US Dollar</t>
        </is>
      </c>
      <c r="AS10" t="inlineStr">
        <is>
          <t>USD</t>
        </is>
      </c>
      <c r="AT10" t="n">
        <v>25838</v>
      </c>
      <c r="AU10" t="n">
        <v>25838</v>
      </c>
      <c r="AV10" t="n">
        <v>25838</v>
      </c>
      <c r="AW10" t="n">
        <v>25838</v>
      </c>
      <c r="AX10" t="n">
        <v>25838</v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</row>
    <row r="11">
      <c r="A11" t="inlineStr">
        <is>
          <t>9501133449</t>
        </is>
      </c>
      <c r="B11" t="n">
        <v>202602</v>
      </c>
      <c r="C11" t="n">
        <v>5100106322</v>
      </c>
      <c r="D11" t="inlineStr">
        <is>
          <t>INFOSYS LTD</t>
        </is>
      </c>
      <c r="E11" t="inlineStr">
        <is>
          <t>IT-FBT0393-OG-JP-00</t>
        </is>
      </c>
      <c r="F11" s="138" t="n">
        <v>46017</v>
      </c>
      <c r="G11" s="138" t="n">
        <v>46029</v>
      </c>
      <c r="H11" t="inlineStr">
        <is>
          <t>SAP FICO L2 SUPPORT 2026H1</t>
        </is>
      </c>
      <c r="I11" t="n">
        <v>2</v>
      </c>
      <c r="J11" t="n">
        <v>10656.33</v>
      </c>
      <c r="K11" t="inlineStr">
        <is>
          <t>Actual</t>
        </is>
      </c>
      <c r="L11" t="n">
        <v>2026</v>
      </c>
      <c r="M11" s="138" t="n">
        <v>46054</v>
      </c>
      <c r="N11" t="inlineStr">
        <is>
          <t>DIGITAL</t>
        </is>
      </c>
      <c r="O11" t="inlineStr">
        <is>
          <t>IT110</t>
        </is>
      </c>
      <c r="P11" t="n">
        <v>2430238</v>
      </c>
      <c r="Q11" t="inlineStr">
        <is>
          <t>Maguire, Karla</t>
        </is>
      </c>
      <c r="R11" t="inlineStr">
        <is>
          <t>Tamavada, Ram</t>
        </is>
      </c>
      <c r="S11" t="inlineStr">
        <is>
          <t>3840/8617/86/IT110/2430238</t>
        </is>
      </c>
      <c r="T11" t="inlineStr">
        <is>
          <t>DIGITAL AND TECHNOLOGY</t>
        </is>
      </c>
      <c r="U11" t="inlineStr">
        <is>
          <t>CTIES</t>
        </is>
      </c>
      <c r="V11" t="inlineStr">
        <is>
          <t>ERP</t>
        </is>
      </c>
      <c r="W11" t="inlineStr">
        <is>
          <t>DIGITAL OPERATIONS AND COMMAND CENTER</t>
        </is>
      </c>
      <c r="X11" t="inlineStr">
        <is>
          <t>ERP SUPPORT SERVICES - JP</t>
        </is>
      </c>
      <c r="Y11" t="n">
        <v>890</v>
      </c>
      <c r="Z11" t="n">
        <v>923</v>
      </c>
      <c r="AA11" t="inlineStr">
        <is>
          <t>Managed Services</t>
        </is>
      </c>
      <c r="AB11" t="inlineStr">
        <is>
          <t>Managed Services</t>
        </is>
      </c>
      <c r="AC11" t="n">
        <v>41500000</v>
      </c>
      <c r="AD11" t="n">
        <v>86</v>
      </c>
      <c r="AE11" t="n">
        <v>8617</v>
      </c>
      <c r="AF11" t="n">
        <v>10</v>
      </c>
      <c r="AG11" t="inlineStr">
        <is>
          <t>RE</t>
        </is>
      </c>
      <c r="AH11" t="n">
        <v>3840</v>
      </c>
      <c r="AI11" t="inlineStr">
        <is>
          <t>Japan</t>
        </is>
      </c>
      <c r="AJ11" t="inlineStr">
        <is>
          <t>Not assigned</t>
        </is>
      </c>
      <c r="AK11" t="inlineStr">
        <is>
          <t>IT-FBT0393-OG-JP-00</t>
        </is>
      </c>
      <c r="AL11" t="inlineStr">
        <is>
          <t>Japan BT Support</t>
        </is>
      </c>
      <c r="AM11" t="inlineStr">
        <is>
          <t>SAP FICO L2 SUPPORT 2026H1</t>
        </is>
      </c>
      <c r="AN11" t="inlineStr">
        <is>
          <t>Japan</t>
        </is>
      </c>
      <c r="AO11" t="n">
        <v>51001063222</v>
      </c>
      <c r="AP11" t="n">
        <v>6100259532</v>
      </c>
      <c r="AQ11" t="inlineStr">
        <is>
          <t>USD</t>
        </is>
      </c>
      <c r="AR11" t="inlineStr">
        <is>
          <t>Yen</t>
        </is>
      </c>
      <c r="AS11" t="inlineStr">
        <is>
          <t>JPY</t>
        </is>
      </c>
      <c r="AT11" t="n">
        <v>10169.03</v>
      </c>
      <c r="AU11" t="n">
        <v>1602936</v>
      </c>
      <c r="AV11" t="n">
        <v>10656.33</v>
      </c>
      <c r="AW11" t="n">
        <v>1602936</v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</row>
    <row r="12">
      <c r="A12" t="inlineStr">
        <is>
          <t>9501133442</t>
        </is>
      </c>
      <c r="B12" t="n">
        <v>202602</v>
      </c>
      <c r="C12" t="n">
        <v>5100106352</v>
      </c>
      <c r="D12" t="inlineStr">
        <is>
          <t>テノン･システムコンサルティング株式会社</t>
        </is>
      </c>
      <c r="E12" t="inlineStr">
        <is>
          <t>IT-FBT0638-OG-JP-00</t>
        </is>
      </c>
      <c r="F12" s="138" t="n">
        <v>46022</v>
      </c>
      <c r="G12" s="138" t="n">
        <v>46030</v>
      </c>
      <c r="H12" t="inlineStr">
        <is>
          <t>FINANCE SYSTEM SUPPORT 2025.12.01-2026.1</t>
        </is>
      </c>
      <c r="I12" t="n">
        <v>2</v>
      </c>
      <c r="J12" t="n">
        <v>10636.8</v>
      </c>
      <c r="K12" t="inlineStr">
        <is>
          <t>Actual</t>
        </is>
      </c>
      <c r="L12" t="n">
        <v>2026</v>
      </c>
      <c r="M12" s="138" t="n">
        <v>46054</v>
      </c>
      <c r="N12" t="inlineStr">
        <is>
          <t>DIGITAL</t>
        </is>
      </c>
      <c r="O12" t="inlineStr">
        <is>
          <t>IT110</t>
        </is>
      </c>
      <c r="P12" t="n">
        <v>2430238</v>
      </c>
      <c r="Q12" t="inlineStr">
        <is>
          <t>Maguire, Karla</t>
        </is>
      </c>
      <c r="R12" t="inlineStr">
        <is>
          <t>Tamavada, Ram</t>
        </is>
      </c>
      <c r="S12" t="inlineStr">
        <is>
          <t>3840/8617/86/IT110/2430238</t>
        </is>
      </c>
      <c r="T12" t="inlineStr">
        <is>
          <t>DIGITAL AND TECHNOLOGY</t>
        </is>
      </c>
      <c r="U12" t="inlineStr">
        <is>
          <t>CTIES</t>
        </is>
      </c>
      <c r="V12" t="inlineStr">
        <is>
          <t>ERP</t>
        </is>
      </c>
      <c r="W12" t="inlineStr">
        <is>
          <t>DIGITAL OPERATIONS AND COMMAND CENTER</t>
        </is>
      </c>
      <c r="X12" t="inlineStr">
        <is>
          <t>ERP SUPPORT SERVICES - JP</t>
        </is>
      </c>
      <c r="Y12" t="n">
        <v>890</v>
      </c>
      <c r="Z12" t="n">
        <v>923</v>
      </c>
      <c r="AA12" t="inlineStr">
        <is>
          <t>Managed Services</t>
        </is>
      </c>
      <c r="AB12" t="inlineStr">
        <is>
          <t>Managed Services</t>
        </is>
      </c>
      <c r="AC12" t="n">
        <v>41500000</v>
      </c>
      <c r="AD12" t="n">
        <v>86</v>
      </c>
      <c r="AE12" t="n">
        <v>8617</v>
      </c>
      <c r="AF12" t="n">
        <v>10</v>
      </c>
      <c r="AG12" t="inlineStr">
        <is>
          <t>RE</t>
        </is>
      </c>
      <c r="AH12" t="n">
        <v>3840</v>
      </c>
      <c r="AI12" t="inlineStr">
        <is>
          <t>Japan</t>
        </is>
      </c>
      <c r="AJ12" t="inlineStr">
        <is>
          <t>Not assigned</t>
        </is>
      </c>
      <c r="AK12" t="inlineStr">
        <is>
          <t>IT-FBT0638-OG-JP-00</t>
        </is>
      </c>
      <c r="AL12" t="inlineStr">
        <is>
          <t>Japan L1/L2 FINANCE</t>
        </is>
      </c>
      <c r="AM12" t="inlineStr">
        <is>
          <t>FINANCE SYSTEM SUPPORT 2025.12.01-2026.1</t>
        </is>
      </c>
      <c r="AN12" t="inlineStr">
        <is>
          <t>Japan</t>
        </is>
      </c>
      <c r="AO12" t="n">
        <v>51001063522</v>
      </c>
      <c r="AP12" t="n">
        <v>4025628022</v>
      </c>
      <c r="AQ12" t="inlineStr">
        <is>
          <t>USD</t>
        </is>
      </c>
      <c r="AR12" t="inlineStr">
        <is>
          <t>Yen</t>
        </is>
      </c>
      <c r="AS12" t="inlineStr">
        <is>
          <t>JPY</t>
        </is>
      </c>
      <c r="AT12" t="n">
        <v>10150.4</v>
      </c>
      <c r="AU12" t="n">
        <v>1600000</v>
      </c>
      <c r="AV12" t="n">
        <v>10636.8</v>
      </c>
      <c r="AW12" t="n">
        <v>1600000</v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</row>
    <row r="13">
      <c r="A13" t="inlineStr">
        <is>
          <t>9501133449</t>
        </is>
      </c>
      <c r="B13" t="n">
        <v>202602</v>
      </c>
      <c r="C13" t="n">
        <v>2100005605</v>
      </c>
      <c r="D13" t="inlineStr">
        <is>
          <t>Not assigned</t>
        </is>
      </c>
      <c r="E13" t="inlineStr">
        <is>
          <t>IT-FBT0393-OG-JP-00</t>
        </is>
      </c>
      <c r="F13" s="138" t="n">
        <v>46023</v>
      </c>
      <c r="G13" s="138" t="n">
        <v>46030</v>
      </c>
      <c r="H13" t="inlineStr">
        <is>
          <t>9501133449_1_SAP FICO L2 SUPPORT 2026H1</t>
        </is>
      </c>
      <c r="I13" t="n">
        <v>2</v>
      </c>
      <c r="J13" t="n">
        <v>-11347.01</v>
      </c>
      <c r="K13" t="inlineStr">
        <is>
          <t>Reversal</t>
        </is>
      </c>
      <c r="L13" t="n">
        <v>2026</v>
      </c>
      <c r="M13" s="138" t="n">
        <v>46054</v>
      </c>
      <c r="N13" t="inlineStr">
        <is>
          <t>DIGITAL</t>
        </is>
      </c>
      <c r="O13" t="inlineStr">
        <is>
          <t>IT110</t>
        </is>
      </c>
      <c r="P13" t="n">
        <v>2430238</v>
      </c>
      <c r="Q13" t="inlineStr">
        <is>
          <t>Maguire, Karla</t>
        </is>
      </c>
      <c r="R13" t="inlineStr">
        <is>
          <t>Tamavada, Ram</t>
        </is>
      </c>
      <c r="S13" t="inlineStr">
        <is>
          <t>3840/8617/86/IT110/2430238</t>
        </is>
      </c>
      <c r="T13" t="inlineStr">
        <is>
          <t>DIGITAL AND TECHNOLOGY</t>
        </is>
      </c>
      <c r="U13" t="inlineStr">
        <is>
          <t>CTIES</t>
        </is>
      </c>
      <c r="V13" t="inlineStr">
        <is>
          <t>ERP</t>
        </is>
      </c>
      <c r="W13" t="inlineStr">
        <is>
          <t>DIGITAL OPERATIONS AND COMMAND CENTER</t>
        </is>
      </c>
      <c r="X13" t="inlineStr">
        <is>
          <t>ERP SUPPORT SERVICES - JP</t>
        </is>
      </c>
      <c r="Y13" t="n">
        <v>890</v>
      </c>
      <c r="Z13" t="n">
        <v>923</v>
      </c>
      <c r="AA13" t="inlineStr">
        <is>
          <t>Managed Services</t>
        </is>
      </c>
      <c r="AB13" t="inlineStr">
        <is>
          <t>Managed Services</t>
        </is>
      </c>
      <c r="AC13" t="n">
        <v>41500000</v>
      </c>
      <c r="AD13" t="n">
        <v>86</v>
      </c>
      <c r="AE13" t="n">
        <v>8617</v>
      </c>
      <c r="AF13" t="n">
        <v>10</v>
      </c>
      <c r="AG13" t="inlineStr">
        <is>
          <t>ZY</t>
        </is>
      </c>
      <c r="AH13" t="n">
        <v>3840</v>
      </c>
      <c r="AI13" t="inlineStr">
        <is>
          <t>Japan</t>
        </is>
      </c>
      <c r="AJ13" t="inlineStr">
        <is>
          <t>Not assigned</t>
        </is>
      </c>
      <c r="AK13" t="inlineStr">
        <is>
          <t>IT-FBT0393-OG-JP-00</t>
        </is>
      </c>
      <c r="AL13" t="inlineStr">
        <is>
          <t>Japan BT Support</t>
        </is>
      </c>
      <c r="AM13" t="inlineStr">
        <is>
          <t>9501133449_1_SAP FICO L2 SUPPORT 2026H1</t>
        </is>
      </c>
      <c r="AN13" t="inlineStr">
        <is>
          <t>Japan</t>
        </is>
      </c>
      <c r="AO13" t="n">
        <v>210000560541</v>
      </c>
      <c r="AP13" t="inlineStr">
        <is>
          <t>GL_PO ACCRUAL</t>
        </is>
      </c>
      <c r="AQ13" t="inlineStr">
        <is>
          <t>USD</t>
        </is>
      </c>
      <c r="AR13" t="inlineStr">
        <is>
          <t>Yen</t>
        </is>
      </c>
      <c r="AS13" t="inlineStr">
        <is>
          <t>JPY</t>
        </is>
      </c>
      <c r="AT13" t="n">
        <v>-10828.13</v>
      </c>
      <c r="AU13" t="n">
        <v>-1706830</v>
      </c>
      <c r="AV13" t="n">
        <v>-11347.01</v>
      </c>
      <c r="AW13" t="n">
        <v>-1706830</v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</row>
    <row r="14">
      <c r="A14" t="inlineStr">
        <is>
          <t>9501133449</t>
        </is>
      </c>
      <c r="B14" t="n">
        <v>202602</v>
      </c>
      <c r="C14" t="n">
        <v>2100005613</v>
      </c>
      <c r="D14" t="inlineStr">
        <is>
          <t>Not assigned</t>
        </is>
      </c>
      <c r="E14" t="inlineStr">
        <is>
          <t>IT-FBT0393-OG-JP-00</t>
        </is>
      </c>
      <c r="F14" s="138" t="n">
        <v>46047</v>
      </c>
      <c r="G14" s="138" t="n">
        <v>46045</v>
      </c>
      <c r="H14" t="inlineStr">
        <is>
          <t>9501133449_1_SAP FICO L2 SUPPORT 2026H1</t>
        </is>
      </c>
      <c r="I14" t="n">
        <v>2</v>
      </c>
      <c r="J14" t="n">
        <v>10146.52</v>
      </c>
      <c r="K14" t="inlineStr">
        <is>
          <t>Accrual</t>
        </is>
      </c>
      <c r="L14" t="n">
        <v>2026</v>
      </c>
      <c r="M14" s="138" t="n">
        <v>46054</v>
      </c>
      <c r="N14" t="inlineStr">
        <is>
          <t>DIGITAL</t>
        </is>
      </c>
      <c r="O14" t="inlineStr">
        <is>
          <t>IT110</t>
        </is>
      </c>
      <c r="P14" t="n">
        <v>2430238</v>
      </c>
      <c r="Q14" t="inlineStr">
        <is>
          <t>Maguire, Karla</t>
        </is>
      </c>
      <c r="R14" t="inlineStr">
        <is>
          <t>Tamavada, Ram</t>
        </is>
      </c>
      <c r="S14" t="inlineStr">
        <is>
          <t>3840/8617/86/IT110/2430238</t>
        </is>
      </c>
      <c r="T14" t="inlineStr">
        <is>
          <t>DIGITAL AND TECHNOLOGY</t>
        </is>
      </c>
      <c r="U14" t="inlineStr">
        <is>
          <t>CTIES</t>
        </is>
      </c>
      <c r="V14" t="inlineStr">
        <is>
          <t>ERP</t>
        </is>
      </c>
      <c r="W14" t="inlineStr">
        <is>
          <t>DIGITAL OPERATIONS AND COMMAND CENTER</t>
        </is>
      </c>
      <c r="X14" t="inlineStr">
        <is>
          <t>ERP SUPPORT SERVICES - JP</t>
        </is>
      </c>
      <c r="Y14" t="n">
        <v>890</v>
      </c>
      <c r="Z14" t="n">
        <v>923</v>
      </c>
      <c r="AA14" t="inlineStr">
        <is>
          <t>Managed Services</t>
        </is>
      </c>
      <c r="AB14" t="inlineStr">
        <is>
          <t>Managed Services</t>
        </is>
      </c>
      <c r="AC14" t="n">
        <v>41500000</v>
      </c>
      <c r="AD14" t="n">
        <v>86</v>
      </c>
      <c r="AE14" t="n">
        <v>8617</v>
      </c>
      <c r="AF14" t="n">
        <v>10</v>
      </c>
      <c r="AG14" t="inlineStr">
        <is>
          <t>ZY</t>
        </is>
      </c>
      <c r="AH14" t="n">
        <v>3840</v>
      </c>
      <c r="AI14" t="inlineStr">
        <is>
          <t>Japan</t>
        </is>
      </c>
      <c r="AJ14" t="inlineStr">
        <is>
          <t>Not assigned</t>
        </is>
      </c>
      <c r="AK14" t="inlineStr">
        <is>
          <t>IT-FBT0393-OG-JP-00</t>
        </is>
      </c>
      <c r="AL14" t="inlineStr">
        <is>
          <t>Japan BT Support</t>
        </is>
      </c>
      <c r="AM14" t="inlineStr">
        <is>
          <t>9501133449_1_SAP FICO L2 SUPPORT 2026H1</t>
        </is>
      </c>
      <c r="AN14" t="inlineStr">
        <is>
          <t>Japan</t>
        </is>
      </c>
      <c r="AO14" t="n">
        <v>210000561344</v>
      </c>
      <c r="AP14" t="inlineStr">
        <is>
          <t>GL_PO ACCRUAL</t>
        </is>
      </c>
      <c r="AQ14" t="inlineStr">
        <is>
          <t>USD</t>
        </is>
      </c>
      <c r="AR14" t="inlineStr">
        <is>
          <t>Yen</t>
        </is>
      </c>
      <c r="AS14" t="inlineStr">
        <is>
          <t>JPY</t>
        </is>
      </c>
      <c r="AT14" t="n">
        <v>9682.540000000001</v>
      </c>
      <c r="AU14" t="n">
        <v>1526252</v>
      </c>
      <c r="AV14" t="n">
        <v>10146.52</v>
      </c>
      <c r="AW14" t="n">
        <v>1526252</v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</row>
    <row r="15">
      <c r="A15" t="inlineStr">
        <is>
          <t>9501133442</t>
        </is>
      </c>
      <c r="B15" t="n">
        <v>202602</v>
      </c>
      <c r="C15" t="n">
        <v>2100005605</v>
      </c>
      <c r="D15" t="inlineStr">
        <is>
          <t>Not assigned</t>
        </is>
      </c>
      <c r="E15" t="inlineStr">
        <is>
          <t>IT-FBT0638-OG-JP-00</t>
        </is>
      </c>
      <c r="F15" s="138" t="n">
        <v>46023</v>
      </c>
      <c r="G15" s="138" t="n">
        <v>46030</v>
      </c>
      <c r="H15" t="inlineStr">
        <is>
          <t>9501133442_1_FINANCE SYSTEM SUPPORT 2025.12.01-202</t>
        </is>
      </c>
      <c r="I15" t="n">
        <v>2</v>
      </c>
      <c r="J15" t="n">
        <v>-10548.89</v>
      </c>
      <c r="K15" t="inlineStr">
        <is>
          <t>Reversal</t>
        </is>
      </c>
      <c r="L15" t="n">
        <v>2026</v>
      </c>
      <c r="M15" s="138" t="n">
        <v>46054</v>
      </c>
      <c r="N15" t="inlineStr">
        <is>
          <t>DIGITAL</t>
        </is>
      </c>
      <c r="O15" t="inlineStr">
        <is>
          <t>IT110</t>
        </is>
      </c>
      <c r="P15" t="n">
        <v>2430238</v>
      </c>
      <c r="Q15" t="inlineStr">
        <is>
          <t>Maguire, Karla</t>
        </is>
      </c>
      <c r="R15" t="inlineStr">
        <is>
          <t>Tamavada, Ram</t>
        </is>
      </c>
      <c r="S15" t="inlineStr">
        <is>
          <t>3840/8617/86/IT110/2430238</t>
        </is>
      </c>
      <c r="T15" t="inlineStr">
        <is>
          <t>DIGITAL AND TECHNOLOGY</t>
        </is>
      </c>
      <c r="U15" t="inlineStr">
        <is>
          <t>CTIES</t>
        </is>
      </c>
      <c r="V15" t="inlineStr">
        <is>
          <t>ERP</t>
        </is>
      </c>
      <c r="W15" t="inlineStr">
        <is>
          <t>DIGITAL OPERATIONS AND COMMAND CENTER</t>
        </is>
      </c>
      <c r="X15" t="inlineStr">
        <is>
          <t>ERP SUPPORT SERVICES - JP</t>
        </is>
      </c>
      <c r="Y15" t="n">
        <v>890</v>
      </c>
      <c r="Z15" t="n">
        <v>923</v>
      </c>
      <c r="AA15" t="inlineStr">
        <is>
          <t>Managed Services</t>
        </is>
      </c>
      <c r="AB15" t="inlineStr">
        <is>
          <t>Managed Services</t>
        </is>
      </c>
      <c r="AC15" t="n">
        <v>41500000</v>
      </c>
      <c r="AD15" t="n">
        <v>86</v>
      </c>
      <c r="AE15" t="n">
        <v>8617</v>
      </c>
      <c r="AF15" t="n">
        <v>10</v>
      </c>
      <c r="AG15" t="inlineStr">
        <is>
          <t>ZY</t>
        </is>
      </c>
      <c r="AH15" t="n">
        <v>3840</v>
      </c>
      <c r="AI15" t="inlineStr">
        <is>
          <t>Japan</t>
        </is>
      </c>
      <c r="AJ15" t="inlineStr">
        <is>
          <t>Not assigned</t>
        </is>
      </c>
      <c r="AK15" t="inlineStr">
        <is>
          <t>IT-FBT0638-OG-JP-00</t>
        </is>
      </c>
      <c r="AL15" t="inlineStr">
        <is>
          <t>Japan L1/L2 FINANCE</t>
        </is>
      </c>
      <c r="AM15" t="inlineStr">
        <is>
          <t>9501133442_1_FINANCE SYSTEM SUPPORT 2025.12.01-202</t>
        </is>
      </c>
      <c r="AN15" t="inlineStr">
        <is>
          <t>Japan</t>
        </is>
      </c>
      <c r="AO15" t="n">
        <v>210000560540</v>
      </c>
      <c r="AP15" t="inlineStr">
        <is>
          <t>GL_PO ACCRUAL</t>
        </is>
      </c>
      <c r="AQ15" t="inlineStr">
        <is>
          <t>USD</t>
        </is>
      </c>
      <c r="AR15" t="inlineStr">
        <is>
          <t>Yen</t>
        </is>
      </c>
      <c r="AS15" t="inlineStr">
        <is>
          <t>JPY</t>
        </is>
      </c>
      <c r="AT15" t="n">
        <v>-10066.51</v>
      </c>
      <c r="AU15" t="n">
        <v>-1586777</v>
      </c>
      <c r="AV15" t="n">
        <v>-10548.89</v>
      </c>
      <c r="AW15" t="n">
        <v>-1586777</v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</row>
    <row r="16">
      <c r="A16" t="inlineStr">
        <is>
          <t>9501133442</t>
        </is>
      </c>
      <c r="B16" t="n">
        <v>202602</v>
      </c>
      <c r="C16" t="n">
        <v>2100005613</v>
      </c>
      <c r="D16" t="inlineStr">
        <is>
          <t>Not assigned</t>
        </is>
      </c>
      <c r="E16" t="inlineStr">
        <is>
          <t>IT-FBT0638-OG-JP-00</t>
        </is>
      </c>
      <c r="F16" s="138" t="n">
        <v>46047</v>
      </c>
      <c r="G16" s="138" t="n">
        <v>46045</v>
      </c>
      <c r="H16" t="inlineStr">
        <is>
          <t>9501133442_1_FINANCE SYSTEM SUPPORT 2025.12.01-202</t>
        </is>
      </c>
      <c r="I16" t="n">
        <v>2</v>
      </c>
      <c r="J16" t="n">
        <v>8702.83</v>
      </c>
      <c r="K16" t="inlineStr">
        <is>
          <t>Accrual</t>
        </is>
      </c>
      <c r="L16" t="n">
        <v>2026</v>
      </c>
      <c r="M16" s="138" t="n">
        <v>46054</v>
      </c>
      <c r="N16" t="inlineStr">
        <is>
          <t>DIGITAL</t>
        </is>
      </c>
      <c r="O16" t="inlineStr">
        <is>
          <t>IT110</t>
        </is>
      </c>
      <c r="P16" t="n">
        <v>2430238</v>
      </c>
      <c r="Q16" t="inlineStr">
        <is>
          <t>Maguire, Karla</t>
        </is>
      </c>
      <c r="R16" t="inlineStr">
        <is>
          <t>Tamavada, Ram</t>
        </is>
      </c>
      <c r="S16" t="inlineStr">
        <is>
          <t>3840/8617/86/IT110/2430238</t>
        </is>
      </c>
      <c r="T16" t="inlineStr">
        <is>
          <t>DIGITAL AND TECHNOLOGY</t>
        </is>
      </c>
      <c r="U16" t="inlineStr">
        <is>
          <t>CTIES</t>
        </is>
      </c>
      <c r="V16" t="inlineStr">
        <is>
          <t>ERP</t>
        </is>
      </c>
      <c r="W16" t="inlineStr">
        <is>
          <t>DIGITAL OPERATIONS AND COMMAND CENTER</t>
        </is>
      </c>
      <c r="X16" t="inlineStr">
        <is>
          <t>ERP SUPPORT SERVICES - JP</t>
        </is>
      </c>
      <c r="Y16" t="n">
        <v>890</v>
      </c>
      <c r="Z16" t="n">
        <v>923</v>
      </c>
      <c r="AA16" t="inlineStr">
        <is>
          <t>Managed Services</t>
        </is>
      </c>
      <c r="AB16" t="inlineStr">
        <is>
          <t>Managed Services</t>
        </is>
      </c>
      <c r="AC16" t="n">
        <v>41500000</v>
      </c>
      <c r="AD16" t="n">
        <v>86</v>
      </c>
      <c r="AE16" t="n">
        <v>8617</v>
      </c>
      <c r="AF16" t="n">
        <v>10</v>
      </c>
      <c r="AG16" t="inlineStr">
        <is>
          <t>ZY</t>
        </is>
      </c>
      <c r="AH16" t="n">
        <v>3840</v>
      </c>
      <c r="AI16" t="inlineStr">
        <is>
          <t>Japan</t>
        </is>
      </c>
      <c r="AJ16" t="inlineStr">
        <is>
          <t>Not assigned</t>
        </is>
      </c>
      <c r="AK16" t="inlineStr">
        <is>
          <t>IT-FBT0638-OG-JP-00</t>
        </is>
      </c>
      <c r="AL16" t="inlineStr">
        <is>
          <t>Japan L1/L2 FINANCE</t>
        </is>
      </c>
      <c r="AM16" t="inlineStr">
        <is>
          <t>9501133442_1_FINANCE SYSTEM SUPPORT 2025.12.01-202</t>
        </is>
      </c>
      <c r="AN16" t="inlineStr">
        <is>
          <t>Japan</t>
        </is>
      </c>
      <c r="AO16" t="n">
        <v>210000561343</v>
      </c>
      <c r="AP16" t="inlineStr">
        <is>
          <t>GL_PO ACCRUAL</t>
        </is>
      </c>
      <c r="AQ16" t="inlineStr">
        <is>
          <t>USD</t>
        </is>
      </c>
      <c r="AR16" t="inlineStr">
        <is>
          <t>Yen</t>
        </is>
      </c>
      <c r="AS16" t="inlineStr">
        <is>
          <t>JPY</t>
        </is>
      </c>
      <c r="AT16" t="n">
        <v>8304.870000000001</v>
      </c>
      <c r="AU16" t="n">
        <v>1309091</v>
      </c>
      <c r="AV16" t="n">
        <v>8702.83</v>
      </c>
      <c r="AW16" t="n">
        <v>1309091</v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</row>
    <row r="17">
      <c r="A17" t="inlineStr">
        <is>
          <t>9501137269</t>
        </is>
      </c>
      <c r="B17" t="n">
        <v>202602</v>
      </c>
      <c r="C17" t="n">
        <v>5100077441</v>
      </c>
      <c r="D17" t="inlineStr">
        <is>
          <t>PRIME SOFTWARE SOLUTION</t>
        </is>
      </c>
      <c r="E17" t="inlineStr">
        <is>
          <t>IT-FBT0637-OG-IN-00</t>
        </is>
      </c>
      <c r="F17" s="138" t="n">
        <v>46024</v>
      </c>
      <c r="G17" s="138" t="n">
        <v>46028</v>
      </c>
      <c r="H17" t="inlineStr">
        <is>
          <t>SOFTWARE MAINTENANCE SUPPORT FROM 1ST DE</t>
        </is>
      </c>
      <c r="I17" t="n">
        <v>2</v>
      </c>
      <c r="J17" t="n">
        <v>821.58</v>
      </c>
      <c r="K17" t="inlineStr">
        <is>
          <t>Actual</t>
        </is>
      </c>
      <c r="L17" t="n">
        <v>2026</v>
      </c>
      <c r="M17" s="138" t="n">
        <v>46054</v>
      </c>
      <c r="N17" t="inlineStr">
        <is>
          <t>DIGITAL</t>
        </is>
      </c>
      <c r="O17" t="inlineStr">
        <is>
          <t>IT110</t>
        </is>
      </c>
      <c r="P17" t="n">
        <v>2662855</v>
      </c>
      <c r="Q17" t="inlineStr">
        <is>
          <t>Maguire, Karla</t>
        </is>
      </c>
      <c r="R17" t="inlineStr">
        <is>
          <t>Tamavada, Ram</t>
        </is>
      </c>
      <c r="S17" t="inlineStr">
        <is>
          <t>7280/8011/86/IT110/0002662855 (890) (Net</t>
        </is>
      </c>
      <c r="T17" t="inlineStr">
        <is>
          <t>DIGITAL AND TECHNOLOGY</t>
        </is>
      </c>
      <c r="U17" t="inlineStr">
        <is>
          <t>CTIES</t>
        </is>
      </c>
      <c r="V17" t="inlineStr">
        <is>
          <t>ERP</t>
        </is>
      </c>
      <c r="W17" t="inlineStr">
        <is>
          <t>DIGITAL OPERATIONS AND COMMAND CENTER</t>
        </is>
      </c>
      <c r="X17" t="inlineStr">
        <is>
          <t>ERP SUPPORT SERVICES - IN</t>
        </is>
      </c>
      <c r="Y17" t="n">
        <v>890</v>
      </c>
      <c r="Z17" t="n">
        <v>915</v>
      </c>
      <c r="AA17" t="inlineStr">
        <is>
          <t>Professional Serv-Admin&amp;Commercial</t>
        </is>
      </c>
      <c r="AB17" t="inlineStr">
        <is>
          <t>Contractors</t>
        </is>
      </c>
      <c r="AC17" t="n">
        <v>41010100</v>
      </c>
      <c r="AD17" t="n">
        <v>86</v>
      </c>
      <c r="AE17" t="n">
        <v>8011</v>
      </c>
      <c r="AF17" t="n">
        <v>10</v>
      </c>
      <c r="AG17" t="inlineStr">
        <is>
          <t>RE</t>
        </is>
      </c>
      <c r="AH17" t="n">
        <v>7280</v>
      </c>
      <c r="AI17" t="inlineStr">
        <is>
          <t>India</t>
        </is>
      </c>
      <c r="AJ17" t="inlineStr">
        <is>
          <t>APAC</t>
        </is>
      </c>
      <c r="AK17" t="inlineStr">
        <is>
          <t>IT-FBT0637-OG-IN-00</t>
        </is>
      </c>
      <c r="AL17" t="inlineStr">
        <is>
          <t>India Prime Solution</t>
        </is>
      </c>
      <c r="AM17" t="inlineStr">
        <is>
          <t>SOFTWARE MAINTENANCE SUPPORT FROM 1ST DE</t>
        </is>
      </c>
      <c r="AN17" t="inlineStr">
        <is>
          <t>India</t>
        </is>
      </c>
      <c r="AO17" t="n">
        <v>51000774412</v>
      </c>
      <c r="AP17" t="inlineStr">
        <is>
          <t>SG-643</t>
        </is>
      </c>
      <c r="AQ17" t="inlineStr">
        <is>
          <t>USD</t>
        </is>
      </c>
      <c r="AR17" t="inlineStr">
        <is>
          <t>Rupee</t>
        </is>
      </c>
      <c r="AS17" t="inlineStr">
        <is>
          <t>INR</t>
        </is>
      </c>
      <c r="AT17" t="n">
        <v>821.58</v>
      </c>
      <c r="AU17" t="n">
        <v>74405</v>
      </c>
      <c r="AV17" t="n">
        <v>821.58</v>
      </c>
      <c r="AW17" t="n">
        <v>74405</v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</row>
    <row r="18">
      <c r="A18" t="inlineStr">
        <is>
          <t>9501137831</t>
        </is>
      </c>
      <c r="B18" t="n">
        <v>202602</v>
      </c>
      <c r="C18" t="n">
        <v>2100007136</v>
      </c>
      <c r="D18" t="inlineStr">
        <is>
          <t>Not assigned</t>
        </is>
      </c>
      <c r="E18" t="inlineStr">
        <is>
          <t>IT-FBT0066-OG-IN-00</t>
        </is>
      </c>
      <c r="F18" s="138" t="n">
        <v>46026</v>
      </c>
      <c r="G18" s="138" t="n">
        <v>46030</v>
      </c>
      <c r="H18" t="inlineStr">
        <is>
          <t>AP1 2WM PO ACCRUAL_ 9501137831_1_SAP SOM SME CONSU</t>
        </is>
      </c>
      <c r="I18" t="n">
        <v>2</v>
      </c>
      <c r="J18" t="n">
        <v>-3197.33</v>
      </c>
      <c r="K18" t="inlineStr">
        <is>
          <t>Reversal</t>
        </is>
      </c>
      <c r="L18" t="n">
        <v>2026</v>
      </c>
      <c r="M18" s="138" t="n">
        <v>46054</v>
      </c>
      <c r="N18" t="inlineStr">
        <is>
          <t>DIGITAL</t>
        </is>
      </c>
      <c r="O18" t="inlineStr">
        <is>
          <t>IT110</t>
        </is>
      </c>
      <c r="P18" t="n">
        <v>2662855</v>
      </c>
      <c r="Q18" t="inlineStr">
        <is>
          <t>Maguire, Karla</t>
        </is>
      </c>
      <c r="R18" t="inlineStr">
        <is>
          <t>Tamavada, Ram</t>
        </is>
      </c>
      <c r="S18" t="inlineStr">
        <is>
          <t>7280/8011/86/IT110/0002662855 (890) (Net</t>
        </is>
      </c>
      <c r="T18" t="inlineStr">
        <is>
          <t>DIGITAL AND TECHNOLOGY</t>
        </is>
      </c>
      <c r="U18" t="inlineStr">
        <is>
          <t>CTIES</t>
        </is>
      </c>
      <c r="V18" t="inlineStr">
        <is>
          <t>ERP</t>
        </is>
      </c>
      <c r="W18" t="inlineStr">
        <is>
          <t>DIGITAL OPERATIONS AND COMMAND CENTER</t>
        </is>
      </c>
      <c r="X18" t="inlineStr">
        <is>
          <t>ERP SUPPORT SERVICES - IN</t>
        </is>
      </c>
      <c r="Y18" t="n">
        <v>890</v>
      </c>
      <c r="Z18" t="n">
        <v>915</v>
      </c>
      <c r="AA18" t="inlineStr">
        <is>
          <t>Professional Serv-Admin&amp;Commercial</t>
        </is>
      </c>
      <c r="AB18" t="inlineStr">
        <is>
          <t>Contractors</t>
        </is>
      </c>
      <c r="AC18" t="n">
        <v>41010100</v>
      </c>
      <c r="AD18" t="n">
        <v>86</v>
      </c>
      <c r="AE18" t="n">
        <v>8011</v>
      </c>
      <c r="AF18" t="n">
        <v>10</v>
      </c>
      <c r="AG18" t="inlineStr">
        <is>
          <t>ZY</t>
        </is>
      </c>
      <c r="AH18" t="n">
        <v>7280</v>
      </c>
      <c r="AI18" t="inlineStr">
        <is>
          <t>India</t>
        </is>
      </c>
      <c r="AJ18" t="inlineStr">
        <is>
          <t>APAC</t>
        </is>
      </c>
      <c r="AK18" t="inlineStr">
        <is>
          <t>IT-FBT0066-OG-IN-00</t>
        </is>
      </c>
      <c r="AL18" t="inlineStr">
        <is>
          <t>India L2 Support IT-</t>
        </is>
      </c>
      <c r="AM18" t="inlineStr">
        <is>
          <t>AP1 2WM PO ACCRUAL_ 9501137831_1_SAP SOM SME CONSU</t>
        </is>
      </c>
      <c r="AN18" t="inlineStr">
        <is>
          <t>India</t>
        </is>
      </c>
      <c r="AO18" t="n">
        <v>210000713697</v>
      </c>
      <c r="AP18" t="inlineStr">
        <is>
          <t>GL_PO ACCRUAL</t>
        </is>
      </c>
      <c r="AQ18" t="inlineStr">
        <is>
          <t>USD</t>
        </is>
      </c>
      <c r="AR18" t="inlineStr">
        <is>
          <t>Rupee</t>
        </is>
      </c>
      <c r="AS18" t="inlineStr">
        <is>
          <t>INR</t>
        </is>
      </c>
      <c r="AT18" t="n">
        <v>-3197.33</v>
      </c>
      <c r="AU18" t="n">
        <v>-289560.44</v>
      </c>
      <c r="AV18" t="n">
        <v>-3197.33</v>
      </c>
      <c r="AW18" t="n">
        <v>-289560.44</v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</row>
    <row r="19">
      <c r="A19" t="inlineStr">
        <is>
          <t>9501137831</t>
        </is>
      </c>
      <c r="B19" t="n">
        <v>202602</v>
      </c>
      <c r="C19" t="n">
        <v>2100007151</v>
      </c>
      <c r="D19" t="inlineStr">
        <is>
          <t>Not assigned</t>
        </is>
      </c>
      <c r="E19" t="inlineStr">
        <is>
          <t>IT-FBT0066-OG-IN-00</t>
        </is>
      </c>
      <c r="F19" s="138" t="n">
        <v>46047</v>
      </c>
      <c r="G19" s="138" t="n">
        <v>46045</v>
      </c>
      <c r="H19" t="inlineStr">
        <is>
          <t>AP2 2WM PO ACCRUAL_ 9501137831_1_SAP SOM SME CONSU</t>
        </is>
      </c>
      <c r="I19" t="n">
        <v>2</v>
      </c>
      <c r="J19" t="n">
        <v>5775.82</v>
      </c>
      <c r="K19" t="inlineStr">
        <is>
          <t>Accrual</t>
        </is>
      </c>
      <c r="L19" t="n">
        <v>2026</v>
      </c>
      <c r="M19" s="138" t="n">
        <v>46054</v>
      </c>
      <c r="N19" t="inlineStr">
        <is>
          <t>DIGITAL</t>
        </is>
      </c>
      <c r="O19" t="inlineStr">
        <is>
          <t>IT110</t>
        </is>
      </c>
      <c r="P19" t="n">
        <v>2662855</v>
      </c>
      <c r="Q19" t="inlineStr">
        <is>
          <t>Maguire, Karla</t>
        </is>
      </c>
      <c r="R19" t="inlineStr">
        <is>
          <t>Tamavada, Ram</t>
        </is>
      </c>
      <c r="S19" t="inlineStr">
        <is>
          <t>7280/8011/86/IT110/0002662855 (890) (Net</t>
        </is>
      </c>
      <c r="T19" t="inlineStr">
        <is>
          <t>DIGITAL AND TECHNOLOGY</t>
        </is>
      </c>
      <c r="U19" t="inlineStr">
        <is>
          <t>CTIES</t>
        </is>
      </c>
      <c r="V19" t="inlineStr">
        <is>
          <t>ERP</t>
        </is>
      </c>
      <c r="W19" t="inlineStr">
        <is>
          <t>DIGITAL OPERATIONS AND COMMAND CENTER</t>
        </is>
      </c>
      <c r="X19" t="inlineStr">
        <is>
          <t>ERP SUPPORT SERVICES - IN</t>
        </is>
      </c>
      <c r="Y19" t="n">
        <v>890</v>
      </c>
      <c r="Z19" t="n">
        <v>915</v>
      </c>
      <c r="AA19" t="inlineStr">
        <is>
          <t>Professional Serv-Admin&amp;Commercial</t>
        </is>
      </c>
      <c r="AB19" t="inlineStr">
        <is>
          <t>Contractors</t>
        </is>
      </c>
      <c r="AC19" t="n">
        <v>41010100</v>
      </c>
      <c r="AD19" t="n">
        <v>86</v>
      </c>
      <c r="AE19" t="n">
        <v>8011</v>
      </c>
      <c r="AF19" t="n">
        <v>10</v>
      </c>
      <c r="AG19" t="inlineStr">
        <is>
          <t>ZY</t>
        </is>
      </c>
      <c r="AH19" t="n">
        <v>7280</v>
      </c>
      <c r="AI19" t="inlineStr">
        <is>
          <t>India</t>
        </is>
      </c>
      <c r="AJ19" t="inlineStr">
        <is>
          <t>APAC</t>
        </is>
      </c>
      <c r="AK19" t="inlineStr">
        <is>
          <t>IT-FBT0066-OG-IN-00</t>
        </is>
      </c>
      <c r="AL19" t="inlineStr">
        <is>
          <t>India L2 Support IT-</t>
        </is>
      </c>
      <c r="AM19" t="inlineStr">
        <is>
          <t>AP2 2WM PO ACCRUAL_ 9501137831_1_SAP SOM SME CONSU</t>
        </is>
      </c>
      <c r="AN19" t="inlineStr">
        <is>
          <t>India</t>
        </is>
      </c>
      <c r="AO19" t="n">
        <v>2100007151107</v>
      </c>
      <c r="AP19" t="inlineStr">
        <is>
          <t>GL_PO ACCRUAL</t>
        </is>
      </c>
      <c r="AQ19" t="inlineStr">
        <is>
          <t>USD</t>
        </is>
      </c>
      <c r="AR19" t="inlineStr">
        <is>
          <t>Rupee</t>
        </is>
      </c>
      <c r="AS19" t="inlineStr">
        <is>
          <t>INR</t>
        </is>
      </c>
      <c r="AT19" t="n">
        <v>5775.82</v>
      </c>
      <c r="AU19" t="n">
        <v>523076.92</v>
      </c>
      <c r="AV19" t="n">
        <v>5775.82</v>
      </c>
      <c r="AW19" t="n">
        <v>523076.92</v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</row>
    <row r="20">
      <c r="A20" t="inlineStr">
        <is>
          <t>9501137269</t>
        </is>
      </c>
      <c r="B20" t="n">
        <v>202602</v>
      </c>
      <c r="C20" t="n">
        <v>2100007137</v>
      </c>
      <c r="D20" t="inlineStr">
        <is>
          <t>Not assigned</t>
        </is>
      </c>
      <c r="E20" t="inlineStr">
        <is>
          <t>IT-FBT0637-OG-IN-00</t>
        </is>
      </c>
      <c r="F20" s="138" t="n">
        <v>46026</v>
      </c>
      <c r="G20" s="138" t="n">
        <v>46030</v>
      </c>
      <c r="H20" t="inlineStr">
        <is>
          <t>AP1 2WM PO ACCRUAL_ 9501137269_1_SOFTWARE MAINTENA</t>
        </is>
      </c>
      <c r="I20" t="n">
        <v>2</v>
      </c>
      <c r="J20" t="n">
        <v>-839.64</v>
      </c>
      <c r="K20" t="inlineStr">
        <is>
          <t>Reversal</t>
        </is>
      </c>
      <c r="L20" t="n">
        <v>2026</v>
      </c>
      <c r="M20" s="138" t="n">
        <v>46054</v>
      </c>
      <c r="N20" t="inlineStr">
        <is>
          <t>DIGITAL</t>
        </is>
      </c>
      <c r="O20" t="inlineStr">
        <is>
          <t>IT110</t>
        </is>
      </c>
      <c r="P20" t="n">
        <v>2662855</v>
      </c>
      <c r="Q20" t="inlineStr">
        <is>
          <t>Maguire, Karla</t>
        </is>
      </c>
      <c r="R20" t="inlineStr">
        <is>
          <t>Tamavada, Ram</t>
        </is>
      </c>
      <c r="S20" t="inlineStr">
        <is>
          <t>7280/8011/86/IT110/0002662855 (890) (Net</t>
        </is>
      </c>
      <c r="T20" t="inlineStr">
        <is>
          <t>DIGITAL AND TECHNOLOGY</t>
        </is>
      </c>
      <c r="U20" t="inlineStr">
        <is>
          <t>CTIES</t>
        </is>
      </c>
      <c r="V20" t="inlineStr">
        <is>
          <t>ERP</t>
        </is>
      </c>
      <c r="W20" t="inlineStr">
        <is>
          <t>DIGITAL OPERATIONS AND COMMAND CENTER</t>
        </is>
      </c>
      <c r="X20" t="inlineStr">
        <is>
          <t>ERP SUPPORT SERVICES - IN</t>
        </is>
      </c>
      <c r="Y20" t="n">
        <v>890</v>
      </c>
      <c r="Z20" t="n">
        <v>915</v>
      </c>
      <c r="AA20" t="inlineStr">
        <is>
          <t>Professional Serv-Admin&amp;Commercial</t>
        </is>
      </c>
      <c r="AB20" t="inlineStr">
        <is>
          <t>Contractors</t>
        </is>
      </c>
      <c r="AC20" t="n">
        <v>41010100</v>
      </c>
      <c r="AD20" t="n">
        <v>86</v>
      </c>
      <c r="AE20" t="n">
        <v>8011</v>
      </c>
      <c r="AF20" t="n">
        <v>10</v>
      </c>
      <c r="AG20" t="inlineStr">
        <is>
          <t>ZY</t>
        </is>
      </c>
      <c r="AH20" t="n">
        <v>7280</v>
      </c>
      <c r="AI20" t="inlineStr">
        <is>
          <t>India</t>
        </is>
      </c>
      <c r="AJ20" t="inlineStr">
        <is>
          <t>APAC</t>
        </is>
      </c>
      <c r="AK20" t="inlineStr">
        <is>
          <t>IT-FBT0637-OG-IN-00</t>
        </is>
      </c>
      <c r="AL20" t="inlineStr">
        <is>
          <t>India Prime Solution</t>
        </is>
      </c>
      <c r="AM20" t="inlineStr">
        <is>
          <t>AP1 2WM PO ACCRUAL_ 9501137269_1_SOFTWARE MAINTENA</t>
        </is>
      </c>
      <c r="AN20" t="inlineStr">
        <is>
          <t>India</t>
        </is>
      </c>
      <c r="AO20" t="n">
        <v>2100007137125</v>
      </c>
      <c r="AP20" t="inlineStr">
        <is>
          <t>GL_PO ACCRUAL</t>
        </is>
      </c>
      <c r="AQ20" t="inlineStr">
        <is>
          <t>USD</t>
        </is>
      </c>
      <c r="AR20" t="inlineStr">
        <is>
          <t>Rupee</t>
        </is>
      </c>
      <c r="AS20" t="inlineStr">
        <is>
          <t>INR</t>
        </is>
      </c>
      <c r="AT20" t="n">
        <v>-839.64</v>
      </c>
      <c r="AU20" t="n">
        <v>-76040.27</v>
      </c>
      <c r="AV20" t="n">
        <v>-839.64</v>
      </c>
      <c r="AW20" t="n">
        <v>-76040.27</v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</row>
    <row r="21">
      <c r="A21" t="inlineStr">
        <is>
          <t>9501137269</t>
        </is>
      </c>
      <c r="B21" t="n">
        <v>202602</v>
      </c>
      <c r="C21" t="n">
        <v>2100007152</v>
      </c>
      <c r="D21" t="inlineStr">
        <is>
          <t>Not assigned</t>
        </is>
      </c>
      <c r="E21" t="inlineStr">
        <is>
          <t>IT-FBT0637-OG-IN-00</t>
        </is>
      </c>
      <c r="F21" s="138" t="n">
        <v>46047</v>
      </c>
      <c r="G21" s="138" t="n">
        <v>46045</v>
      </c>
      <c r="H21" t="inlineStr">
        <is>
          <t>AP2 2WM PO ACCRUAL_ 9501137269_1_SOFTWARE MAINTENA</t>
        </is>
      </c>
      <c r="I21" t="n">
        <v>2</v>
      </c>
      <c r="J21" t="n">
        <v>695.1799999999999</v>
      </c>
      <c r="K21" t="inlineStr">
        <is>
          <t>Accrual</t>
        </is>
      </c>
      <c r="L21" t="n">
        <v>2026</v>
      </c>
      <c r="M21" s="138" t="n">
        <v>46054</v>
      </c>
      <c r="N21" t="inlineStr">
        <is>
          <t>DIGITAL</t>
        </is>
      </c>
      <c r="O21" t="inlineStr">
        <is>
          <t>IT110</t>
        </is>
      </c>
      <c r="P21" t="n">
        <v>2662855</v>
      </c>
      <c r="Q21" t="inlineStr">
        <is>
          <t>Maguire, Karla</t>
        </is>
      </c>
      <c r="R21" t="inlineStr">
        <is>
          <t>Tamavada, Ram</t>
        </is>
      </c>
      <c r="S21" t="inlineStr">
        <is>
          <t>7280/8011/86/IT110/0002662855 (890) (Net</t>
        </is>
      </c>
      <c r="T21" t="inlineStr">
        <is>
          <t>DIGITAL AND TECHNOLOGY</t>
        </is>
      </c>
      <c r="U21" t="inlineStr">
        <is>
          <t>CTIES</t>
        </is>
      </c>
      <c r="V21" t="inlineStr">
        <is>
          <t>ERP</t>
        </is>
      </c>
      <c r="W21" t="inlineStr">
        <is>
          <t>DIGITAL OPERATIONS AND COMMAND CENTER</t>
        </is>
      </c>
      <c r="X21" t="inlineStr">
        <is>
          <t>ERP SUPPORT SERVICES - IN</t>
        </is>
      </c>
      <c r="Y21" t="n">
        <v>890</v>
      </c>
      <c r="Z21" t="n">
        <v>915</v>
      </c>
      <c r="AA21" t="inlineStr">
        <is>
          <t>Professional Serv-Admin&amp;Commercial</t>
        </is>
      </c>
      <c r="AB21" t="inlineStr">
        <is>
          <t>Contractors</t>
        </is>
      </c>
      <c r="AC21" t="n">
        <v>41010100</v>
      </c>
      <c r="AD21" t="n">
        <v>86</v>
      </c>
      <c r="AE21" t="n">
        <v>8011</v>
      </c>
      <c r="AF21" t="n">
        <v>10</v>
      </c>
      <c r="AG21" t="inlineStr">
        <is>
          <t>ZY</t>
        </is>
      </c>
      <c r="AH21" t="n">
        <v>7280</v>
      </c>
      <c r="AI21" t="inlineStr">
        <is>
          <t>India</t>
        </is>
      </c>
      <c r="AJ21" t="inlineStr">
        <is>
          <t>APAC</t>
        </is>
      </c>
      <c r="AK21" t="inlineStr">
        <is>
          <t>IT-FBT0637-OG-IN-00</t>
        </is>
      </c>
      <c r="AL21" t="inlineStr">
        <is>
          <t>India Prime Solution</t>
        </is>
      </c>
      <c r="AM21" t="inlineStr">
        <is>
          <t>AP2 2WM PO ACCRUAL_ 9501137269_1_SOFTWARE MAINTENA</t>
        </is>
      </c>
      <c r="AN21" t="inlineStr">
        <is>
          <t>India</t>
        </is>
      </c>
      <c r="AO21" t="n">
        <v>2100007152152</v>
      </c>
      <c r="AP21" t="inlineStr">
        <is>
          <t>GL_PO ACCRUAL</t>
        </is>
      </c>
      <c r="AQ21" t="inlineStr">
        <is>
          <t>USD</t>
        </is>
      </c>
      <c r="AR21" t="inlineStr">
        <is>
          <t>Rupee</t>
        </is>
      </c>
      <c r="AS21" t="inlineStr">
        <is>
          <t>INR</t>
        </is>
      </c>
      <c r="AT21" t="n">
        <v>695.1799999999999</v>
      </c>
      <c r="AU21" t="n">
        <v>62958.08</v>
      </c>
      <c r="AV21" t="n">
        <v>695.1799999999999</v>
      </c>
      <c r="AW21" t="n">
        <v>62958.08</v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</row>
    <row r="22">
      <c r="A22" t="inlineStr">
        <is>
          <t>9501079958</t>
        </is>
      </c>
      <c r="B22" t="n">
        <v>202602</v>
      </c>
      <c r="C22" t="n">
        <v>5107816713</v>
      </c>
      <c r="D22" t="inlineStr">
        <is>
          <t>ORACLE AMERICA INC</t>
        </is>
      </c>
      <c r="E22" t="inlineStr">
        <is>
          <t>#</t>
        </is>
      </c>
      <c r="F22" s="138" t="n">
        <v>45943</v>
      </c>
      <c r="G22" s="138" t="n">
        <v>46070</v>
      </c>
      <c r="H22" t="inlineStr">
        <is>
          <t>SOFTWARE UPDATE LICENSE &amp; SUPPORT - TERM</t>
        </is>
      </c>
      <c r="I22" t="n">
        <v>2</v>
      </c>
      <c r="J22" t="n">
        <v>-118715.37</v>
      </c>
      <c r="K22" t="inlineStr">
        <is>
          <t>Actual</t>
        </is>
      </c>
      <c r="L22" t="n">
        <v>2026</v>
      </c>
      <c r="M22" s="138" t="n">
        <v>46054</v>
      </c>
      <c r="N22" t="inlineStr">
        <is>
          <t>DIGITAL</t>
        </is>
      </c>
      <c r="O22" t="inlineStr">
        <is>
          <t>IT140</t>
        </is>
      </c>
      <c r="P22" t="n">
        <v>2320843</v>
      </c>
      <c r="Q22" t="inlineStr">
        <is>
          <t>Maguire, Karla</t>
        </is>
      </c>
      <c r="R22" t="inlineStr">
        <is>
          <t>Tamavada, Ram</t>
        </is>
      </c>
      <c r="S22" t="inlineStr">
        <is>
          <t>1400/8011/86/IT140/0002320843 (890) (Net</t>
        </is>
      </c>
      <c r="T22" t="inlineStr">
        <is>
          <t>DIGITAL AND TECHNOLOGY</t>
        </is>
      </c>
      <c r="U22" t="inlineStr">
        <is>
          <t>CTIES</t>
        </is>
      </c>
      <c r="V22" t="inlineStr">
        <is>
          <t>ERP</t>
        </is>
      </c>
      <c r="W22" t="inlineStr">
        <is>
          <t>DIGITAL OPERATIONS AND COMMAND CENTER</t>
        </is>
      </c>
      <c r="X22" t="inlineStr">
        <is>
          <t>HR &amp; LEGAL SUPPORT - US</t>
        </is>
      </c>
      <c r="Y22" t="n">
        <v>890</v>
      </c>
      <c r="Z22" t="n">
        <v>901</v>
      </c>
      <c r="AA22" t="inlineStr">
        <is>
          <t>Computing/Software</t>
        </is>
      </c>
      <c r="AB22" t="inlineStr">
        <is>
          <t>Software</t>
        </is>
      </c>
      <c r="AC22" t="n">
        <v>61010000</v>
      </c>
      <c r="AD22" t="n">
        <v>86</v>
      </c>
      <c r="AE22" t="n">
        <v>8011</v>
      </c>
      <c r="AF22" t="n">
        <v>10</v>
      </c>
      <c r="AG22" t="inlineStr">
        <is>
          <t>RE</t>
        </is>
      </c>
      <c r="AH22" t="n">
        <v>1400</v>
      </c>
      <c r="AI22" t="inlineStr">
        <is>
          <t>United States</t>
        </is>
      </c>
      <c r="AJ22" t="inlineStr">
        <is>
          <t>AMER</t>
        </is>
      </c>
      <c r="AK22" t="inlineStr">
        <is>
          <t>2026-XFR-0036-A</t>
        </is>
      </c>
      <c r="AL22" t="inlineStr">
        <is>
          <t>#</t>
        </is>
      </c>
      <c r="AM22" t="inlineStr">
        <is>
          <t>SOFTWARE UPDATE LICENSE &amp; SUPPORT - TERM</t>
        </is>
      </c>
      <c r="AN22" t="inlineStr">
        <is>
          <t>2026 Budget Transfer</t>
        </is>
      </c>
      <c r="AO22" t="n">
        <v>51078167132</v>
      </c>
      <c r="AP22" t="inlineStr">
        <is>
          <t>102180416C1</t>
        </is>
      </c>
      <c r="AQ22" t="inlineStr">
        <is>
          <t>USD</t>
        </is>
      </c>
      <c r="AR22" t="inlineStr">
        <is>
          <t>US Dollar</t>
        </is>
      </c>
      <c r="AS22" t="inlineStr">
        <is>
          <t>USD</t>
        </is>
      </c>
      <c r="AT22" t="n">
        <v>-118715.37</v>
      </c>
      <c r="AU22" t="n">
        <v>-118715.37</v>
      </c>
      <c r="AV22" t="n">
        <v>-118715.37</v>
      </c>
      <c r="AW22" t="n">
        <v>-118715.37</v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</row>
    <row r="23">
      <c r="A23" t="inlineStr">
        <is>
          <t>9501159633</t>
        </is>
      </c>
      <c r="B23" t="n">
        <v>202602</v>
      </c>
      <c r="C23" t="n">
        <v>5107824218</v>
      </c>
      <c r="D23" t="inlineStr">
        <is>
          <t>ORACLE AMERICA INC</t>
        </is>
      </c>
      <c r="E23" t="inlineStr">
        <is>
          <t>IT-SFT0159-86-OG-US</t>
        </is>
      </c>
      <c r="F23" s="138" t="n">
        <v>46043</v>
      </c>
      <c r="G23" s="138" t="n">
        <v>46072</v>
      </c>
      <c r="H23" t="inlineStr">
        <is>
          <t>ORACLE MANAGED CLOUD SERVICES - (01/01/2</t>
        </is>
      </c>
      <c r="I23" t="n">
        <v>2</v>
      </c>
      <c r="J23" t="n">
        <v>122914.66</v>
      </c>
      <c r="K23" t="inlineStr">
        <is>
          <t>Actual</t>
        </is>
      </c>
      <c r="L23" t="n">
        <v>2026</v>
      </c>
      <c r="M23" s="138" t="n">
        <v>46054</v>
      </c>
      <c r="N23" t="inlineStr">
        <is>
          <t>DIGITAL</t>
        </is>
      </c>
      <c r="O23" t="inlineStr">
        <is>
          <t>IT140</t>
        </is>
      </c>
      <c r="P23" t="n">
        <v>2321403</v>
      </c>
      <c r="Q23" t="inlineStr">
        <is>
          <t>Maguire, Karla</t>
        </is>
      </c>
      <c r="R23" t="inlineStr">
        <is>
          <t>Tamavada, Ram</t>
        </is>
      </c>
      <c r="S23" t="inlineStr">
        <is>
          <t>1400/8011/86/IT140/0002321403 (890) (Net</t>
        </is>
      </c>
      <c r="T23" t="inlineStr">
        <is>
          <t>DIGITAL AND TECHNOLOGY</t>
        </is>
      </c>
      <c r="U23" t="inlineStr">
        <is>
          <t>CTIES</t>
        </is>
      </c>
      <c r="V23" t="inlineStr">
        <is>
          <t>ERP</t>
        </is>
      </c>
      <c r="W23" t="inlineStr">
        <is>
          <t>DIGITAL OPERATIONS AND COMMAND CENTER</t>
        </is>
      </c>
      <c r="X23" t="inlineStr">
        <is>
          <t>ERP SUPPORT SERVICES - US</t>
        </is>
      </c>
      <c r="Y23" t="n">
        <v>890</v>
      </c>
      <c r="Z23" t="n">
        <v>901</v>
      </c>
      <c r="AA23" t="inlineStr">
        <is>
          <t>Computing/Software</t>
        </is>
      </c>
      <c r="AB23" t="inlineStr">
        <is>
          <t>Software</t>
        </is>
      </c>
      <c r="AC23" t="n">
        <v>61010000</v>
      </c>
      <c r="AD23" t="n">
        <v>86</v>
      </c>
      <c r="AE23" t="n">
        <v>8011</v>
      </c>
      <c r="AF23" t="n">
        <v>10</v>
      </c>
      <c r="AG23" t="inlineStr">
        <is>
          <t>RE</t>
        </is>
      </c>
      <c r="AH23" t="n">
        <v>1400</v>
      </c>
      <c r="AI23" t="inlineStr">
        <is>
          <t>United States</t>
        </is>
      </c>
      <c r="AJ23" t="inlineStr">
        <is>
          <t>AMER</t>
        </is>
      </c>
      <c r="AK23" t="inlineStr">
        <is>
          <t>IT-SFT0159-86-OG-US</t>
        </is>
      </c>
      <c r="AL23" t="inlineStr">
        <is>
          <t>Oracle</t>
        </is>
      </c>
      <c r="AM23" t="inlineStr">
        <is>
          <t>ORACLE MANAGED CLOUD SERVICES - (01/01/2</t>
        </is>
      </c>
      <c r="AN23" t="inlineStr">
        <is>
          <t>E1; 2026 Pullforward</t>
        </is>
      </c>
      <c r="AO23" t="n">
        <v>51078242182</v>
      </c>
      <c r="AP23" t="n">
        <v>102330389</v>
      </c>
      <c r="AQ23" t="inlineStr">
        <is>
          <t>USD</t>
        </is>
      </c>
      <c r="AR23" t="inlineStr">
        <is>
          <t>US Dollar</t>
        </is>
      </c>
      <c r="AS23" t="inlineStr">
        <is>
          <t>USD</t>
        </is>
      </c>
      <c r="AT23" t="n">
        <v>122914.66</v>
      </c>
      <c r="AU23" t="n">
        <v>122914.66</v>
      </c>
      <c r="AV23" t="n">
        <v>122914.66</v>
      </c>
      <c r="AW23" t="n">
        <v>122914.66</v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</row>
    <row r="24">
      <c r="A24" t="inlineStr">
        <is>
          <t>9501159633</t>
        </is>
      </c>
      <c r="B24" t="n">
        <v>202602</v>
      </c>
      <c r="C24" t="n">
        <v>5107824226</v>
      </c>
      <c r="D24" t="inlineStr">
        <is>
          <t>ORACLE AMERICA INC</t>
        </is>
      </c>
      <c r="E24" t="inlineStr">
        <is>
          <t>IT-SFT0159-86-OG-US</t>
        </is>
      </c>
      <c r="F24" s="138" t="n">
        <v>46021</v>
      </c>
      <c r="G24" s="138" t="n">
        <v>46072</v>
      </c>
      <c r="H24" t="inlineStr">
        <is>
          <t>ORACLE MANAGED CLOUD SERVICES - (01/01/2</t>
        </is>
      </c>
      <c r="I24" t="n">
        <v>2</v>
      </c>
      <c r="J24" t="n">
        <v>-30728.67</v>
      </c>
      <c r="K24" t="inlineStr">
        <is>
          <t>Actual</t>
        </is>
      </c>
      <c r="L24" t="n">
        <v>2026</v>
      </c>
      <c r="M24" s="138" t="n">
        <v>46054</v>
      </c>
      <c r="N24" t="inlineStr">
        <is>
          <t>DIGITAL</t>
        </is>
      </c>
      <c r="O24" t="inlineStr">
        <is>
          <t>IT140</t>
        </is>
      </c>
      <c r="P24" t="n">
        <v>2321403</v>
      </c>
      <c r="Q24" t="inlineStr">
        <is>
          <t>Maguire, Karla</t>
        </is>
      </c>
      <c r="R24" t="inlineStr">
        <is>
          <t>Tamavada, Ram</t>
        </is>
      </c>
      <c r="S24" t="inlineStr">
        <is>
          <t>1400/8011/86/IT140/0002321403 (890) (Net</t>
        </is>
      </c>
      <c r="T24" t="inlineStr">
        <is>
          <t>DIGITAL AND TECHNOLOGY</t>
        </is>
      </c>
      <c r="U24" t="inlineStr">
        <is>
          <t>CTIES</t>
        </is>
      </c>
      <c r="V24" t="inlineStr">
        <is>
          <t>ERP</t>
        </is>
      </c>
      <c r="W24" t="inlineStr">
        <is>
          <t>DIGITAL OPERATIONS AND COMMAND CENTER</t>
        </is>
      </c>
      <c r="X24" t="inlineStr">
        <is>
          <t>ERP SUPPORT SERVICES - US</t>
        </is>
      </c>
      <c r="Y24" t="n">
        <v>890</v>
      </c>
      <c r="Z24" t="n">
        <v>901</v>
      </c>
      <c r="AA24" t="inlineStr">
        <is>
          <t>Computing/Software</t>
        </is>
      </c>
      <c r="AB24" t="inlineStr">
        <is>
          <t>Software</t>
        </is>
      </c>
      <c r="AC24" t="n">
        <v>61010000</v>
      </c>
      <c r="AD24" t="n">
        <v>86</v>
      </c>
      <c r="AE24" t="n">
        <v>8011</v>
      </c>
      <c r="AF24" t="n">
        <v>10</v>
      </c>
      <c r="AG24" t="inlineStr">
        <is>
          <t>RE</t>
        </is>
      </c>
      <c r="AH24" t="n">
        <v>1400</v>
      </c>
      <c r="AI24" t="inlineStr">
        <is>
          <t>United States</t>
        </is>
      </c>
      <c r="AJ24" t="inlineStr">
        <is>
          <t>AMER</t>
        </is>
      </c>
      <c r="AK24" t="inlineStr">
        <is>
          <t>IT-SFT0159-86-OG-US</t>
        </is>
      </c>
      <c r="AL24" t="inlineStr">
        <is>
          <t>Oracle</t>
        </is>
      </c>
      <c r="AM24" t="inlineStr">
        <is>
          <t>ORACLE MANAGED CLOUD SERVICES - (01/01/2</t>
        </is>
      </c>
      <c r="AN24" t="inlineStr">
        <is>
          <t>E1; 2026 Pullforward</t>
        </is>
      </c>
      <c r="AO24" t="n">
        <v>51078242262</v>
      </c>
      <c r="AP24" t="inlineStr">
        <is>
          <t>102294155CM</t>
        </is>
      </c>
      <c r="AQ24" t="inlineStr">
        <is>
          <t>USD</t>
        </is>
      </c>
      <c r="AR24" t="inlineStr">
        <is>
          <t>US Dollar</t>
        </is>
      </c>
      <c r="AS24" t="inlineStr">
        <is>
          <t>USD</t>
        </is>
      </c>
      <c r="AT24" t="n">
        <v>-30728.67</v>
      </c>
      <c r="AU24" t="n">
        <v>-30728.67</v>
      </c>
      <c r="AV24" t="n">
        <v>-30728.67</v>
      </c>
      <c r="AW24" t="n">
        <v>-30728.67</v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</row>
    <row r="25">
      <c r="A25" t="inlineStr">
        <is>
          <t>9501159633</t>
        </is>
      </c>
      <c r="B25" t="n">
        <v>202602</v>
      </c>
      <c r="C25" t="n">
        <v>5107790852</v>
      </c>
      <c r="D25" t="inlineStr">
        <is>
          <t>ORACLE CORP</t>
        </is>
      </c>
      <c r="E25" t="inlineStr">
        <is>
          <t>IT-SFT0159-86-OG-US</t>
        </is>
      </c>
      <c r="F25" s="138" t="n">
        <v>46058</v>
      </c>
      <c r="G25" s="138" t="n">
        <v>46059</v>
      </c>
      <c r="H25" t="inlineStr">
        <is>
          <t>ORACLE MANAGED CLOUD SERVICES - (01/01/2</t>
        </is>
      </c>
      <c r="I25" t="n">
        <v>2</v>
      </c>
      <c r="J25" t="n">
        <v>23578.17</v>
      </c>
      <c r="K25" t="inlineStr">
        <is>
          <t>Actual</t>
        </is>
      </c>
      <c r="L25" t="n">
        <v>2026</v>
      </c>
      <c r="M25" s="138" t="n">
        <v>46054</v>
      </c>
      <c r="N25" t="inlineStr">
        <is>
          <t>DIGITAL</t>
        </is>
      </c>
      <c r="O25" t="inlineStr">
        <is>
          <t>IT140</t>
        </is>
      </c>
      <c r="P25" t="n">
        <v>2321403</v>
      </c>
      <c r="Q25" t="inlineStr">
        <is>
          <t>Maguire, Karla</t>
        </is>
      </c>
      <c r="R25" t="inlineStr">
        <is>
          <t>Tamavada, Ram</t>
        </is>
      </c>
      <c r="S25" t="inlineStr">
        <is>
          <t>1400/8011/86/IT140/0002321403 (890) (Net</t>
        </is>
      </c>
      <c r="T25" t="inlineStr">
        <is>
          <t>DIGITAL AND TECHNOLOGY</t>
        </is>
      </c>
      <c r="U25" t="inlineStr">
        <is>
          <t>CTIES</t>
        </is>
      </c>
      <c r="V25" t="inlineStr">
        <is>
          <t>ERP</t>
        </is>
      </c>
      <c r="W25" t="inlineStr">
        <is>
          <t>DIGITAL OPERATIONS AND COMMAND CENTER</t>
        </is>
      </c>
      <c r="X25" t="inlineStr">
        <is>
          <t>ERP SUPPORT SERVICES - US</t>
        </is>
      </c>
      <c r="Y25" t="n">
        <v>890</v>
      </c>
      <c r="Z25" t="n">
        <v>901</v>
      </c>
      <c r="AA25" t="inlineStr">
        <is>
          <t>Computing/Software</t>
        </is>
      </c>
      <c r="AB25" t="inlineStr">
        <is>
          <t>Software</t>
        </is>
      </c>
      <c r="AC25" t="n">
        <v>61010000</v>
      </c>
      <c r="AD25" t="n">
        <v>86</v>
      </c>
      <c r="AE25" t="n">
        <v>8011</v>
      </c>
      <c r="AF25" t="n">
        <v>10</v>
      </c>
      <c r="AG25" t="inlineStr">
        <is>
          <t>RE</t>
        </is>
      </c>
      <c r="AH25" t="n">
        <v>1400</v>
      </c>
      <c r="AI25" t="inlineStr">
        <is>
          <t>United States</t>
        </is>
      </c>
      <c r="AJ25" t="inlineStr">
        <is>
          <t>AMER</t>
        </is>
      </c>
      <c r="AK25" t="inlineStr">
        <is>
          <t>IT-SFT0159-86-OG-US</t>
        </is>
      </c>
      <c r="AL25" t="inlineStr">
        <is>
          <t>Oracle</t>
        </is>
      </c>
      <c r="AM25" t="inlineStr">
        <is>
          <t>ORACLE MANAGED CLOUD SERVICES - (01/01/2</t>
        </is>
      </c>
      <c r="AN25" t="inlineStr">
        <is>
          <t>E1; 2026 Pullforward</t>
        </is>
      </c>
      <c r="AO25" t="n">
        <v>51077908522</v>
      </c>
      <c r="AP25" t="n">
        <v>102361943</v>
      </c>
      <c r="AQ25" t="inlineStr">
        <is>
          <t>USD</t>
        </is>
      </c>
      <c r="AR25" t="inlineStr">
        <is>
          <t>US Dollar</t>
        </is>
      </c>
      <c r="AS25" t="inlineStr">
        <is>
          <t>USD</t>
        </is>
      </c>
      <c r="AT25" t="n">
        <v>23578.17</v>
      </c>
      <c r="AU25" t="n">
        <v>23578.17</v>
      </c>
      <c r="AV25" t="n">
        <v>23578.17</v>
      </c>
      <c r="AW25" t="n">
        <v>23578.17</v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</row>
    <row r="26">
      <c r="A26" t="inlineStr">
        <is>
          <t>9501166164</t>
        </is>
      </c>
      <c r="B26" t="n">
        <v>202602</v>
      </c>
      <c r="C26" t="n">
        <v>5107791558</v>
      </c>
      <c r="D26" t="inlineStr">
        <is>
          <t>IBM WW ORDERING AND US INVOICING</t>
        </is>
      </c>
      <c r="E26" t="inlineStr">
        <is>
          <t>IT-FBT0281-OG-US-00</t>
        </is>
      </c>
      <c r="F26" s="138" t="n">
        <v>46058</v>
      </c>
      <c r="G26" s="138" t="n">
        <v>46062</v>
      </c>
      <c r="H26" t="inlineStr">
        <is>
          <t>SAP APPLICATION MANAGED SERVICE "AMS" YE</t>
        </is>
      </c>
      <c r="I26" t="n">
        <v>2</v>
      </c>
      <c r="J26" t="n">
        <v>387633.33</v>
      </c>
      <c r="K26" t="inlineStr">
        <is>
          <t>Actual</t>
        </is>
      </c>
      <c r="L26" t="n">
        <v>2026</v>
      </c>
      <c r="M26" s="138" t="n">
        <v>46054</v>
      </c>
      <c r="N26" t="inlineStr">
        <is>
          <t>DIGITAL</t>
        </is>
      </c>
      <c r="O26" t="inlineStr">
        <is>
          <t>IT140</t>
        </is>
      </c>
      <c r="P26" t="n">
        <v>2321403</v>
      </c>
      <c r="Q26" t="inlineStr">
        <is>
          <t>Maguire, Karla</t>
        </is>
      </c>
      <c r="R26" t="inlineStr">
        <is>
          <t>Tamavada, Ram</t>
        </is>
      </c>
      <c r="S26" t="inlineStr">
        <is>
          <t>1400/8011/86/IT140/0002321403 (890) (Net</t>
        </is>
      </c>
      <c r="T26" t="inlineStr">
        <is>
          <t>DIGITAL AND TECHNOLOGY</t>
        </is>
      </c>
      <c r="U26" t="inlineStr">
        <is>
          <t>CTIES</t>
        </is>
      </c>
      <c r="V26" t="inlineStr">
        <is>
          <t>ERP</t>
        </is>
      </c>
      <c r="W26" t="inlineStr">
        <is>
          <t>DIGITAL OPERATIONS AND COMMAND CENTER</t>
        </is>
      </c>
      <c r="X26" t="inlineStr">
        <is>
          <t>ERP SUPPORT SERVICES - US</t>
        </is>
      </c>
      <c r="Y26" t="n">
        <v>890</v>
      </c>
      <c r="Z26" t="n">
        <v>923</v>
      </c>
      <c r="AA26" t="inlineStr">
        <is>
          <t>Managed Services</t>
        </is>
      </c>
      <c r="AB26" t="inlineStr">
        <is>
          <t>Managed Services</t>
        </is>
      </c>
      <c r="AC26" t="n">
        <v>41500000</v>
      </c>
      <c r="AD26" t="n">
        <v>86</v>
      </c>
      <c r="AE26" t="n">
        <v>8011</v>
      </c>
      <c r="AF26" t="n">
        <v>10</v>
      </c>
      <c r="AG26" t="inlineStr">
        <is>
          <t>RE</t>
        </is>
      </c>
      <c r="AH26" t="n">
        <v>1400</v>
      </c>
      <c r="AI26" t="inlineStr">
        <is>
          <t>United States</t>
        </is>
      </c>
      <c r="AJ26" t="inlineStr">
        <is>
          <t>AMER</t>
        </is>
      </c>
      <c r="AK26" t="inlineStr">
        <is>
          <t>IT-FBT0281-OG-US-00</t>
        </is>
      </c>
      <c r="AL26" t="inlineStr">
        <is>
          <t>ERP IBM BTAMS</t>
        </is>
      </c>
      <c r="AM26" t="inlineStr">
        <is>
          <t>SAP APPLICATION MANAGED SERVICE "AMS" YE</t>
        </is>
      </c>
      <c r="AN26" t="inlineStr">
        <is>
          <t>BTAMS</t>
        </is>
      </c>
      <c r="AO26" t="n">
        <v>51077915582</v>
      </c>
      <c r="AP26" t="inlineStr">
        <is>
          <t>C26BGSY</t>
        </is>
      </c>
      <c r="AQ26" t="inlineStr">
        <is>
          <t>USD</t>
        </is>
      </c>
      <c r="AR26" t="inlineStr">
        <is>
          <t>US Dollar</t>
        </is>
      </c>
      <c r="AS26" t="inlineStr">
        <is>
          <t>USD</t>
        </is>
      </c>
      <c r="AT26" t="n">
        <v>387633.33</v>
      </c>
      <c r="AU26" t="n">
        <v>387633.33</v>
      </c>
      <c r="AV26" t="n">
        <v>387633.33</v>
      </c>
      <c r="AW26" t="n">
        <v>387633.33</v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</row>
    <row r="27">
      <c r="A27" t="inlineStr">
        <is>
          <t>9501158806</t>
        </is>
      </c>
      <c r="B27" t="n">
        <v>202602</v>
      </c>
      <c r="C27" t="n">
        <v>5107789162</v>
      </c>
      <c r="D27" t="inlineStr">
        <is>
          <t>IBM WW ORDERING AND US INVOICING</t>
        </is>
      </c>
      <c r="E27" t="inlineStr">
        <is>
          <t>IT-FBT0700-OG-US-00</t>
        </is>
      </c>
      <c r="F27" s="138" t="n">
        <v>46058</v>
      </c>
      <c r="G27" s="138" t="n">
        <v>46058</v>
      </c>
      <c r="H27" t="inlineStr">
        <is>
          <t>IBM: CELONIS APPLICATION MANAGED SERVICE</t>
        </is>
      </c>
      <c r="I27" t="n">
        <v>2</v>
      </c>
      <c r="J27" t="n">
        <v>31350</v>
      </c>
      <c r="K27" t="inlineStr">
        <is>
          <t>Actual</t>
        </is>
      </c>
      <c r="L27" t="n">
        <v>2026</v>
      </c>
      <c r="M27" s="138" t="n">
        <v>46054</v>
      </c>
      <c r="N27" t="inlineStr">
        <is>
          <t>DIGITAL</t>
        </is>
      </c>
      <c r="O27" t="inlineStr">
        <is>
          <t>IT140</t>
        </is>
      </c>
      <c r="P27" t="n">
        <v>2321403</v>
      </c>
      <c r="Q27" t="inlineStr">
        <is>
          <t>Maguire, Karla</t>
        </is>
      </c>
      <c r="R27" t="inlineStr">
        <is>
          <t>Tamavada, Ram</t>
        </is>
      </c>
      <c r="S27" t="inlineStr">
        <is>
          <t>1400/8011/86/IT140/0002321403 (890) (Net</t>
        </is>
      </c>
      <c r="T27" t="inlineStr">
        <is>
          <t>DIGITAL AND TECHNOLOGY</t>
        </is>
      </c>
      <c r="U27" t="inlineStr">
        <is>
          <t>CTIES</t>
        </is>
      </c>
      <c r="V27" t="inlineStr">
        <is>
          <t>ERP</t>
        </is>
      </c>
      <c r="W27" t="inlineStr">
        <is>
          <t>DIGITAL OPERATIONS AND COMMAND CENTER</t>
        </is>
      </c>
      <c r="X27" t="inlineStr">
        <is>
          <t>ERP SUPPORT SERVICES - US</t>
        </is>
      </c>
      <c r="Y27" t="n">
        <v>890</v>
      </c>
      <c r="Z27" t="n">
        <v>923</v>
      </c>
      <c r="AA27" t="inlineStr">
        <is>
          <t>Managed Services</t>
        </is>
      </c>
      <c r="AB27" t="inlineStr">
        <is>
          <t>Managed Services</t>
        </is>
      </c>
      <c r="AC27" t="n">
        <v>41500000</v>
      </c>
      <c r="AD27" t="n">
        <v>86</v>
      </c>
      <c r="AE27" t="n">
        <v>8011</v>
      </c>
      <c r="AF27" t="n">
        <v>10</v>
      </c>
      <c r="AG27" t="inlineStr">
        <is>
          <t>RE</t>
        </is>
      </c>
      <c r="AH27" t="n">
        <v>1400</v>
      </c>
      <c r="AI27" t="inlineStr">
        <is>
          <t>United States</t>
        </is>
      </c>
      <c r="AJ27" t="inlineStr">
        <is>
          <t>AMER</t>
        </is>
      </c>
      <c r="AK27" t="inlineStr">
        <is>
          <t>IT-FBT0700-OG-US-00</t>
        </is>
      </c>
      <c r="AL27" t="inlineStr">
        <is>
          <t>Celonis Software BTA</t>
        </is>
      </c>
      <c r="AM27" t="inlineStr">
        <is>
          <t>IBM: CELONIS APPLICATION MANAGED SERVICE</t>
        </is>
      </c>
      <c r="AN27" t="inlineStr">
        <is>
          <t>BTAMS</t>
        </is>
      </c>
      <c r="AO27" t="n">
        <v>51077891622</v>
      </c>
      <c r="AP27" t="inlineStr">
        <is>
          <t>C26BDF0</t>
        </is>
      </c>
      <c r="AQ27" t="inlineStr">
        <is>
          <t>USD</t>
        </is>
      </c>
      <c r="AR27" t="inlineStr">
        <is>
          <t>US Dollar</t>
        </is>
      </c>
      <c r="AS27" t="inlineStr">
        <is>
          <t>USD</t>
        </is>
      </c>
      <c r="AT27" t="n">
        <v>31350</v>
      </c>
      <c r="AU27" t="n">
        <v>31350</v>
      </c>
      <c r="AV27" t="n">
        <v>31350</v>
      </c>
      <c r="AW27" t="n">
        <v>31350</v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</row>
    <row r="28">
      <c r="A28" t="inlineStr">
        <is>
          <t>9501166164</t>
        </is>
      </c>
      <c r="B28" t="n">
        <v>202602</v>
      </c>
      <c r="C28" t="n">
        <v>2100082457</v>
      </c>
      <c r="D28" t="inlineStr">
        <is>
          <t>Not assigned</t>
        </is>
      </c>
      <c r="E28" t="inlineStr">
        <is>
          <t>IT-FBT0281-OG-US-00</t>
        </is>
      </c>
      <c r="F28" s="138" t="n">
        <v>46048</v>
      </c>
      <c r="G28" s="138" t="n">
        <v>46055</v>
      </c>
      <c r="H28" t="inlineStr">
        <is>
          <t>PO - 9501166164 - IBM CORP</t>
        </is>
      </c>
      <c r="I28" t="n">
        <v>2</v>
      </c>
      <c r="J28" t="n">
        <v>-319478.03</v>
      </c>
      <c r="K28" t="inlineStr">
        <is>
          <t>Reversal</t>
        </is>
      </c>
      <c r="L28" t="n">
        <v>2026</v>
      </c>
      <c r="M28" s="138" t="n">
        <v>46054</v>
      </c>
      <c r="N28" t="inlineStr">
        <is>
          <t>DIGITAL</t>
        </is>
      </c>
      <c r="O28" t="inlineStr">
        <is>
          <t>IT140</t>
        </is>
      </c>
      <c r="P28" t="n">
        <v>2321403</v>
      </c>
      <c r="Q28" t="inlineStr">
        <is>
          <t>Maguire, Karla</t>
        </is>
      </c>
      <c r="R28" t="inlineStr">
        <is>
          <t>Tamavada, Ram</t>
        </is>
      </c>
      <c r="S28" t="inlineStr">
        <is>
          <t>1400/8011/86/IT140/0002321403 (890) (Net</t>
        </is>
      </c>
      <c r="T28" t="inlineStr">
        <is>
          <t>DIGITAL AND TECHNOLOGY</t>
        </is>
      </c>
      <c r="U28" t="inlineStr">
        <is>
          <t>CTIES</t>
        </is>
      </c>
      <c r="V28" t="inlineStr">
        <is>
          <t>ERP</t>
        </is>
      </c>
      <c r="W28" t="inlineStr">
        <is>
          <t>DIGITAL OPERATIONS AND COMMAND CENTER</t>
        </is>
      </c>
      <c r="X28" t="inlineStr">
        <is>
          <t>ERP SUPPORT SERVICES - US</t>
        </is>
      </c>
      <c r="Y28" t="n">
        <v>890</v>
      </c>
      <c r="Z28" t="n">
        <v>923</v>
      </c>
      <c r="AA28" t="inlineStr">
        <is>
          <t>Managed Services</t>
        </is>
      </c>
      <c r="AB28" t="inlineStr">
        <is>
          <t>Managed Services</t>
        </is>
      </c>
      <c r="AC28" t="n">
        <v>41500000</v>
      </c>
      <c r="AD28" t="n">
        <v>86</v>
      </c>
      <c r="AE28" t="n">
        <v>8011</v>
      </c>
      <c r="AF28" t="n">
        <v>10</v>
      </c>
      <c r="AG28" t="inlineStr">
        <is>
          <t>ZY</t>
        </is>
      </c>
      <c r="AH28" t="n">
        <v>1400</v>
      </c>
      <c r="AI28" t="inlineStr">
        <is>
          <t>United States</t>
        </is>
      </c>
      <c r="AJ28" t="inlineStr">
        <is>
          <t>AMER</t>
        </is>
      </c>
      <c r="AK28" t="inlineStr">
        <is>
          <t>IT-FBT0281-OG-US-00</t>
        </is>
      </c>
      <c r="AL28" t="inlineStr">
        <is>
          <t>ERP IBM BTAMS</t>
        </is>
      </c>
      <c r="AM28" t="inlineStr">
        <is>
          <t>PO - 9501166164 - IBM CORP</t>
        </is>
      </c>
      <c r="AN28" t="inlineStr">
        <is>
          <t>BTAMS</t>
        </is>
      </c>
      <c r="AO28" t="n">
        <v>210008245735</v>
      </c>
      <c r="AP28" t="inlineStr">
        <is>
          <t>2WM</t>
        </is>
      </c>
      <c r="AQ28" t="inlineStr">
        <is>
          <t>USD</t>
        </is>
      </c>
      <c r="AR28" t="inlineStr">
        <is>
          <t>US Dollar</t>
        </is>
      </c>
      <c r="AS28" t="inlineStr">
        <is>
          <t>USD</t>
        </is>
      </c>
      <c r="AT28" t="n">
        <v>-319478.03</v>
      </c>
      <c r="AU28" t="n">
        <v>-319478.03</v>
      </c>
      <c r="AV28" t="n">
        <v>-319478.03</v>
      </c>
      <c r="AW28" t="n">
        <v>-319478.03</v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</row>
    <row r="29">
      <c r="A29" t="inlineStr">
        <is>
          <t>9501166164</t>
        </is>
      </c>
      <c r="B29" t="n">
        <v>202602</v>
      </c>
      <c r="C29" t="n">
        <v>2100082476</v>
      </c>
      <c r="D29" t="inlineStr">
        <is>
          <t>Not assigned</t>
        </is>
      </c>
      <c r="E29" t="inlineStr">
        <is>
          <t>IT-FBT0281-OG-US-00</t>
        </is>
      </c>
      <c r="F29" s="138" t="n">
        <v>46049</v>
      </c>
      <c r="G29" s="138" t="n">
        <v>46055</v>
      </c>
      <c r="H29" t="inlineStr">
        <is>
          <t>PO- 9501166164 - IBM CORP</t>
        </is>
      </c>
      <c r="I29" t="n">
        <v>2</v>
      </c>
      <c r="J29" t="n">
        <v>-68155.31</v>
      </c>
      <c r="K29" t="inlineStr">
        <is>
          <t>Reversal</t>
        </is>
      </c>
      <c r="L29" t="n">
        <v>2026</v>
      </c>
      <c r="M29" s="138" t="n">
        <v>46054</v>
      </c>
      <c r="N29" t="inlineStr">
        <is>
          <t>DIGITAL</t>
        </is>
      </c>
      <c r="O29" t="inlineStr">
        <is>
          <t>IT140</t>
        </is>
      </c>
      <c r="P29" t="n">
        <v>2321403</v>
      </c>
      <c r="Q29" t="inlineStr">
        <is>
          <t>Maguire, Karla</t>
        </is>
      </c>
      <c r="R29" t="inlineStr">
        <is>
          <t>Tamavada, Ram</t>
        </is>
      </c>
      <c r="S29" t="inlineStr">
        <is>
          <t>1400/8011/86/IT140/0002321403 (890) (Net</t>
        </is>
      </c>
      <c r="T29" t="inlineStr">
        <is>
          <t>DIGITAL AND TECHNOLOGY</t>
        </is>
      </c>
      <c r="U29" t="inlineStr">
        <is>
          <t>CTIES</t>
        </is>
      </c>
      <c r="V29" t="inlineStr">
        <is>
          <t>ERP</t>
        </is>
      </c>
      <c r="W29" t="inlineStr">
        <is>
          <t>DIGITAL OPERATIONS AND COMMAND CENTER</t>
        </is>
      </c>
      <c r="X29" t="inlineStr">
        <is>
          <t>ERP SUPPORT SERVICES - US</t>
        </is>
      </c>
      <c r="Y29" t="n">
        <v>890</v>
      </c>
      <c r="Z29" t="n">
        <v>923</v>
      </c>
      <c r="AA29" t="inlineStr">
        <is>
          <t>Managed Services</t>
        </is>
      </c>
      <c r="AB29" t="inlineStr">
        <is>
          <t>Managed Services</t>
        </is>
      </c>
      <c r="AC29" t="n">
        <v>41500000</v>
      </c>
      <c r="AD29" t="n">
        <v>86</v>
      </c>
      <c r="AE29" t="n">
        <v>8011</v>
      </c>
      <c r="AF29" t="n">
        <v>10</v>
      </c>
      <c r="AG29" t="inlineStr">
        <is>
          <t>ZY</t>
        </is>
      </c>
      <c r="AH29" t="n">
        <v>1400</v>
      </c>
      <c r="AI29" t="inlineStr">
        <is>
          <t>United States</t>
        </is>
      </c>
      <c r="AJ29" t="inlineStr">
        <is>
          <t>AMER</t>
        </is>
      </c>
      <c r="AK29" t="inlineStr">
        <is>
          <t>IT-FBT0281-OG-US-00</t>
        </is>
      </c>
      <c r="AL29" t="inlineStr">
        <is>
          <t>ERP IBM BTAMS</t>
        </is>
      </c>
      <c r="AM29" t="inlineStr">
        <is>
          <t>PO- 9501166164 - IBM CORP</t>
        </is>
      </c>
      <c r="AN29" t="inlineStr">
        <is>
          <t>BTAMS</t>
        </is>
      </c>
      <c r="AO29" t="n">
        <v>210008247651</v>
      </c>
      <c r="AP29" t="inlineStr">
        <is>
          <t>2WM ADJ</t>
        </is>
      </c>
      <c r="AQ29" t="inlineStr">
        <is>
          <t>USD</t>
        </is>
      </c>
      <c r="AR29" t="inlineStr">
        <is>
          <t>US Dollar</t>
        </is>
      </c>
      <c r="AS29" t="inlineStr">
        <is>
          <t>USD</t>
        </is>
      </c>
      <c r="AT29" t="n">
        <v>-68155.31</v>
      </c>
      <c r="AU29" t="n">
        <v>-68155.31</v>
      </c>
      <c r="AV29" t="n">
        <v>-68155.31</v>
      </c>
      <c r="AW29" t="n">
        <v>-68155.31</v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</row>
    <row r="30">
      <c r="A30" t="inlineStr">
        <is>
          <t>9501166164</t>
        </is>
      </c>
      <c r="B30" t="n">
        <v>202602</v>
      </c>
      <c r="C30" t="n">
        <v>2100082608</v>
      </c>
      <c r="D30" t="inlineStr">
        <is>
          <t>Not assigned</t>
        </is>
      </c>
      <c r="E30" t="inlineStr">
        <is>
          <t>IT-FBT0281-OG-US-00</t>
        </is>
      </c>
      <c r="F30" s="138" t="n">
        <v>46076</v>
      </c>
      <c r="G30" s="138" t="n">
        <v>46068</v>
      </c>
      <c r="H30" t="inlineStr">
        <is>
          <t>PO - 9501166164 - IBM CORP</t>
        </is>
      </c>
      <c r="I30" t="n">
        <v>2</v>
      </c>
      <c r="J30" t="n">
        <v>289660.08</v>
      </c>
      <c r="K30" t="inlineStr">
        <is>
          <t>Accrual</t>
        </is>
      </c>
      <c r="L30" t="n">
        <v>2026</v>
      </c>
      <c r="M30" s="138" t="n">
        <v>46054</v>
      </c>
      <c r="N30" t="inlineStr">
        <is>
          <t>DIGITAL</t>
        </is>
      </c>
      <c r="O30" t="inlineStr">
        <is>
          <t>IT140</t>
        </is>
      </c>
      <c r="P30" t="n">
        <v>2321403</v>
      </c>
      <c r="Q30" t="inlineStr">
        <is>
          <t>Maguire, Karla</t>
        </is>
      </c>
      <c r="R30" t="inlineStr">
        <is>
          <t>Tamavada, Ram</t>
        </is>
      </c>
      <c r="S30" t="inlineStr">
        <is>
          <t>1400/8011/86/IT140/0002321403 (890) (Net</t>
        </is>
      </c>
      <c r="T30" t="inlineStr">
        <is>
          <t>DIGITAL AND TECHNOLOGY</t>
        </is>
      </c>
      <c r="U30" t="inlineStr">
        <is>
          <t>CTIES</t>
        </is>
      </c>
      <c r="V30" t="inlineStr">
        <is>
          <t>ERP</t>
        </is>
      </c>
      <c r="W30" t="inlineStr">
        <is>
          <t>DIGITAL OPERATIONS AND COMMAND CENTER</t>
        </is>
      </c>
      <c r="X30" t="inlineStr">
        <is>
          <t>ERP SUPPORT SERVICES - US</t>
        </is>
      </c>
      <c r="Y30" t="n">
        <v>890</v>
      </c>
      <c r="Z30" t="n">
        <v>923</v>
      </c>
      <c r="AA30" t="inlineStr">
        <is>
          <t>Managed Services</t>
        </is>
      </c>
      <c r="AB30" t="inlineStr">
        <is>
          <t>Managed Services</t>
        </is>
      </c>
      <c r="AC30" t="n">
        <v>41500000</v>
      </c>
      <c r="AD30" t="n">
        <v>86</v>
      </c>
      <c r="AE30" t="n">
        <v>8011</v>
      </c>
      <c r="AF30" t="n">
        <v>10</v>
      </c>
      <c r="AG30" t="inlineStr">
        <is>
          <t>ZY</t>
        </is>
      </c>
      <c r="AH30" t="n">
        <v>1400</v>
      </c>
      <c r="AI30" t="inlineStr">
        <is>
          <t>United States</t>
        </is>
      </c>
      <c r="AJ30" t="inlineStr">
        <is>
          <t>AMER</t>
        </is>
      </c>
      <c r="AK30" t="inlineStr">
        <is>
          <t>IT-FBT0281-OG-US-00</t>
        </is>
      </c>
      <c r="AL30" t="inlineStr">
        <is>
          <t>ERP IBM BTAMS</t>
        </is>
      </c>
      <c r="AM30" t="inlineStr">
        <is>
          <t>PO - 9501166164 - IBM CORP</t>
        </is>
      </c>
      <c r="AN30" t="inlineStr">
        <is>
          <t>BTAMS</t>
        </is>
      </c>
      <c r="AO30" t="n">
        <v>2100082608130</v>
      </c>
      <c r="AP30" t="inlineStr">
        <is>
          <t>2WM</t>
        </is>
      </c>
      <c r="AQ30" t="inlineStr">
        <is>
          <t>USD</t>
        </is>
      </c>
      <c r="AR30" t="inlineStr">
        <is>
          <t>US Dollar</t>
        </is>
      </c>
      <c r="AS30" t="inlineStr">
        <is>
          <t>USD</t>
        </is>
      </c>
      <c r="AT30" t="n">
        <v>289660.08</v>
      </c>
      <c r="AU30" t="n">
        <v>289660.08</v>
      </c>
      <c r="AV30" t="n">
        <v>289660.08</v>
      </c>
      <c r="AW30" t="n">
        <v>289660.08</v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</row>
    <row r="31">
      <c r="A31" t="inlineStr">
        <is>
          <t>9501190667</t>
        </is>
      </c>
      <c r="B31" t="n">
        <v>202602</v>
      </c>
      <c r="C31" t="n">
        <v>2100082619</v>
      </c>
      <c r="D31" t="inlineStr">
        <is>
          <t>Not assigned</t>
        </is>
      </c>
      <c r="E31" t="inlineStr">
        <is>
          <t>IT-FBT0281-OG-US-00</t>
        </is>
      </c>
      <c r="F31" s="138" t="n">
        <v>46076</v>
      </c>
      <c r="G31" s="138" t="n">
        <v>46068</v>
      </c>
      <c r="H31" t="inlineStr">
        <is>
          <t>PO - 9501190667 - IBM CORP</t>
        </is>
      </c>
      <c r="I31" t="n">
        <v>2</v>
      </c>
      <c r="J31" t="n">
        <v>17269.74</v>
      </c>
      <c r="K31" t="inlineStr">
        <is>
          <t>Accrual</t>
        </is>
      </c>
      <c r="L31" t="n">
        <v>2026</v>
      </c>
      <c r="M31" s="138" t="n">
        <v>46054</v>
      </c>
      <c r="N31" t="inlineStr">
        <is>
          <t>DIGITAL</t>
        </is>
      </c>
      <c r="O31" t="inlineStr">
        <is>
          <t>IT140</t>
        </is>
      </c>
      <c r="P31" t="n">
        <v>2321403</v>
      </c>
      <c r="Q31" t="inlineStr">
        <is>
          <t>Maguire, Karla</t>
        </is>
      </c>
      <c r="R31" t="inlineStr">
        <is>
          <t>Tamavada, Ram</t>
        </is>
      </c>
      <c r="S31" t="inlineStr">
        <is>
          <t>1400/8011/86/IT140/0002321403 (890) (Net</t>
        </is>
      </c>
      <c r="T31" t="inlineStr">
        <is>
          <t>DIGITAL AND TECHNOLOGY</t>
        </is>
      </c>
      <c r="U31" t="inlineStr">
        <is>
          <t>CTIES</t>
        </is>
      </c>
      <c r="V31" t="inlineStr">
        <is>
          <t>ERP</t>
        </is>
      </c>
      <c r="W31" t="inlineStr">
        <is>
          <t>DIGITAL OPERATIONS AND COMMAND CENTER</t>
        </is>
      </c>
      <c r="X31" t="inlineStr">
        <is>
          <t>ERP SUPPORT SERVICES - US</t>
        </is>
      </c>
      <c r="Y31" t="n">
        <v>890</v>
      </c>
      <c r="Z31" t="n">
        <v>923</v>
      </c>
      <c r="AA31" t="inlineStr">
        <is>
          <t>Managed Services</t>
        </is>
      </c>
      <c r="AB31" t="inlineStr">
        <is>
          <t>Managed Services</t>
        </is>
      </c>
      <c r="AC31" t="n">
        <v>41500000</v>
      </c>
      <c r="AD31" t="n">
        <v>86</v>
      </c>
      <c r="AE31" t="n">
        <v>8011</v>
      </c>
      <c r="AF31" t="n">
        <v>10</v>
      </c>
      <c r="AG31" t="inlineStr">
        <is>
          <t>ZY</t>
        </is>
      </c>
      <c r="AH31" t="n">
        <v>1400</v>
      </c>
      <c r="AI31" t="inlineStr">
        <is>
          <t>United States</t>
        </is>
      </c>
      <c r="AJ31" t="inlineStr">
        <is>
          <t>AMER</t>
        </is>
      </c>
      <c r="AK31" t="inlineStr">
        <is>
          <t>IT-FBT0281-OG-US-00</t>
        </is>
      </c>
      <c r="AL31" t="inlineStr">
        <is>
          <t>ERP IBM BTAMS</t>
        </is>
      </c>
      <c r="AM31" t="inlineStr">
        <is>
          <t>PO - 9501190667 - IBM CORP</t>
        </is>
      </c>
      <c r="AN31" t="inlineStr">
        <is>
          <t>BTAMS</t>
        </is>
      </c>
      <c r="AO31" t="n">
        <v>210008261958</v>
      </c>
      <c r="AP31" t="inlineStr">
        <is>
          <t>2WM</t>
        </is>
      </c>
      <c r="AQ31" t="inlineStr">
        <is>
          <t>USD</t>
        </is>
      </c>
      <c r="AR31" t="inlineStr">
        <is>
          <t>US Dollar</t>
        </is>
      </c>
      <c r="AS31" t="inlineStr">
        <is>
          <t>USD</t>
        </is>
      </c>
      <c r="AT31" t="n">
        <v>17269.74</v>
      </c>
      <c r="AU31" t="n">
        <v>17269.74</v>
      </c>
      <c r="AV31" t="n">
        <v>17269.74</v>
      </c>
      <c r="AW31" t="n">
        <v>17269.74</v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</row>
    <row r="32">
      <c r="A32" t="inlineStr">
        <is>
          <t>9501166164</t>
        </is>
      </c>
      <c r="B32" t="n">
        <v>202602</v>
      </c>
      <c r="C32" t="n">
        <v>2100082692</v>
      </c>
      <c r="D32" t="inlineStr">
        <is>
          <t>Not assigned</t>
        </is>
      </c>
      <c r="E32" t="inlineStr">
        <is>
          <t>IT-FBT0281-OG-US-00</t>
        </is>
      </c>
      <c r="F32" s="138" t="n">
        <v>46078</v>
      </c>
      <c r="G32" s="138" t="n">
        <v>46068</v>
      </c>
      <c r="H32" t="inlineStr">
        <is>
          <t>PO- 9501166164 - IBM CORP</t>
        </is>
      </c>
      <c r="I32" t="n">
        <v>2</v>
      </c>
      <c r="J32" t="n">
        <v>97972.92</v>
      </c>
      <c r="K32" t="inlineStr">
        <is>
          <t>Accrual</t>
        </is>
      </c>
      <c r="L32" t="n">
        <v>2026</v>
      </c>
      <c r="M32" s="138" t="n">
        <v>46054</v>
      </c>
      <c r="N32" t="inlineStr">
        <is>
          <t>DIGITAL</t>
        </is>
      </c>
      <c r="O32" t="inlineStr">
        <is>
          <t>IT140</t>
        </is>
      </c>
      <c r="P32" t="n">
        <v>2321403</v>
      </c>
      <c r="Q32" t="inlineStr">
        <is>
          <t>Maguire, Karla</t>
        </is>
      </c>
      <c r="R32" t="inlineStr">
        <is>
          <t>Tamavada, Ram</t>
        </is>
      </c>
      <c r="S32" t="inlineStr">
        <is>
          <t>1400/8011/86/IT140/0002321403 (890) (Net</t>
        </is>
      </c>
      <c r="T32" t="inlineStr">
        <is>
          <t>DIGITAL AND TECHNOLOGY</t>
        </is>
      </c>
      <c r="U32" t="inlineStr">
        <is>
          <t>CTIES</t>
        </is>
      </c>
      <c r="V32" t="inlineStr">
        <is>
          <t>ERP</t>
        </is>
      </c>
      <c r="W32" t="inlineStr">
        <is>
          <t>DIGITAL OPERATIONS AND COMMAND CENTER</t>
        </is>
      </c>
      <c r="X32" t="inlineStr">
        <is>
          <t>ERP SUPPORT SERVICES - US</t>
        </is>
      </c>
      <c r="Y32" t="n">
        <v>890</v>
      </c>
      <c r="Z32" t="n">
        <v>923</v>
      </c>
      <c r="AA32" t="inlineStr">
        <is>
          <t>Managed Services</t>
        </is>
      </c>
      <c r="AB32" t="inlineStr">
        <is>
          <t>Managed Services</t>
        </is>
      </c>
      <c r="AC32" t="n">
        <v>41500000</v>
      </c>
      <c r="AD32" t="n">
        <v>86</v>
      </c>
      <c r="AE32" t="n">
        <v>8011</v>
      </c>
      <c r="AF32" t="n">
        <v>10</v>
      </c>
      <c r="AG32" t="inlineStr">
        <is>
          <t>ZY</t>
        </is>
      </c>
      <c r="AH32" t="n">
        <v>1400</v>
      </c>
      <c r="AI32" t="inlineStr">
        <is>
          <t>United States</t>
        </is>
      </c>
      <c r="AJ32" t="inlineStr">
        <is>
          <t>AMER</t>
        </is>
      </c>
      <c r="AK32" t="inlineStr">
        <is>
          <t>IT-FBT0281-OG-US-00</t>
        </is>
      </c>
      <c r="AL32" t="inlineStr">
        <is>
          <t>ERP IBM BTAMS</t>
        </is>
      </c>
      <c r="AM32" t="inlineStr">
        <is>
          <t>PO- 9501166164 - IBM CORP</t>
        </is>
      </c>
      <c r="AN32" t="inlineStr">
        <is>
          <t>BTAMS</t>
        </is>
      </c>
      <c r="AO32" t="n">
        <v>210008269219</v>
      </c>
      <c r="AP32" t="inlineStr">
        <is>
          <t>2WM ADJ</t>
        </is>
      </c>
      <c r="AQ32" t="inlineStr">
        <is>
          <t>USD</t>
        </is>
      </c>
      <c r="AR32" t="inlineStr">
        <is>
          <t>US Dollar</t>
        </is>
      </c>
      <c r="AS32" t="inlineStr">
        <is>
          <t>USD</t>
        </is>
      </c>
      <c r="AT32" t="n">
        <v>97972.92</v>
      </c>
      <c r="AU32" t="n">
        <v>97972.92</v>
      </c>
      <c r="AV32" t="n">
        <v>97972.92</v>
      </c>
      <c r="AW32" t="n">
        <v>97972.92</v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</row>
    <row r="33">
      <c r="A33" t="inlineStr">
        <is>
          <t>9501199822</t>
        </is>
      </c>
      <c r="B33" t="n">
        <v>202602</v>
      </c>
      <c r="C33" t="n">
        <v>2100082608</v>
      </c>
      <c r="D33" t="inlineStr">
        <is>
          <t>Not assigned</t>
        </is>
      </c>
      <c r="E33" t="inlineStr">
        <is>
          <t>IT-FBT0282-OG-US-00</t>
        </is>
      </c>
      <c r="F33" s="138" t="n">
        <v>46076</v>
      </c>
      <c r="G33" s="138" t="n">
        <v>46068</v>
      </c>
      <c r="H33" t="inlineStr">
        <is>
          <t>PO - 9501199822 - IBM CORP</t>
        </is>
      </c>
      <c r="I33" t="n">
        <v>2</v>
      </c>
      <c r="J33" t="n">
        <v>154107.7</v>
      </c>
      <c r="K33" t="inlineStr">
        <is>
          <t>Accrual</t>
        </is>
      </c>
      <c r="L33" t="n">
        <v>2026</v>
      </c>
      <c r="M33" s="138" t="n">
        <v>46054</v>
      </c>
      <c r="N33" t="inlineStr">
        <is>
          <t>DIGITAL</t>
        </is>
      </c>
      <c r="O33" t="inlineStr">
        <is>
          <t>IT140</t>
        </is>
      </c>
      <c r="P33" t="n">
        <v>2321403</v>
      </c>
      <c r="Q33" t="inlineStr">
        <is>
          <t>Maguire, Karla</t>
        </is>
      </c>
      <c r="R33" t="inlineStr">
        <is>
          <t>Tamavada, Ram</t>
        </is>
      </c>
      <c r="S33" t="inlineStr">
        <is>
          <t>1400/8011/86/IT140/0002321403 (890) (Net</t>
        </is>
      </c>
      <c r="T33" t="inlineStr">
        <is>
          <t>DIGITAL AND TECHNOLOGY</t>
        </is>
      </c>
      <c r="U33" t="inlineStr">
        <is>
          <t>CTIES</t>
        </is>
      </c>
      <c r="V33" t="inlineStr">
        <is>
          <t>ERP</t>
        </is>
      </c>
      <c r="W33" t="inlineStr">
        <is>
          <t>DIGITAL OPERATIONS AND COMMAND CENTER</t>
        </is>
      </c>
      <c r="X33" t="inlineStr">
        <is>
          <t>ERP SUPPORT SERVICES - US</t>
        </is>
      </c>
      <c r="Y33" t="n">
        <v>890</v>
      </c>
      <c r="Z33" t="n">
        <v>923</v>
      </c>
      <c r="AA33" t="inlineStr">
        <is>
          <t>Managed Services</t>
        </is>
      </c>
      <c r="AB33" t="inlineStr">
        <is>
          <t>Managed Services</t>
        </is>
      </c>
      <c r="AC33" t="n">
        <v>41500000</v>
      </c>
      <c r="AD33" t="n">
        <v>86</v>
      </c>
      <c r="AE33" t="n">
        <v>8011</v>
      </c>
      <c r="AF33" t="n">
        <v>10</v>
      </c>
      <c r="AG33" t="inlineStr">
        <is>
          <t>ZY</t>
        </is>
      </c>
      <c r="AH33" t="n">
        <v>1400</v>
      </c>
      <c r="AI33" t="inlineStr">
        <is>
          <t>United States</t>
        </is>
      </c>
      <c r="AJ33" t="inlineStr">
        <is>
          <t>AMER</t>
        </is>
      </c>
      <c r="AK33" t="inlineStr">
        <is>
          <t>IT-FBT0282-OG-US-00</t>
        </is>
      </c>
      <c r="AL33" t="inlineStr">
        <is>
          <t>FBO and HR Accenture</t>
        </is>
      </c>
      <c r="AM33" t="inlineStr">
        <is>
          <t>PO - 9501199822 - IBM CORP</t>
        </is>
      </c>
      <c r="AN33" t="inlineStr">
        <is>
          <t>BTAMS</t>
        </is>
      </c>
      <c r="AO33" t="n">
        <v>210008260866</v>
      </c>
      <c r="AP33" t="inlineStr">
        <is>
          <t>2WM</t>
        </is>
      </c>
      <c r="AQ33" t="inlineStr">
        <is>
          <t>USD</t>
        </is>
      </c>
      <c r="AR33" t="inlineStr">
        <is>
          <t>US Dollar</t>
        </is>
      </c>
      <c r="AS33" t="inlineStr">
        <is>
          <t>USD</t>
        </is>
      </c>
      <c r="AT33" t="n">
        <v>154107.7</v>
      </c>
      <c r="AU33" t="n">
        <v>154107.7</v>
      </c>
      <c r="AV33" t="n">
        <v>154107.7</v>
      </c>
      <c r="AW33" t="n">
        <v>154107.7</v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</row>
    <row r="34">
      <c r="A34" t="inlineStr">
        <is>
          <t>9501196824</t>
        </is>
      </c>
      <c r="B34" t="n">
        <v>202602</v>
      </c>
      <c r="C34" t="n">
        <v>2100082619</v>
      </c>
      <c r="D34" t="inlineStr">
        <is>
          <t>Not assigned</t>
        </is>
      </c>
      <c r="E34" t="inlineStr">
        <is>
          <t>IT-FBT0282-OG-US-00</t>
        </is>
      </c>
      <c r="F34" s="138" t="n">
        <v>46076</v>
      </c>
      <c r="G34" s="138" t="n">
        <v>46068</v>
      </c>
      <c r="H34" t="inlineStr">
        <is>
          <t>PO - 9501196824 - IBM CORP</t>
        </is>
      </c>
      <c r="I34" t="n">
        <v>2</v>
      </c>
      <c r="J34" t="n">
        <v>63046.71</v>
      </c>
      <c r="K34" t="inlineStr">
        <is>
          <t>Accrual</t>
        </is>
      </c>
      <c r="L34" t="n">
        <v>2026</v>
      </c>
      <c r="M34" s="138" t="n">
        <v>46054</v>
      </c>
      <c r="N34" t="inlineStr">
        <is>
          <t>DIGITAL</t>
        </is>
      </c>
      <c r="O34" t="inlineStr">
        <is>
          <t>IT140</t>
        </is>
      </c>
      <c r="P34" t="n">
        <v>2321403</v>
      </c>
      <c r="Q34" t="inlineStr">
        <is>
          <t>Maguire, Karla</t>
        </is>
      </c>
      <c r="R34" t="inlineStr">
        <is>
          <t>Tamavada, Ram</t>
        </is>
      </c>
      <c r="S34" t="inlineStr">
        <is>
          <t>1400/8011/86/IT140/0002321403 (890) (Net</t>
        </is>
      </c>
      <c r="T34" t="inlineStr">
        <is>
          <t>DIGITAL AND TECHNOLOGY</t>
        </is>
      </c>
      <c r="U34" t="inlineStr">
        <is>
          <t>CTIES</t>
        </is>
      </c>
      <c r="V34" t="inlineStr">
        <is>
          <t>ERP</t>
        </is>
      </c>
      <c r="W34" t="inlineStr">
        <is>
          <t>DIGITAL OPERATIONS AND COMMAND CENTER</t>
        </is>
      </c>
      <c r="X34" t="inlineStr">
        <is>
          <t>ERP SUPPORT SERVICES - US</t>
        </is>
      </c>
      <c r="Y34" t="n">
        <v>890</v>
      </c>
      <c r="Z34" t="n">
        <v>923</v>
      </c>
      <c r="AA34" t="inlineStr">
        <is>
          <t>Managed Services</t>
        </is>
      </c>
      <c r="AB34" t="inlineStr">
        <is>
          <t>Managed Services</t>
        </is>
      </c>
      <c r="AC34" t="n">
        <v>41500000</v>
      </c>
      <c r="AD34" t="n">
        <v>86</v>
      </c>
      <c r="AE34" t="n">
        <v>8011</v>
      </c>
      <c r="AF34" t="n">
        <v>10</v>
      </c>
      <c r="AG34" t="inlineStr">
        <is>
          <t>ZY</t>
        </is>
      </c>
      <c r="AH34" t="n">
        <v>1400</v>
      </c>
      <c r="AI34" t="inlineStr">
        <is>
          <t>United States</t>
        </is>
      </c>
      <c r="AJ34" t="inlineStr">
        <is>
          <t>AMER</t>
        </is>
      </c>
      <c r="AK34" t="inlineStr">
        <is>
          <t>IT-FBT0282-OG-US-00</t>
        </is>
      </c>
      <c r="AL34" t="inlineStr">
        <is>
          <t>FBO and HR Accenture</t>
        </is>
      </c>
      <c r="AM34" t="inlineStr">
        <is>
          <t>PO - 9501196824 - IBM CORP</t>
        </is>
      </c>
      <c r="AN34" t="inlineStr">
        <is>
          <t>BTAMS</t>
        </is>
      </c>
      <c r="AO34" t="n">
        <v>210008261944</v>
      </c>
      <c r="AP34" t="inlineStr">
        <is>
          <t>2WM</t>
        </is>
      </c>
      <c r="AQ34" t="inlineStr">
        <is>
          <t>USD</t>
        </is>
      </c>
      <c r="AR34" t="inlineStr">
        <is>
          <t>US Dollar</t>
        </is>
      </c>
      <c r="AS34" t="inlineStr">
        <is>
          <t>USD</t>
        </is>
      </c>
      <c r="AT34" t="n">
        <v>63046.71</v>
      </c>
      <c r="AU34" t="n">
        <v>63046.71</v>
      </c>
      <c r="AV34" t="n">
        <v>63046.71</v>
      </c>
      <c r="AW34" t="n">
        <v>63046.71</v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</row>
    <row r="35">
      <c r="A35" t="inlineStr">
        <is>
          <t>9501199827</t>
        </is>
      </c>
      <c r="B35" t="n">
        <v>202602</v>
      </c>
      <c r="C35" t="n">
        <v>2100082619</v>
      </c>
      <c r="D35" t="inlineStr">
        <is>
          <t>Not assigned</t>
        </is>
      </c>
      <c r="E35" t="inlineStr">
        <is>
          <t>IT-FBT0282-OG-US-00</t>
        </is>
      </c>
      <c r="F35" s="138" t="n">
        <v>46076</v>
      </c>
      <c r="G35" s="138" t="n">
        <v>46068</v>
      </c>
      <c r="H35" t="inlineStr">
        <is>
          <t>PO - 9501199827 - IBM CORP</t>
        </is>
      </c>
      <c r="I35" t="n">
        <v>2</v>
      </c>
      <c r="J35" t="n">
        <v>84071.98</v>
      </c>
      <c r="K35" t="inlineStr">
        <is>
          <t>Accrual</t>
        </is>
      </c>
      <c r="L35" t="n">
        <v>2026</v>
      </c>
      <c r="M35" s="138" t="n">
        <v>46054</v>
      </c>
      <c r="N35" t="inlineStr">
        <is>
          <t>DIGITAL</t>
        </is>
      </c>
      <c r="O35" t="inlineStr">
        <is>
          <t>IT140</t>
        </is>
      </c>
      <c r="P35" t="n">
        <v>2321403</v>
      </c>
      <c r="Q35" t="inlineStr">
        <is>
          <t>Maguire, Karla</t>
        </is>
      </c>
      <c r="R35" t="inlineStr">
        <is>
          <t>Tamavada, Ram</t>
        </is>
      </c>
      <c r="S35" t="inlineStr">
        <is>
          <t>1400/8011/86/IT140/0002321403 (890) (Net</t>
        </is>
      </c>
      <c r="T35" t="inlineStr">
        <is>
          <t>DIGITAL AND TECHNOLOGY</t>
        </is>
      </c>
      <c r="U35" t="inlineStr">
        <is>
          <t>CTIES</t>
        </is>
      </c>
      <c r="V35" t="inlineStr">
        <is>
          <t>ERP</t>
        </is>
      </c>
      <c r="W35" t="inlineStr">
        <is>
          <t>DIGITAL OPERATIONS AND COMMAND CENTER</t>
        </is>
      </c>
      <c r="X35" t="inlineStr">
        <is>
          <t>ERP SUPPORT SERVICES - US</t>
        </is>
      </c>
      <c r="Y35" t="n">
        <v>890</v>
      </c>
      <c r="Z35" t="n">
        <v>923</v>
      </c>
      <c r="AA35" t="inlineStr">
        <is>
          <t>Managed Services</t>
        </is>
      </c>
      <c r="AB35" t="inlineStr">
        <is>
          <t>Managed Services</t>
        </is>
      </c>
      <c r="AC35" t="n">
        <v>41500000</v>
      </c>
      <c r="AD35" t="n">
        <v>86</v>
      </c>
      <c r="AE35" t="n">
        <v>8011</v>
      </c>
      <c r="AF35" t="n">
        <v>10</v>
      </c>
      <c r="AG35" t="inlineStr">
        <is>
          <t>ZY</t>
        </is>
      </c>
      <c r="AH35" t="n">
        <v>1400</v>
      </c>
      <c r="AI35" t="inlineStr">
        <is>
          <t>United States</t>
        </is>
      </c>
      <c r="AJ35" t="inlineStr">
        <is>
          <t>AMER</t>
        </is>
      </c>
      <c r="AK35" t="inlineStr">
        <is>
          <t>IT-FBT0282-OG-US-00</t>
        </is>
      </c>
      <c r="AL35" t="inlineStr">
        <is>
          <t>FBO and HR Accenture</t>
        </is>
      </c>
      <c r="AM35" t="inlineStr">
        <is>
          <t>PO - 9501199827 - IBM CORP</t>
        </is>
      </c>
      <c r="AN35" t="inlineStr">
        <is>
          <t>BTAMS</t>
        </is>
      </c>
      <c r="AO35" t="n">
        <v>210008261942</v>
      </c>
      <c r="AP35" t="inlineStr">
        <is>
          <t>2WM</t>
        </is>
      </c>
      <c r="AQ35" t="inlineStr">
        <is>
          <t>USD</t>
        </is>
      </c>
      <c r="AR35" t="inlineStr">
        <is>
          <t>US Dollar</t>
        </is>
      </c>
      <c r="AS35" t="inlineStr">
        <is>
          <t>USD</t>
        </is>
      </c>
      <c r="AT35" t="n">
        <v>84071.98</v>
      </c>
      <c r="AU35" t="n">
        <v>84071.98</v>
      </c>
      <c r="AV35" t="n">
        <v>84071.98</v>
      </c>
      <c r="AW35" t="n">
        <v>84071.98</v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</row>
    <row r="36">
      <c r="A36" t="inlineStr">
        <is>
          <t>9501196824</t>
        </is>
      </c>
      <c r="B36" t="n">
        <v>202602</v>
      </c>
      <c r="C36" t="n">
        <v>2100082650</v>
      </c>
      <c r="D36" t="inlineStr">
        <is>
          <t>Not assigned</t>
        </is>
      </c>
      <c r="E36" t="inlineStr">
        <is>
          <t>IT-FBT0282-OG-US-00</t>
        </is>
      </c>
      <c r="F36" s="138" t="n">
        <v>46077</v>
      </c>
      <c r="G36" s="138" t="n">
        <v>46068</v>
      </c>
      <c r="H36" t="inlineStr">
        <is>
          <t>AC02-9501196824- IBM ISOW – APPLICATION MANAGED SE</t>
        </is>
      </c>
      <c r="I36" t="n">
        <v>2</v>
      </c>
      <c r="J36" t="n">
        <v>9119</v>
      </c>
      <c r="K36" t="inlineStr">
        <is>
          <t>Accrual</t>
        </is>
      </c>
      <c r="L36" t="n">
        <v>2026</v>
      </c>
      <c r="M36" s="138" t="n">
        <v>46054</v>
      </c>
      <c r="N36" t="inlineStr">
        <is>
          <t>DIGITAL</t>
        </is>
      </c>
      <c r="O36" t="inlineStr">
        <is>
          <t>IT140</t>
        </is>
      </c>
      <c r="P36" t="n">
        <v>2321403</v>
      </c>
      <c r="Q36" t="inlineStr">
        <is>
          <t>Maguire, Karla</t>
        </is>
      </c>
      <c r="R36" t="inlineStr">
        <is>
          <t>Tamavada, Ram</t>
        </is>
      </c>
      <c r="S36" t="inlineStr">
        <is>
          <t>1400/8011/86/IT140/0002321403 (890) (Net</t>
        </is>
      </c>
      <c r="T36" t="inlineStr">
        <is>
          <t>DIGITAL AND TECHNOLOGY</t>
        </is>
      </c>
      <c r="U36" t="inlineStr">
        <is>
          <t>CTIES</t>
        </is>
      </c>
      <c r="V36" t="inlineStr">
        <is>
          <t>ERP</t>
        </is>
      </c>
      <c r="W36" t="inlineStr">
        <is>
          <t>DIGITAL OPERATIONS AND COMMAND CENTER</t>
        </is>
      </c>
      <c r="X36" t="inlineStr">
        <is>
          <t>ERP SUPPORT SERVICES - US</t>
        </is>
      </c>
      <c r="Y36" t="n">
        <v>890</v>
      </c>
      <c r="Z36" t="n">
        <v>923</v>
      </c>
      <c r="AA36" t="inlineStr">
        <is>
          <t>Managed Services</t>
        </is>
      </c>
      <c r="AB36" t="inlineStr">
        <is>
          <t>Managed Services</t>
        </is>
      </c>
      <c r="AC36" t="n">
        <v>41500000</v>
      </c>
      <c r="AD36" t="n">
        <v>86</v>
      </c>
      <c r="AE36" t="n">
        <v>8011</v>
      </c>
      <c r="AF36" t="n">
        <v>10</v>
      </c>
      <c r="AG36" t="inlineStr">
        <is>
          <t>ZY</t>
        </is>
      </c>
      <c r="AH36" t="n">
        <v>1400</v>
      </c>
      <c r="AI36" t="inlineStr">
        <is>
          <t>United States</t>
        </is>
      </c>
      <c r="AJ36" t="inlineStr">
        <is>
          <t>AMER</t>
        </is>
      </c>
      <c r="AK36" t="inlineStr">
        <is>
          <t>IT-FBT0282-OG-US-00</t>
        </is>
      </c>
      <c r="AL36" t="inlineStr">
        <is>
          <t>FBO and HR Accenture</t>
        </is>
      </c>
      <c r="AM36" t="inlineStr">
        <is>
          <t>AC02-9501196824- IBM ISOW – APPLICATION MANAGED SE</t>
        </is>
      </c>
      <c r="AN36" t="inlineStr">
        <is>
          <t>BTAMS</t>
        </is>
      </c>
      <c r="AO36" t="n">
        <v>2100082650127</v>
      </c>
      <c r="AP36" t="inlineStr">
        <is>
          <t>AP02 2026 WDAC 2</t>
        </is>
      </c>
      <c r="AQ36" t="inlineStr">
        <is>
          <t>USD</t>
        </is>
      </c>
      <c r="AR36" t="inlineStr">
        <is>
          <t>US Dollar</t>
        </is>
      </c>
      <c r="AS36" t="inlineStr">
        <is>
          <t>USD</t>
        </is>
      </c>
      <c r="AT36" t="n">
        <v>9119</v>
      </c>
      <c r="AU36" t="n">
        <v>9119</v>
      </c>
      <c r="AV36" t="n">
        <v>9119</v>
      </c>
      <c r="AW36" t="n">
        <v>9119</v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</row>
    <row r="37">
      <c r="A37" t="inlineStr">
        <is>
          <t>9501199822</t>
        </is>
      </c>
      <c r="B37" t="n">
        <v>202602</v>
      </c>
      <c r="C37" t="n">
        <v>2100082692</v>
      </c>
      <c r="D37" t="inlineStr">
        <is>
          <t>Not assigned</t>
        </is>
      </c>
      <c r="E37" t="inlineStr">
        <is>
          <t>IT-FBT0282-OG-US-00</t>
        </is>
      </c>
      <c r="F37" s="138" t="n">
        <v>46078</v>
      </c>
      <c r="G37" s="138" t="n">
        <v>46068</v>
      </c>
      <c r="H37" t="inlineStr">
        <is>
          <t>PO- 9501199822 - IBM CORP</t>
        </is>
      </c>
      <c r="I37" t="n">
        <v>2</v>
      </c>
      <c r="J37" t="n">
        <v>22292.3</v>
      </c>
      <c r="K37" t="inlineStr">
        <is>
          <t>Accrual</t>
        </is>
      </c>
      <c r="L37" t="n">
        <v>2026</v>
      </c>
      <c r="M37" s="138" t="n">
        <v>46054</v>
      </c>
      <c r="N37" t="inlineStr">
        <is>
          <t>DIGITAL</t>
        </is>
      </c>
      <c r="O37" t="inlineStr">
        <is>
          <t>IT140</t>
        </is>
      </c>
      <c r="P37" t="n">
        <v>2321403</v>
      </c>
      <c r="Q37" t="inlineStr">
        <is>
          <t>Maguire, Karla</t>
        </is>
      </c>
      <c r="R37" t="inlineStr">
        <is>
          <t>Tamavada, Ram</t>
        </is>
      </c>
      <c r="S37" t="inlineStr">
        <is>
          <t>1400/8011/86/IT140/0002321403 (890) (Net</t>
        </is>
      </c>
      <c r="T37" t="inlineStr">
        <is>
          <t>DIGITAL AND TECHNOLOGY</t>
        </is>
      </c>
      <c r="U37" t="inlineStr">
        <is>
          <t>CTIES</t>
        </is>
      </c>
      <c r="V37" t="inlineStr">
        <is>
          <t>ERP</t>
        </is>
      </c>
      <c r="W37" t="inlineStr">
        <is>
          <t>DIGITAL OPERATIONS AND COMMAND CENTER</t>
        </is>
      </c>
      <c r="X37" t="inlineStr">
        <is>
          <t>ERP SUPPORT SERVICES - US</t>
        </is>
      </c>
      <c r="Y37" t="n">
        <v>890</v>
      </c>
      <c r="Z37" t="n">
        <v>923</v>
      </c>
      <c r="AA37" t="inlineStr">
        <is>
          <t>Managed Services</t>
        </is>
      </c>
      <c r="AB37" t="inlineStr">
        <is>
          <t>Managed Services</t>
        </is>
      </c>
      <c r="AC37" t="n">
        <v>41500000</v>
      </c>
      <c r="AD37" t="n">
        <v>86</v>
      </c>
      <c r="AE37" t="n">
        <v>8011</v>
      </c>
      <c r="AF37" t="n">
        <v>10</v>
      </c>
      <c r="AG37" t="inlineStr">
        <is>
          <t>ZY</t>
        </is>
      </c>
      <c r="AH37" t="n">
        <v>1400</v>
      </c>
      <c r="AI37" t="inlineStr">
        <is>
          <t>United States</t>
        </is>
      </c>
      <c r="AJ37" t="inlineStr">
        <is>
          <t>AMER</t>
        </is>
      </c>
      <c r="AK37" t="inlineStr">
        <is>
          <t>IT-FBT0282-OG-US-00</t>
        </is>
      </c>
      <c r="AL37" t="inlineStr">
        <is>
          <t>FBO and HR Accenture</t>
        </is>
      </c>
      <c r="AM37" t="inlineStr">
        <is>
          <t>PO- 9501199822 - IBM CORP</t>
        </is>
      </c>
      <c r="AN37" t="inlineStr">
        <is>
          <t>BTAMS</t>
        </is>
      </c>
      <c r="AO37" t="n">
        <v>210008269220</v>
      </c>
      <c r="AP37" t="inlineStr">
        <is>
          <t>2WM ADJ</t>
        </is>
      </c>
      <c r="AQ37" t="inlineStr">
        <is>
          <t>USD</t>
        </is>
      </c>
      <c r="AR37" t="inlineStr">
        <is>
          <t>US Dollar</t>
        </is>
      </c>
      <c r="AS37" t="inlineStr">
        <is>
          <t>USD</t>
        </is>
      </c>
      <c r="AT37" t="n">
        <v>22292.3</v>
      </c>
      <c r="AU37" t="n">
        <v>22292.3</v>
      </c>
      <c r="AV37" t="n">
        <v>22292.3</v>
      </c>
      <c r="AW37" t="n">
        <v>22292.3</v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</row>
    <row r="38">
      <c r="A38" t="inlineStr">
        <is>
          <t>9501158806</t>
        </is>
      </c>
      <c r="B38" t="n">
        <v>202602</v>
      </c>
      <c r="C38" t="n">
        <v>2100082464</v>
      </c>
      <c r="D38" t="inlineStr">
        <is>
          <t>Not assigned</t>
        </is>
      </c>
      <c r="E38" t="inlineStr">
        <is>
          <t>IT-FBT0700-OG-US-00</t>
        </is>
      </c>
      <c r="F38" s="138" t="n">
        <v>46048</v>
      </c>
      <c r="G38" s="138" t="n">
        <v>46055</v>
      </c>
      <c r="H38" t="inlineStr">
        <is>
          <t>PO - 9501158806 - IBM CORP</t>
        </is>
      </c>
      <c r="I38" t="n">
        <v>2</v>
      </c>
      <c r="J38" t="n">
        <v>-25838</v>
      </c>
      <c r="K38" t="inlineStr">
        <is>
          <t>Reversal</t>
        </is>
      </c>
      <c r="L38" t="n">
        <v>2026</v>
      </c>
      <c r="M38" s="138" t="n">
        <v>46054</v>
      </c>
      <c r="N38" t="inlineStr">
        <is>
          <t>DIGITAL</t>
        </is>
      </c>
      <c r="O38" t="inlineStr">
        <is>
          <t>IT140</t>
        </is>
      </c>
      <c r="P38" t="n">
        <v>2321403</v>
      </c>
      <c r="Q38" t="inlineStr">
        <is>
          <t>Maguire, Karla</t>
        </is>
      </c>
      <c r="R38" t="inlineStr">
        <is>
          <t>Tamavada, Ram</t>
        </is>
      </c>
      <c r="S38" t="inlineStr">
        <is>
          <t>1400/8011/86/IT140/0002321403 (890) (Net</t>
        </is>
      </c>
      <c r="T38" t="inlineStr">
        <is>
          <t>DIGITAL AND TECHNOLOGY</t>
        </is>
      </c>
      <c r="U38" t="inlineStr">
        <is>
          <t>CTIES</t>
        </is>
      </c>
      <c r="V38" t="inlineStr">
        <is>
          <t>ERP</t>
        </is>
      </c>
      <c r="W38" t="inlineStr">
        <is>
          <t>DIGITAL OPERATIONS AND COMMAND CENTER</t>
        </is>
      </c>
      <c r="X38" t="inlineStr">
        <is>
          <t>ERP SUPPORT SERVICES - US</t>
        </is>
      </c>
      <c r="Y38" t="n">
        <v>890</v>
      </c>
      <c r="Z38" t="n">
        <v>923</v>
      </c>
      <c r="AA38" t="inlineStr">
        <is>
          <t>Managed Services</t>
        </is>
      </c>
      <c r="AB38" t="inlineStr">
        <is>
          <t>Managed Services</t>
        </is>
      </c>
      <c r="AC38" t="n">
        <v>41500000</v>
      </c>
      <c r="AD38" t="n">
        <v>86</v>
      </c>
      <c r="AE38" t="n">
        <v>8011</v>
      </c>
      <c r="AF38" t="n">
        <v>10</v>
      </c>
      <c r="AG38" t="inlineStr">
        <is>
          <t>ZY</t>
        </is>
      </c>
      <c r="AH38" t="n">
        <v>1400</v>
      </c>
      <c r="AI38" t="inlineStr">
        <is>
          <t>United States</t>
        </is>
      </c>
      <c r="AJ38" t="inlineStr">
        <is>
          <t>AMER</t>
        </is>
      </c>
      <c r="AK38" t="inlineStr">
        <is>
          <t>IT-FBT0700-OG-US-00</t>
        </is>
      </c>
      <c r="AL38" t="inlineStr">
        <is>
          <t>Celonis Software BTA</t>
        </is>
      </c>
      <c r="AM38" t="inlineStr">
        <is>
          <t>PO - 9501158806 - IBM CORP</t>
        </is>
      </c>
      <c r="AN38" t="inlineStr">
        <is>
          <t>BTAMS</t>
        </is>
      </c>
      <c r="AO38" t="n">
        <v>210008246472</v>
      </c>
      <c r="AP38" t="inlineStr">
        <is>
          <t>2WM</t>
        </is>
      </c>
      <c r="AQ38" t="inlineStr">
        <is>
          <t>USD</t>
        </is>
      </c>
      <c r="AR38" t="inlineStr">
        <is>
          <t>US Dollar</t>
        </is>
      </c>
      <c r="AS38" t="inlineStr">
        <is>
          <t>USD</t>
        </is>
      </c>
      <c r="AT38" t="n">
        <v>-25838</v>
      </c>
      <c r="AU38" t="n">
        <v>-25838</v>
      </c>
      <c r="AV38" t="n">
        <v>-25838</v>
      </c>
      <c r="AW38" t="n">
        <v>-25838</v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</row>
    <row r="39">
      <c r="A39" t="inlineStr">
        <is>
          <t>9501158806</t>
        </is>
      </c>
      <c r="B39" t="n">
        <v>202602</v>
      </c>
      <c r="C39" t="n">
        <v>2100082619</v>
      </c>
      <c r="D39" t="inlineStr">
        <is>
          <t>Not assigned</t>
        </is>
      </c>
      <c r="E39" t="inlineStr">
        <is>
          <t>IT-FBT0700-OG-US-00</t>
        </is>
      </c>
      <c r="F39" s="138" t="n">
        <v>46076</v>
      </c>
      <c r="G39" s="138" t="n">
        <v>46068</v>
      </c>
      <c r="H39" t="inlineStr">
        <is>
          <t>PO - 9501158806 - IBM CORP</t>
        </is>
      </c>
      <c r="I39" t="n">
        <v>2</v>
      </c>
      <c r="J39" t="n">
        <v>23426.38</v>
      </c>
      <c r="K39" t="inlineStr">
        <is>
          <t>Accrual</t>
        </is>
      </c>
      <c r="L39" t="n">
        <v>2026</v>
      </c>
      <c r="M39" s="138" t="n">
        <v>46054</v>
      </c>
      <c r="N39" t="inlineStr">
        <is>
          <t>DIGITAL</t>
        </is>
      </c>
      <c r="O39" t="inlineStr">
        <is>
          <t>IT140</t>
        </is>
      </c>
      <c r="P39" t="n">
        <v>2321403</v>
      </c>
      <c r="Q39" t="inlineStr">
        <is>
          <t>Maguire, Karla</t>
        </is>
      </c>
      <c r="R39" t="inlineStr">
        <is>
          <t>Tamavada, Ram</t>
        </is>
      </c>
      <c r="S39" t="inlineStr">
        <is>
          <t>1400/8011/86/IT140/0002321403 (890) (Net</t>
        </is>
      </c>
      <c r="T39" t="inlineStr">
        <is>
          <t>DIGITAL AND TECHNOLOGY</t>
        </is>
      </c>
      <c r="U39" t="inlineStr">
        <is>
          <t>CTIES</t>
        </is>
      </c>
      <c r="V39" t="inlineStr">
        <is>
          <t>ERP</t>
        </is>
      </c>
      <c r="W39" t="inlineStr">
        <is>
          <t>DIGITAL OPERATIONS AND COMMAND CENTER</t>
        </is>
      </c>
      <c r="X39" t="inlineStr">
        <is>
          <t>ERP SUPPORT SERVICES - US</t>
        </is>
      </c>
      <c r="Y39" t="n">
        <v>890</v>
      </c>
      <c r="Z39" t="n">
        <v>923</v>
      </c>
      <c r="AA39" t="inlineStr">
        <is>
          <t>Managed Services</t>
        </is>
      </c>
      <c r="AB39" t="inlineStr">
        <is>
          <t>Managed Services</t>
        </is>
      </c>
      <c r="AC39" t="n">
        <v>41500000</v>
      </c>
      <c r="AD39" t="n">
        <v>86</v>
      </c>
      <c r="AE39" t="n">
        <v>8011</v>
      </c>
      <c r="AF39" t="n">
        <v>10</v>
      </c>
      <c r="AG39" t="inlineStr">
        <is>
          <t>ZY</t>
        </is>
      </c>
      <c r="AH39" t="n">
        <v>1400</v>
      </c>
      <c r="AI39" t="inlineStr">
        <is>
          <t>United States</t>
        </is>
      </c>
      <c r="AJ39" t="inlineStr">
        <is>
          <t>AMER</t>
        </is>
      </c>
      <c r="AK39" t="inlineStr">
        <is>
          <t>IT-FBT0700-OG-US-00</t>
        </is>
      </c>
      <c r="AL39" t="inlineStr">
        <is>
          <t>Celonis Software BTA</t>
        </is>
      </c>
      <c r="AM39" t="inlineStr">
        <is>
          <t>PO - 9501158806 - IBM CORP</t>
        </is>
      </c>
      <c r="AN39" t="inlineStr">
        <is>
          <t>BTAMS</t>
        </is>
      </c>
      <c r="AO39" t="n">
        <v>210008261947</v>
      </c>
      <c r="AP39" t="inlineStr">
        <is>
          <t>2WM</t>
        </is>
      </c>
      <c r="AQ39" t="inlineStr">
        <is>
          <t>USD</t>
        </is>
      </c>
      <c r="AR39" t="inlineStr">
        <is>
          <t>US Dollar</t>
        </is>
      </c>
      <c r="AS39" t="inlineStr">
        <is>
          <t>USD</t>
        </is>
      </c>
      <c r="AT39" t="n">
        <v>23426.38</v>
      </c>
      <c r="AU39" t="n">
        <v>23426.38</v>
      </c>
      <c r="AV39" t="n">
        <v>23426.38</v>
      </c>
      <c r="AW39" t="n">
        <v>23426.38</v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</row>
    <row r="40">
      <c r="A40" t="inlineStr">
        <is>
          <t>9501158806</t>
        </is>
      </c>
      <c r="B40" t="n">
        <v>202602</v>
      </c>
      <c r="C40" t="n">
        <v>2100082650</v>
      </c>
      <c r="D40" t="inlineStr">
        <is>
          <t>Not assigned</t>
        </is>
      </c>
      <c r="E40" t="inlineStr">
        <is>
          <t>IT-FBT0700-OG-US-00</t>
        </is>
      </c>
      <c r="F40" s="138" t="n">
        <v>46077</v>
      </c>
      <c r="G40" s="138" t="n">
        <v>46068</v>
      </c>
      <c r="H40" t="inlineStr">
        <is>
          <t>AC02-9501158806-IBM: CELONIS APPLICATION MANAGED S</t>
        </is>
      </c>
      <c r="I40" t="n">
        <v>2</v>
      </c>
      <c r="J40" t="n">
        <v>7934</v>
      </c>
      <c r="K40" t="inlineStr">
        <is>
          <t>Accrual</t>
        </is>
      </c>
      <c r="L40" t="n">
        <v>2026</v>
      </c>
      <c r="M40" s="138" t="n">
        <v>46054</v>
      </c>
      <c r="N40" t="inlineStr">
        <is>
          <t>DIGITAL</t>
        </is>
      </c>
      <c r="O40" t="inlineStr">
        <is>
          <t>IT140</t>
        </is>
      </c>
      <c r="P40" t="n">
        <v>2321403</v>
      </c>
      <c r="Q40" t="inlineStr">
        <is>
          <t>Maguire, Karla</t>
        </is>
      </c>
      <c r="R40" t="inlineStr">
        <is>
          <t>Tamavada, Ram</t>
        </is>
      </c>
      <c r="S40" t="inlineStr">
        <is>
          <t>1400/8011/86/IT140/0002321403 (890) (Net</t>
        </is>
      </c>
      <c r="T40" t="inlineStr">
        <is>
          <t>DIGITAL AND TECHNOLOGY</t>
        </is>
      </c>
      <c r="U40" t="inlineStr">
        <is>
          <t>CTIES</t>
        </is>
      </c>
      <c r="V40" t="inlineStr">
        <is>
          <t>ERP</t>
        </is>
      </c>
      <c r="W40" t="inlineStr">
        <is>
          <t>DIGITAL OPERATIONS AND COMMAND CENTER</t>
        </is>
      </c>
      <c r="X40" t="inlineStr">
        <is>
          <t>ERP SUPPORT SERVICES - US</t>
        </is>
      </c>
      <c r="Y40" t="n">
        <v>890</v>
      </c>
      <c r="Z40" t="n">
        <v>923</v>
      </c>
      <c r="AA40" t="inlineStr">
        <is>
          <t>Managed Services</t>
        </is>
      </c>
      <c r="AB40" t="inlineStr">
        <is>
          <t>Managed Services</t>
        </is>
      </c>
      <c r="AC40" t="n">
        <v>41500000</v>
      </c>
      <c r="AD40" t="n">
        <v>86</v>
      </c>
      <c r="AE40" t="n">
        <v>8011</v>
      </c>
      <c r="AF40" t="n">
        <v>10</v>
      </c>
      <c r="AG40" t="inlineStr">
        <is>
          <t>ZY</t>
        </is>
      </c>
      <c r="AH40" t="n">
        <v>1400</v>
      </c>
      <c r="AI40" t="inlineStr">
        <is>
          <t>United States</t>
        </is>
      </c>
      <c r="AJ40" t="inlineStr">
        <is>
          <t>AMER</t>
        </is>
      </c>
      <c r="AK40" t="inlineStr">
        <is>
          <t>IT-FBT0700-OG-US-00</t>
        </is>
      </c>
      <c r="AL40" t="inlineStr">
        <is>
          <t>Celonis Software BTA</t>
        </is>
      </c>
      <c r="AM40" t="inlineStr">
        <is>
          <t>AC02-9501158806-IBM: CELONIS APPLICATION MANAGED S</t>
        </is>
      </c>
      <c r="AN40" t="inlineStr">
        <is>
          <t>BTAMS</t>
        </is>
      </c>
      <c r="AO40" t="n">
        <v>2100082650133</v>
      </c>
      <c r="AP40" t="inlineStr">
        <is>
          <t>AP02 2026 WDAC 2</t>
        </is>
      </c>
      <c r="AQ40" t="inlineStr">
        <is>
          <t>USD</t>
        </is>
      </c>
      <c r="AR40" t="inlineStr">
        <is>
          <t>US Dollar</t>
        </is>
      </c>
      <c r="AS40" t="inlineStr">
        <is>
          <t>USD</t>
        </is>
      </c>
      <c r="AT40" t="n">
        <v>7934</v>
      </c>
      <c r="AU40" t="n">
        <v>7934</v>
      </c>
      <c r="AV40" t="n">
        <v>7934</v>
      </c>
      <c r="AW40" t="n">
        <v>7934</v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</row>
    <row r="41">
      <c r="A41" t="inlineStr">
        <is>
          <t>9501196865</t>
        </is>
      </c>
      <c r="B41" t="n">
        <v>202602</v>
      </c>
      <c r="C41" t="n">
        <v>2100082619</v>
      </c>
      <c r="D41" t="inlineStr">
        <is>
          <t>Not assigned</t>
        </is>
      </c>
      <c r="E41" t="inlineStr">
        <is>
          <t>IT-FBT0753-OT-US-00</t>
        </is>
      </c>
      <c r="F41" s="138" t="n">
        <v>46076</v>
      </c>
      <c r="G41" s="138" t="n">
        <v>46068</v>
      </c>
      <c r="H41" t="inlineStr">
        <is>
          <t>PO - 9501196865 - IBM CORP</t>
        </is>
      </c>
      <c r="I41" t="n">
        <v>2</v>
      </c>
      <c r="J41" t="n">
        <v>48909.1</v>
      </c>
      <c r="K41" t="inlineStr">
        <is>
          <t>Accrual</t>
        </is>
      </c>
      <c r="L41" t="n">
        <v>2026</v>
      </c>
      <c r="M41" s="138" t="n">
        <v>46054</v>
      </c>
      <c r="N41" t="inlineStr">
        <is>
          <t>DIGITAL</t>
        </is>
      </c>
      <c r="O41" t="inlineStr">
        <is>
          <t>IT140</t>
        </is>
      </c>
      <c r="P41" t="n">
        <v>2321403</v>
      </c>
      <c r="Q41" t="inlineStr">
        <is>
          <t>Maguire, Karla</t>
        </is>
      </c>
      <c r="R41" t="inlineStr">
        <is>
          <t>Tamavada, Ram</t>
        </is>
      </c>
      <c r="S41" t="inlineStr">
        <is>
          <t>1400/8011/86/IT140/0002321403 (890) (Net</t>
        </is>
      </c>
      <c r="T41" t="inlineStr">
        <is>
          <t>DIGITAL AND TECHNOLOGY</t>
        </is>
      </c>
      <c r="U41" t="inlineStr">
        <is>
          <t>CTIES</t>
        </is>
      </c>
      <c r="V41" t="inlineStr">
        <is>
          <t>ERP</t>
        </is>
      </c>
      <c r="W41" t="inlineStr">
        <is>
          <t>DIGITAL OPERATIONS AND COMMAND CENTER</t>
        </is>
      </c>
      <c r="X41" t="inlineStr">
        <is>
          <t>ERP SUPPORT SERVICES - US</t>
        </is>
      </c>
      <c r="Y41" t="n">
        <v>890</v>
      </c>
      <c r="Z41" t="n">
        <v>923</v>
      </c>
      <c r="AA41" t="inlineStr">
        <is>
          <t>Managed Services</t>
        </is>
      </c>
      <c r="AB41" t="inlineStr">
        <is>
          <t>Managed Services</t>
        </is>
      </c>
      <c r="AC41" t="n">
        <v>41500000</v>
      </c>
      <c r="AD41" t="n">
        <v>86</v>
      </c>
      <c r="AE41" t="n">
        <v>8011</v>
      </c>
      <c r="AF41" t="n">
        <v>10</v>
      </c>
      <c r="AG41" t="inlineStr">
        <is>
          <t>ZY</t>
        </is>
      </c>
      <c r="AH41" t="n">
        <v>1400</v>
      </c>
      <c r="AI41" t="inlineStr">
        <is>
          <t>United States</t>
        </is>
      </c>
      <c r="AJ41" t="inlineStr">
        <is>
          <t>AMER</t>
        </is>
      </c>
      <c r="AK41" t="inlineStr">
        <is>
          <t>IT-FBT0753-OT-US-00</t>
        </is>
      </c>
      <c r="AL41" t="inlineStr">
        <is>
          <t>Client Partner Appli</t>
        </is>
      </c>
      <c r="AM41" t="inlineStr">
        <is>
          <t>PO - 9501196865 - IBM CORP</t>
        </is>
      </c>
      <c r="AN41" t="n">
        <v/>
      </c>
      <c r="AO41" t="n">
        <v>210008261943</v>
      </c>
      <c r="AP41" t="inlineStr">
        <is>
          <t>2WM</t>
        </is>
      </c>
      <c r="AQ41" t="inlineStr">
        <is>
          <t>USD</t>
        </is>
      </c>
      <c r="AR41" t="inlineStr">
        <is>
          <t>US Dollar</t>
        </is>
      </c>
      <c r="AS41" t="inlineStr">
        <is>
          <t>USD</t>
        </is>
      </c>
      <c r="AT41" t="n">
        <v>48909.1</v>
      </c>
      <c r="AU41" t="n">
        <v>48909.1</v>
      </c>
      <c r="AV41" t="n">
        <v>48909.1</v>
      </c>
      <c r="AW41" t="n">
        <v>48909.1</v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</row>
    <row r="42">
      <c r="A42" t="inlineStr">
        <is>
          <t>9501196865</t>
        </is>
      </c>
      <c r="B42" t="n">
        <v>202602</v>
      </c>
      <c r="C42" t="n">
        <v>2100082650</v>
      </c>
      <c r="D42" t="inlineStr">
        <is>
          <t>Not assigned</t>
        </is>
      </c>
      <c r="E42" t="inlineStr">
        <is>
          <t>IT-FBT0753-OT-US-00</t>
        </is>
      </c>
      <c r="F42" s="138" t="n">
        <v>46077</v>
      </c>
      <c r="G42" s="138" t="n">
        <v>46068</v>
      </c>
      <c r="H42" t="inlineStr">
        <is>
          <t>AC02-9501196865-SAP APPLICATION MANAGED SERVICE "A</t>
        </is>
      </c>
      <c r="I42" t="n">
        <v>2</v>
      </c>
      <c r="J42" t="n">
        <v>7075</v>
      </c>
      <c r="K42" t="inlineStr">
        <is>
          <t>Accrual</t>
        </is>
      </c>
      <c r="L42" t="n">
        <v>2026</v>
      </c>
      <c r="M42" s="138" t="n">
        <v>46054</v>
      </c>
      <c r="N42" t="inlineStr">
        <is>
          <t>DIGITAL</t>
        </is>
      </c>
      <c r="O42" t="inlineStr">
        <is>
          <t>IT140</t>
        </is>
      </c>
      <c r="P42" t="n">
        <v>2321403</v>
      </c>
      <c r="Q42" t="inlineStr">
        <is>
          <t>Maguire, Karla</t>
        </is>
      </c>
      <c r="R42" t="inlineStr">
        <is>
          <t>Tamavada, Ram</t>
        </is>
      </c>
      <c r="S42" t="inlineStr">
        <is>
          <t>1400/8011/86/IT140/0002321403 (890) (Net</t>
        </is>
      </c>
      <c r="T42" t="inlineStr">
        <is>
          <t>DIGITAL AND TECHNOLOGY</t>
        </is>
      </c>
      <c r="U42" t="inlineStr">
        <is>
          <t>CTIES</t>
        </is>
      </c>
      <c r="V42" t="inlineStr">
        <is>
          <t>ERP</t>
        </is>
      </c>
      <c r="W42" t="inlineStr">
        <is>
          <t>DIGITAL OPERATIONS AND COMMAND CENTER</t>
        </is>
      </c>
      <c r="X42" t="inlineStr">
        <is>
          <t>ERP SUPPORT SERVICES - US</t>
        </is>
      </c>
      <c r="Y42" t="n">
        <v>890</v>
      </c>
      <c r="Z42" t="n">
        <v>923</v>
      </c>
      <c r="AA42" t="inlineStr">
        <is>
          <t>Managed Services</t>
        </is>
      </c>
      <c r="AB42" t="inlineStr">
        <is>
          <t>Managed Services</t>
        </is>
      </c>
      <c r="AC42" t="n">
        <v>41500000</v>
      </c>
      <c r="AD42" t="n">
        <v>86</v>
      </c>
      <c r="AE42" t="n">
        <v>8011</v>
      </c>
      <c r="AF42" t="n">
        <v>10</v>
      </c>
      <c r="AG42" t="inlineStr">
        <is>
          <t>ZY</t>
        </is>
      </c>
      <c r="AH42" t="n">
        <v>1400</v>
      </c>
      <c r="AI42" t="inlineStr">
        <is>
          <t>United States</t>
        </is>
      </c>
      <c r="AJ42" t="inlineStr">
        <is>
          <t>AMER</t>
        </is>
      </c>
      <c r="AK42" t="inlineStr">
        <is>
          <t>IT-FBT0753-OT-US-00</t>
        </is>
      </c>
      <c r="AL42" t="inlineStr">
        <is>
          <t>Client Partner Appli</t>
        </is>
      </c>
      <c r="AM42" t="inlineStr">
        <is>
          <t>AC02-9501196865-SAP APPLICATION MANAGED SERVICE "A</t>
        </is>
      </c>
      <c r="AN42" t="n">
        <v/>
      </c>
      <c r="AO42" t="n">
        <v>2100082650148</v>
      </c>
      <c r="AP42" t="inlineStr">
        <is>
          <t>AP02 2026 WDAC 2</t>
        </is>
      </c>
      <c r="AQ42" t="inlineStr">
        <is>
          <t>USD</t>
        </is>
      </c>
      <c r="AR42" t="inlineStr">
        <is>
          <t>US Dollar</t>
        </is>
      </c>
      <c r="AS42" t="inlineStr">
        <is>
          <t>USD</t>
        </is>
      </c>
      <c r="AT42" t="n">
        <v>7075</v>
      </c>
      <c r="AU42" t="n">
        <v>7075</v>
      </c>
      <c r="AV42" t="n">
        <v>7075</v>
      </c>
      <c r="AW42" t="n">
        <v>7075</v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</row>
    <row r="43">
      <c r="A43" t="inlineStr">
        <is>
          <t>9501195328</t>
        </is>
      </c>
      <c r="B43" t="n">
        <v>202602</v>
      </c>
      <c r="C43" t="n">
        <v>2100082619</v>
      </c>
      <c r="D43" t="inlineStr">
        <is>
          <t>Not assigned</t>
        </is>
      </c>
      <c r="E43" t="inlineStr">
        <is>
          <t>IT-MGS0204-OG-US-00</t>
        </is>
      </c>
      <c r="F43" s="138" t="n">
        <v>46076</v>
      </c>
      <c r="G43" s="138" t="n">
        <v>46068</v>
      </c>
      <c r="H43" t="inlineStr">
        <is>
          <t>PO - 9501195328 - IBM CORP</t>
        </is>
      </c>
      <c r="I43" t="n">
        <v>2</v>
      </c>
      <c r="J43" t="n">
        <v>5241.76</v>
      </c>
      <c r="K43" t="inlineStr">
        <is>
          <t>Accrual</t>
        </is>
      </c>
      <c r="L43" t="n">
        <v>2026</v>
      </c>
      <c r="M43" s="138" t="n">
        <v>46054</v>
      </c>
      <c r="N43" t="inlineStr">
        <is>
          <t>DIGITAL</t>
        </is>
      </c>
      <c r="O43" t="inlineStr">
        <is>
          <t>IT140</t>
        </is>
      </c>
      <c r="P43" t="n">
        <v>2321403</v>
      </c>
      <c r="Q43" t="inlineStr">
        <is>
          <t>Maguire, Karla</t>
        </is>
      </c>
      <c r="R43" t="inlineStr">
        <is>
          <t>Tamavada, Ram</t>
        </is>
      </c>
      <c r="S43" t="inlineStr">
        <is>
          <t>1400/8011/86/IT140/0002321403 (890) (Net</t>
        </is>
      </c>
      <c r="T43" t="inlineStr">
        <is>
          <t>DIGITAL AND TECHNOLOGY</t>
        </is>
      </c>
      <c r="U43" t="inlineStr">
        <is>
          <t>CTIES</t>
        </is>
      </c>
      <c r="V43" t="inlineStr">
        <is>
          <t>ERP</t>
        </is>
      </c>
      <c r="W43" t="inlineStr">
        <is>
          <t>DIGITAL OPERATIONS AND COMMAND CENTER</t>
        </is>
      </c>
      <c r="X43" t="inlineStr">
        <is>
          <t>ERP SUPPORT SERVICES - US</t>
        </is>
      </c>
      <c r="Y43" t="n">
        <v>890</v>
      </c>
      <c r="Z43" t="n">
        <v>923</v>
      </c>
      <c r="AA43" t="inlineStr">
        <is>
          <t>Managed Services</t>
        </is>
      </c>
      <c r="AB43" t="inlineStr">
        <is>
          <t>Managed Services</t>
        </is>
      </c>
      <c r="AC43" t="n">
        <v>41500000</v>
      </c>
      <c r="AD43" t="n">
        <v>86</v>
      </c>
      <c r="AE43" t="n">
        <v>8011</v>
      </c>
      <c r="AF43" t="n">
        <v>10</v>
      </c>
      <c r="AG43" t="inlineStr">
        <is>
          <t>ZY</t>
        </is>
      </c>
      <c r="AH43" t="n">
        <v>1400</v>
      </c>
      <c r="AI43" t="inlineStr">
        <is>
          <t>United States</t>
        </is>
      </c>
      <c r="AJ43" t="inlineStr">
        <is>
          <t>AMER</t>
        </is>
      </c>
      <c r="AK43" t="inlineStr">
        <is>
          <t>IT-MGS0204-OG-US-00</t>
        </is>
      </c>
      <c r="AL43" t="inlineStr">
        <is>
          <t>Seagen Oracle long t</t>
        </is>
      </c>
      <c r="AM43" t="inlineStr">
        <is>
          <t>PO - 9501195328 - IBM CORP</t>
        </is>
      </c>
      <c r="AN43" t="n">
        <v/>
      </c>
      <c r="AO43" t="n">
        <v>210008261946</v>
      </c>
      <c r="AP43" t="inlineStr">
        <is>
          <t>2WM</t>
        </is>
      </c>
      <c r="AQ43" t="inlineStr">
        <is>
          <t>USD</t>
        </is>
      </c>
      <c r="AR43" t="inlineStr">
        <is>
          <t>US Dollar</t>
        </is>
      </c>
      <c r="AS43" t="inlineStr">
        <is>
          <t>USD</t>
        </is>
      </c>
      <c r="AT43" t="n">
        <v>5241.76</v>
      </c>
      <c r="AU43" t="n">
        <v>5241.76</v>
      </c>
      <c r="AV43" t="n">
        <v>5241.76</v>
      </c>
      <c r="AW43" t="n">
        <v>5241.76</v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</row>
    <row r="44">
      <c r="A44" t="inlineStr">
        <is>
          <t>9501195328</t>
        </is>
      </c>
      <c r="B44" t="n">
        <v>202602</v>
      </c>
      <c r="C44" t="n">
        <v>2100082650</v>
      </c>
      <c r="D44" t="inlineStr">
        <is>
          <t>Not assigned</t>
        </is>
      </c>
      <c r="E44" t="inlineStr">
        <is>
          <t>IT-MGS0204-OG-US-00</t>
        </is>
      </c>
      <c r="F44" s="138" t="n">
        <v>46077</v>
      </c>
      <c r="G44" s="138" t="n">
        <v>46068</v>
      </c>
      <c r="H44" t="inlineStr">
        <is>
          <t>AC02-9501195328-SEAGEN ORACLE (ANNUAL "AMS" ORDER)</t>
        </is>
      </c>
      <c r="I44" t="n">
        <v>2</v>
      </c>
      <c r="J44" t="n">
        <v>758</v>
      </c>
      <c r="K44" t="inlineStr">
        <is>
          <t>Accrual</t>
        </is>
      </c>
      <c r="L44" t="n">
        <v>2026</v>
      </c>
      <c r="M44" s="138" t="n">
        <v>46054</v>
      </c>
      <c r="N44" t="inlineStr">
        <is>
          <t>DIGITAL</t>
        </is>
      </c>
      <c r="O44" t="inlineStr">
        <is>
          <t>IT140</t>
        </is>
      </c>
      <c r="P44" t="n">
        <v>2321403</v>
      </c>
      <c r="Q44" t="inlineStr">
        <is>
          <t>Maguire, Karla</t>
        </is>
      </c>
      <c r="R44" t="inlineStr">
        <is>
          <t>Tamavada, Ram</t>
        </is>
      </c>
      <c r="S44" t="inlineStr">
        <is>
          <t>1400/8011/86/IT140/0002321403 (890) (Net</t>
        </is>
      </c>
      <c r="T44" t="inlineStr">
        <is>
          <t>DIGITAL AND TECHNOLOGY</t>
        </is>
      </c>
      <c r="U44" t="inlineStr">
        <is>
          <t>CTIES</t>
        </is>
      </c>
      <c r="V44" t="inlineStr">
        <is>
          <t>ERP</t>
        </is>
      </c>
      <c r="W44" t="inlineStr">
        <is>
          <t>DIGITAL OPERATIONS AND COMMAND CENTER</t>
        </is>
      </c>
      <c r="X44" t="inlineStr">
        <is>
          <t>ERP SUPPORT SERVICES - US</t>
        </is>
      </c>
      <c r="Y44" t="n">
        <v>890</v>
      </c>
      <c r="Z44" t="n">
        <v>923</v>
      </c>
      <c r="AA44" t="inlineStr">
        <is>
          <t>Managed Services</t>
        </is>
      </c>
      <c r="AB44" t="inlineStr">
        <is>
          <t>Managed Services</t>
        </is>
      </c>
      <c r="AC44" t="n">
        <v>41500000</v>
      </c>
      <c r="AD44" t="n">
        <v>86</v>
      </c>
      <c r="AE44" t="n">
        <v>8011</v>
      </c>
      <c r="AF44" t="n">
        <v>10</v>
      </c>
      <c r="AG44" t="inlineStr">
        <is>
          <t>ZY</t>
        </is>
      </c>
      <c r="AH44" t="n">
        <v>1400</v>
      </c>
      <c r="AI44" t="inlineStr">
        <is>
          <t>United States</t>
        </is>
      </c>
      <c r="AJ44" t="inlineStr">
        <is>
          <t>AMER</t>
        </is>
      </c>
      <c r="AK44" t="inlineStr">
        <is>
          <t>IT-MGS0204-OG-US-00</t>
        </is>
      </c>
      <c r="AL44" t="inlineStr">
        <is>
          <t>Seagen Oracle long t</t>
        </is>
      </c>
      <c r="AM44" t="inlineStr">
        <is>
          <t>AC02-9501195328-SEAGEN ORACLE (ANNUAL "AMS" ORDER)</t>
        </is>
      </c>
      <c r="AN44" t="n">
        <v/>
      </c>
      <c r="AO44" t="n">
        <v>2100082650140</v>
      </c>
      <c r="AP44" t="inlineStr">
        <is>
          <t>AP02 2026 WDAC 2</t>
        </is>
      </c>
      <c r="AQ44" t="inlineStr">
        <is>
          <t>USD</t>
        </is>
      </c>
      <c r="AR44" t="inlineStr">
        <is>
          <t>US Dollar</t>
        </is>
      </c>
      <c r="AS44" t="inlineStr">
        <is>
          <t>USD</t>
        </is>
      </c>
      <c r="AT44" t="n">
        <v>758</v>
      </c>
      <c r="AU44" t="n">
        <v>758</v>
      </c>
      <c r="AV44" t="n">
        <v>758</v>
      </c>
      <c r="AW44" t="n">
        <v>758</v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</row>
  </sheetData>
  <autoFilter ref="A1:B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Ali, Michael</dc:creator>
  <dcterms:created xsi:type="dcterms:W3CDTF">2024-04-15T21:07:03Z</dcterms:created>
  <dcterms:modified xsi:type="dcterms:W3CDTF">2026-03-12T16:02:45Z</dcterms:modified>
  <cp:lastModifiedBy>Hovey, Owen (Contractor)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791b42f-c435-42ca-9531-75a3f42aae3d_Enabled" fmtid="{D5CDD505-2E9C-101B-9397-08002B2CF9AE}" pid="2">
    <vt:lpwstr>true</vt:lpwstr>
  </property>
  <property name="MSIP_Label_4791b42f-c435-42ca-9531-75a3f42aae3d_SetDate" fmtid="{D5CDD505-2E9C-101B-9397-08002B2CF9AE}" pid="3">
    <vt:lpwstr>2024-04-15T21:09:09Z</vt:lpwstr>
  </property>
  <property name="MSIP_Label_4791b42f-c435-42ca-9531-75a3f42aae3d_Method" fmtid="{D5CDD505-2E9C-101B-9397-08002B2CF9AE}" pid="4">
    <vt:lpwstr>Privileged</vt:lpwstr>
  </property>
  <property name="MSIP_Label_4791b42f-c435-42ca-9531-75a3f42aae3d_Name" fmtid="{D5CDD505-2E9C-101B-9397-08002B2CF9AE}" pid="5">
    <vt:lpwstr>4791b42f-c435-42ca-9531-75a3f42aae3d</vt:lpwstr>
  </property>
  <property name="MSIP_Label_4791b42f-c435-42ca-9531-75a3f42aae3d_SiteId" fmtid="{D5CDD505-2E9C-101B-9397-08002B2CF9AE}" pid="6">
    <vt:lpwstr>7a916015-20ae-4ad1-9170-eefd915e9272</vt:lpwstr>
  </property>
  <property name="MSIP_Label_4791b42f-c435-42ca-9531-75a3f42aae3d_ActionId" fmtid="{D5CDD505-2E9C-101B-9397-08002B2CF9AE}" pid="7">
    <vt:lpwstr>a5adbada-ee90-4aa5-b622-c8c00884043c</vt:lpwstr>
  </property>
  <property name="MSIP_Label_4791b42f-c435-42ca-9531-75a3f42aae3d_ContentBits" fmtid="{D5CDD505-2E9C-101B-9397-08002B2CF9AE}" pid="8">
    <vt:lpwstr>0</vt:lpwstr>
  </property>
  <property name="ContentTypeId" fmtid="{D5CDD505-2E9C-101B-9397-08002B2CF9AE}" pid="9">
    <vt:lpwstr>0x0101002B3B1E9AF76D8540A21B723585178CF2</vt:lpwstr>
  </property>
  <property name="MediaServiceImageTags" fmtid="{D5CDD505-2E9C-101B-9397-08002B2CF9AE}" pid="10">
    <vt:lpwstr/>
  </property>
</Properties>
</file>