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"/>
    </mc:Choice>
  </mc:AlternateContent>
  <xr:revisionPtr revIDLastSave="1" documentId="11_F040400F8F231770F866F4390E98A72FB12FE562" xr6:coauthVersionLast="47" xr6:coauthVersionMax="47" xr10:uidLastSave="{4DE94E51-8A3C-4398-9241-5162E7852C2E}"/>
  <bookViews>
    <workbookView xWindow="-120" yWindow="-120" windowWidth="23280" windowHeight="12480" tabRatio="590" activeTab="1" xr2:uid="{00000000-000D-0000-FFFF-FFFF00000000}"/>
  </bookViews>
  <sheets>
    <sheet name="Template" sheetId="1" r:id="rId1"/>
    <sheet name="Sheet1" sheetId="2" r:id="rId2"/>
  </sheets>
  <definedNames>
    <definedName name="_xlnm._FilterDatabase" localSheetId="0" hidden="1">Template!$B$14:$BT$25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1" l="1"/>
  <c r="N24" i="1"/>
  <c r="M24" i="1"/>
  <c r="BR23" i="1"/>
  <c r="BQ23" i="1"/>
  <c r="BL23" i="1"/>
  <c r="BG23" i="1"/>
  <c r="BB23" i="1"/>
  <c r="AW23" i="1"/>
  <c r="AR23" i="1"/>
  <c r="AM23" i="1"/>
  <c r="AH23" i="1"/>
  <c r="AC23" i="1"/>
  <c r="X23" i="1"/>
  <c r="S23" i="1"/>
  <c r="N23" i="1"/>
  <c r="BR22" i="1"/>
  <c r="BQ22" i="1"/>
  <c r="BL22" i="1"/>
  <c r="BG22" i="1"/>
  <c r="BB22" i="1"/>
  <c r="AW22" i="1"/>
  <c r="AR22" i="1"/>
  <c r="AM22" i="1"/>
  <c r="AH22" i="1"/>
  <c r="AC22" i="1"/>
  <c r="X22" i="1"/>
  <c r="S22" i="1"/>
  <c r="N22" i="1"/>
  <c r="BR21" i="1"/>
  <c r="BQ21" i="1"/>
  <c r="BL21" i="1"/>
  <c r="BG21" i="1"/>
  <c r="BB21" i="1"/>
  <c r="AW21" i="1"/>
  <c r="AR21" i="1"/>
  <c r="AM21" i="1"/>
  <c r="AH21" i="1"/>
  <c r="AC21" i="1"/>
  <c r="N21" i="1"/>
  <c r="BR20" i="1"/>
  <c r="BQ20" i="1"/>
  <c r="BL20" i="1"/>
  <c r="BG20" i="1"/>
  <c r="BB20" i="1"/>
  <c r="AW20" i="1"/>
  <c r="AR20" i="1"/>
  <c r="AM20" i="1"/>
  <c r="AH20" i="1"/>
  <c r="AC20" i="1"/>
  <c r="X20" i="1"/>
  <c r="S20" i="1"/>
  <c r="N20" i="1"/>
  <c r="BR19" i="1"/>
  <c r="BQ19" i="1"/>
  <c r="BL19" i="1"/>
  <c r="BG19" i="1"/>
  <c r="BB19" i="1"/>
  <c r="AW19" i="1"/>
  <c r="AR19" i="1"/>
  <c r="AM19" i="1"/>
  <c r="AH19" i="1"/>
  <c r="AC19" i="1"/>
  <c r="X19" i="1"/>
  <c r="S19" i="1"/>
  <c r="N19" i="1"/>
  <c r="BR18" i="1"/>
  <c r="BQ18" i="1"/>
  <c r="BL18" i="1"/>
  <c r="BG18" i="1"/>
  <c r="BB18" i="1"/>
  <c r="AW18" i="1"/>
  <c r="AR18" i="1"/>
  <c r="AM18" i="1"/>
  <c r="AH18" i="1"/>
  <c r="AC18" i="1"/>
  <c r="X18" i="1"/>
  <c r="S18" i="1"/>
  <c r="N18" i="1"/>
  <c r="BR17" i="1"/>
  <c r="BQ17" i="1"/>
  <c r="BL17" i="1"/>
  <c r="BG17" i="1"/>
  <c r="BB17" i="1"/>
  <c r="AW17" i="1"/>
  <c r="AR17" i="1"/>
  <c r="AM17" i="1"/>
  <c r="AH17" i="1"/>
  <c r="AC17" i="1"/>
  <c r="X17" i="1"/>
  <c r="S17" i="1"/>
  <c r="N17" i="1"/>
  <c r="BR16" i="1"/>
  <c r="BQ16" i="1"/>
  <c r="BL16" i="1"/>
  <c r="BG16" i="1"/>
  <c r="BB16" i="1"/>
  <c r="AW16" i="1"/>
  <c r="AR16" i="1"/>
  <c r="AM16" i="1"/>
  <c r="AH16" i="1"/>
  <c r="AC16" i="1"/>
  <c r="X16" i="1"/>
  <c r="S16" i="1"/>
  <c r="N16" i="1"/>
  <c r="BR15" i="1"/>
  <c r="BR13" i="1" s="1"/>
  <c r="BQ15" i="1"/>
  <c r="BL15" i="1"/>
  <c r="BG15" i="1"/>
  <c r="BB15" i="1"/>
  <c r="AW15" i="1"/>
  <c r="AR15" i="1"/>
  <c r="AM15" i="1"/>
  <c r="AH15" i="1"/>
  <c r="AC15" i="1"/>
  <c r="X15" i="1"/>
  <c r="S15" i="1"/>
  <c r="N15" i="1"/>
  <c r="O12" i="1" a="1"/>
  <c r="O12" i="1" s="1"/>
  <c r="J12" i="1" a="1"/>
  <c r="J12" i="1" s="1"/>
  <c r="O11" i="1" a="1"/>
  <c r="O11" i="1" s="1"/>
  <c r="J11" i="1" a="1"/>
  <c r="J11" i="1" s="1"/>
  <c r="F3" i="1"/>
  <c r="BA24" i="1" l="1"/>
  <c r="AG24" i="1"/>
  <c r="B9" i="1"/>
  <c r="B10" i="1" s="1"/>
  <c r="BP24" i="1"/>
  <c r="AV24" i="1"/>
  <c r="AB24" i="1"/>
  <c r="BK24" i="1"/>
  <c r="AQ24" i="1"/>
  <c r="W24" i="1"/>
  <c r="BS11" i="1"/>
  <c r="BF24" i="1"/>
  <c r="AL24" i="1"/>
  <c r="Y12" i="1" l="1" a="1"/>
  <c r="Y12" i="1" s="1"/>
  <c r="Y11" i="1" a="1"/>
  <c r="Y11" i="1" s="1"/>
  <c r="AD12" i="1" a="1"/>
  <c r="AD12" i="1" s="1"/>
  <c r="AD11" i="1" a="1"/>
  <c r="AD11" i="1" s="1"/>
  <c r="BH12" i="1" a="1"/>
  <c r="BH12" i="1" s="1"/>
  <c r="BH11" i="1" a="1"/>
  <c r="BH11" i="1" s="1"/>
  <c r="AX12" i="1" a="1"/>
  <c r="AX12" i="1" s="1"/>
  <c r="AX11" i="1" a="1"/>
  <c r="AX11" i="1" s="1"/>
  <c r="BC12" i="1" a="1"/>
  <c r="BC12" i="1" s="1"/>
  <c r="BC11" i="1" a="1"/>
  <c r="BC11" i="1" s="1"/>
  <c r="T12" i="1" a="1"/>
  <c r="T12" i="1" s="1"/>
  <c r="T11" i="1" a="1"/>
  <c r="T11" i="1" s="1"/>
  <c r="AS12" i="1" a="1"/>
  <c r="AS12" i="1" s="1"/>
  <c r="AS11" i="1" a="1"/>
  <c r="AS11" i="1" s="1"/>
  <c r="AI12" i="1" a="1"/>
  <c r="AI12" i="1" s="1"/>
  <c r="AI11" i="1" a="1"/>
  <c r="AI11" i="1" s="1"/>
  <c r="AN12" i="1" a="1"/>
  <c r="AN12" i="1" s="1"/>
  <c r="AN11" i="1" a="1"/>
  <c r="AN11" i="1" s="1"/>
  <c r="BM12" i="1" a="1"/>
  <c r="BM12" i="1" s="1"/>
  <c r="BM11" i="1" a="1"/>
  <c r="BM11" i="1" s="1"/>
  <c r="BR24" i="1"/>
  <c r="E6" i="1" s="1"/>
  <c r="B11" i="1" l="1"/>
  <c r="B12" i="1" s="1"/>
  <c r="E11" i="1"/>
  <c r="E12" i="1" s="1"/>
  <c r="G11" i="1"/>
  <c r="G12" i="1" s="1"/>
  <c r="F11" i="1"/>
  <c r="F12" i="1" s="1"/>
</calcChain>
</file>

<file path=xl/sharedStrings.xml><?xml version="1.0" encoding="utf-8"?>
<sst xmlns="http://schemas.openxmlformats.org/spreadsheetml/2006/main" count="104" uniqueCount="88">
  <si>
    <t xml:space="preserve">Overall Capital </t>
  </si>
  <si>
    <t>N/A</t>
  </si>
  <si>
    <t>Overall Expense</t>
  </si>
  <si>
    <t>WBS code</t>
  </si>
  <si>
    <t xml:space="preserve">P3 ID </t>
  </si>
  <si>
    <t>[Put P3 ID here]</t>
  </si>
  <si>
    <t>Type of Spend</t>
  </si>
  <si>
    <t>Total Variance Expense</t>
  </si>
  <si>
    <t>S1</t>
  </si>
  <si>
    <t>S2</t>
  </si>
  <si>
    <t>Total</t>
  </si>
  <si>
    <t>Variance Percentage</t>
  </si>
  <si>
    <t>Budget</t>
  </si>
  <si>
    <t>Contingency:</t>
  </si>
  <si>
    <t>Total Actuals To Date</t>
  </si>
  <si>
    <t>Actuals</t>
  </si>
  <si>
    <t xml:space="preserve">P3 Actuals: </t>
  </si>
  <si>
    <t>Total:</t>
  </si>
  <si>
    <t xml:space="preserve">Remaining Spend </t>
  </si>
  <si>
    <t>Variance</t>
  </si>
  <si>
    <t xml:space="preserve">Forecast Spreadsheet Actuals: </t>
  </si>
  <si>
    <t>EXPENSE</t>
  </si>
  <si>
    <t xml:space="preserve">Month: </t>
  </si>
  <si>
    <t>Contact for PO/ER</t>
  </si>
  <si>
    <t>PO Number/
ER Number</t>
  </si>
  <si>
    <t>PO Start Date</t>
  </si>
  <si>
    <t>PO end date</t>
  </si>
  <si>
    <t>Vendor Name</t>
  </si>
  <si>
    <t>G/L Account</t>
  </si>
  <si>
    <t>Gross PO Value  (USD)</t>
  </si>
  <si>
    <t>Requisition 
Title</t>
  </si>
  <si>
    <t>PO Status</t>
  </si>
  <si>
    <t>Accrual Reversal Dec</t>
  </si>
  <si>
    <t>Forecast Jan</t>
  </si>
  <si>
    <t>Accrual Jan</t>
  </si>
  <si>
    <t>Actual   Jan</t>
  </si>
  <si>
    <t>Variance (Actuals/Accruals</t>
  </si>
  <si>
    <t>Accrual Reversal Jan</t>
  </si>
  <si>
    <t>Forecast Feb</t>
  </si>
  <si>
    <t>Accrual Feb</t>
  </si>
  <si>
    <t>Actual   Feb</t>
  </si>
  <si>
    <t>Accrual Reversal Feb</t>
  </si>
  <si>
    <t>Forecast March</t>
  </si>
  <si>
    <t>Accrual March</t>
  </si>
  <si>
    <t>Actual March</t>
  </si>
  <si>
    <t>Accrual Reversal Mar</t>
  </si>
  <si>
    <t>Forecast April</t>
  </si>
  <si>
    <t>Accrual April</t>
  </si>
  <si>
    <t>Actual April</t>
  </si>
  <si>
    <t>Accrual Reversal Apr</t>
  </si>
  <si>
    <t>Forecast May</t>
  </si>
  <si>
    <t>Accrual May</t>
  </si>
  <si>
    <t>Accrual Reversal May</t>
  </si>
  <si>
    <t>Forecast June</t>
  </si>
  <si>
    <t>Accrual   June</t>
  </si>
  <si>
    <t>Actual June</t>
  </si>
  <si>
    <t>Accrual Reversal Jun</t>
  </si>
  <si>
    <t>Forecast July</t>
  </si>
  <si>
    <t>Accrual July</t>
  </si>
  <si>
    <t>Actual  July</t>
  </si>
  <si>
    <t>Accrual Reversal Jul</t>
  </si>
  <si>
    <t>Forecast Aug</t>
  </si>
  <si>
    <t>Accrual Aug</t>
  </si>
  <si>
    <t>Actual Aug</t>
  </si>
  <si>
    <t>Accrual Reversal Aug</t>
  </si>
  <si>
    <t>Forecast Sept</t>
  </si>
  <si>
    <t>Accrual Sept</t>
  </si>
  <si>
    <t>Actual Sept</t>
  </si>
  <si>
    <t>Accrual Reversal Sep</t>
  </si>
  <si>
    <t>Forecast Oct</t>
  </si>
  <si>
    <t>Accrual Oct</t>
  </si>
  <si>
    <t xml:space="preserve">Actual Oct  </t>
  </si>
  <si>
    <t>Accrual Reversal Oct</t>
  </si>
  <si>
    <t>Forecast Nov</t>
  </si>
  <si>
    <t>Accrual Nov</t>
  </si>
  <si>
    <t>Actual Nov</t>
  </si>
  <si>
    <t>Accrual Reversal Nov</t>
  </si>
  <si>
    <t>Forecast Dec</t>
  </si>
  <si>
    <t xml:space="preserve">Accrual Dec </t>
  </si>
  <si>
    <t>Actual Dec</t>
  </si>
  <si>
    <t>Total 2023</t>
  </si>
  <si>
    <t>CPA Budget &lt;YEAR&gt;</t>
  </si>
  <si>
    <t>Comments</t>
  </si>
  <si>
    <t>9500879389</t>
  </si>
  <si>
    <t>9500882917</t>
  </si>
  <si>
    <t>Previous Period Invoices</t>
  </si>
  <si>
    <t>Contingency</t>
  </si>
  <si>
    <t>EXPENSE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</si>
</sst>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d\-mmm\-yy;@"/>
    <numFmt numFmtId="165" formatCode="&quot;$&quot;#,##0"/>
    <numFmt numFmtId="166" formatCode="mmmm\-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F4D4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rgb="FF4F4D4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44" fontId="1" fillId="0" borderId="0"/>
    <xf numFmtId="0" fontId="8" fillId="0" borderId="0"/>
  </cellStyleXfs>
  <cellXfs count="14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2" borderId="4" xfId="0" applyFont="1" applyFill="1" applyBorder="1"/>
    <xf numFmtId="0" fontId="0" fillId="2" borderId="0" xfId="0" applyFill="1" applyAlignment="1">
      <alignment wrapText="1"/>
    </xf>
    <xf numFmtId="4" fontId="6" fillId="2" borderId="0" xfId="0" applyNumberFormat="1" applyFont="1" applyFill="1"/>
    <xf numFmtId="0" fontId="5" fillId="2" borderId="0" xfId="0" applyFont="1" applyFill="1"/>
    <xf numFmtId="2" fontId="0" fillId="0" borderId="0" xfId="0" applyNumberFormat="1"/>
    <xf numFmtId="0" fontId="0" fillId="2" borderId="0" xfId="0" applyFill="1"/>
    <xf numFmtId="0" fontId="0" fillId="2" borderId="4" xfId="0" applyFill="1" applyBorder="1"/>
    <xf numFmtId="0" fontId="4" fillId="2" borderId="0" xfId="1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4" fontId="0" fillId="0" borderId="0" xfId="0" applyNumberFormat="1"/>
    <xf numFmtId="0" fontId="3" fillId="2" borderId="9" xfId="0" applyFont="1" applyFill="1" applyBorder="1"/>
    <xf numFmtId="4" fontId="0" fillId="2" borderId="10" xfId="0" applyNumberFormat="1" applyFill="1" applyBorder="1"/>
    <xf numFmtId="3" fontId="0" fillId="0" borderId="0" xfId="0" applyNumberFormat="1"/>
    <xf numFmtId="0" fontId="3" fillId="2" borderId="11" xfId="0" applyFont="1" applyFill="1" applyBorder="1"/>
    <xf numFmtId="0" fontId="0" fillId="4" borderId="0" xfId="0" applyFill="1"/>
    <xf numFmtId="3" fontId="0" fillId="3" borderId="0" xfId="0" applyNumberFormat="1" applyFill="1" applyAlignment="1">
      <alignment horizontal="left"/>
    </xf>
    <xf numFmtId="0" fontId="3" fillId="0" borderId="0" xfId="0" applyFont="1"/>
    <xf numFmtId="3" fontId="7" fillId="4" borderId="0" xfId="0" applyNumberFormat="1" applyFont="1" applyFill="1" applyAlignment="1">
      <alignment horizontal="left"/>
    </xf>
    <xf numFmtId="3" fontId="7" fillId="0" borderId="0" xfId="0" applyNumberFormat="1" applyFont="1"/>
    <xf numFmtId="0" fontId="9" fillId="2" borderId="16" xfId="3" applyFont="1" applyFill="1" applyBorder="1" applyAlignment="1">
      <alignment horizontal="left" wrapText="1"/>
    </xf>
    <xf numFmtId="1" fontId="10" fillId="2" borderId="17" xfId="3" applyNumberFormat="1" applyFont="1" applyFill="1" applyBorder="1" applyAlignment="1">
      <alignment horizontal="center" wrapText="1"/>
    </xf>
    <xf numFmtId="164" fontId="10" fillId="2" borderId="17" xfId="3" applyNumberFormat="1" applyFont="1" applyFill="1" applyBorder="1" applyAlignment="1">
      <alignment horizontal="center" wrapText="1"/>
    </xf>
    <xf numFmtId="0" fontId="10" fillId="2" borderId="17" xfId="3" applyFont="1" applyFill="1" applyBorder="1" applyAlignment="1">
      <alignment horizontal="center" wrapText="1"/>
    </xf>
    <xf numFmtId="165" fontId="9" fillId="2" borderId="17" xfId="3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9" fillId="2" borderId="18" xfId="3" applyFont="1" applyFill="1" applyBorder="1" applyAlignment="1">
      <alignment wrapText="1"/>
    </xf>
    <xf numFmtId="165" fontId="9" fillId="2" borderId="19" xfId="3" applyNumberFormat="1" applyFont="1" applyFill="1" applyBorder="1" applyAlignment="1">
      <alignment horizontal="center" wrapText="1"/>
    </xf>
    <xf numFmtId="165" fontId="9" fillId="2" borderId="20" xfId="3" applyNumberFormat="1" applyFont="1" applyFill="1" applyBorder="1" applyAlignment="1">
      <alignment horizontal="center" wrapText="1"/>
    </xf>
    <xf numFmtId="165" fontId="9" fillId="2" borderId="21" xfId="3" applyNumberFormat="1" applyFont="1" applyFill="1" applyBorder="1" applyAlignment="1">
      <alignment horizontal="center" wrapText="1"/>
    </xf>
    <xf numFmtId="165" fontId="9" fillId="2" borderId="2" xfId="3" applyNumberFormat="1" applyFont="1" applyFill="1" applyBorder="1" applyAlignment="1">
      <alignment horizontal="center" wrapText="1"/>
    </xf>
    <xf numFmtId="165" fontId="9" fillId="2" borderId="22" xfId="3" applyNumberFormat="1" applyFont="1" applyFill="1" applyBorder="1" applyAlignment="1">
      <alignment horizontal="center" wrapText="1"/>
    </xf>
    <xf numFmtId="0" fontId="9" fillId="2" borderId="23" xfId="3" applyFont="1" applyFill="1" applyBorder="1" applyAlignment="1">
      <alignment wrapText="1"/>
    </xf>
    <xf numFmtId="0" fontId="0" fillId="0" borderId="9" xfId="0" applyBorder="1"/>
    <xf numFmtId="0" fontId="0" fillId="0" borderId="24" xfId="0" applyBorder="1"/>
    <xf numFmtId="3" fontId="0" fillId="0" borderId="24" xfId="0" applyNumberFormat="1" applyBorder="1"/>
    <xf numFmtId="0" fontId="0" fillId="0" borderId="25" xfId="0" applyBorder="1"/>
    <xf numFmtId="3" fontId="0" fillId="0" borderId="9" xfId="0" applyNumberFormat="1" applyBorder="1"/>
    <xf numFmtId="3" fontId="0" fillId="0" borderId="25" xfId="0" applyNumberFormat="1" applyBorder="1"/>
    <xf numFmtId="3" fontId="0" fillId="0" borderId="10" xfId="0" applyNumberFormat="1" applyBorder="1"/>
    <xf numFmtId="3" fontId="0" fillId="0" borderId="27" xfId="0" applyNumberFormat="1" applyBorder="1"/>
    <xf numFmtId="0" fontId="0" fillId="0" borderId="28" xfId="0" applyBorder="1"/>
    <xf numFmtId="0" fontId="0" fillId="0" borderId="29" xfId="0" applyBorder="1"/>
    <xf numFmtId="3" fontId="0" fillId="0" borderId="29" xfId="0" applyNumberFormat="1" applyBorder="1"/>
    <xf numFmtId="0" fontId="0" fillId="0" borderId="30" xfId="0" applyBorder="1"/>
    <xf numFmtId="3" fontId="0" fillId="0" borderId="28" xfId="0" applyNumberFormat="1" applyBorder="1"/>
    <xf numFmtId="3" fontId="0" fillId="0" borderId="30" xfId="0" applyNumberFormat="1" applyBorder="1"/>
    <xf numFmtId="3" fontId="0" fillId="0" borderId="32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40" xfId="0" applyNumberFormat="1" applyBorder="1"/>
    <xf numFmtId="0" fontId="0" fillId="0" borderId="11" xfId="0" applyBorder="1"/>
    <xf numFmtId="0" fontId="0" fillId="0" borderId="41" xfId="0" applyBorder="1"/>
    <xf numFmtId="0" fontId="0" fillId="0" borderId="42" xfId="0" applyBorder="1"/>
    <xf numFmtId="3" fontId="0" fillId="0" borderId="41" xfId="0" applyNumberFormat="1" applyBorder="1"/>
    <xf numFmtId="3" fontId="0" fillId="0" borderId="42" xfId="0" applyNumberFormat="1" applyBorder="1"/>
    <xf numFmtId="3" fontId="0" fillId="0" borderId="12" xfId="0" applyNumberFormat="1" applyBorder="1"/>
    <xf numFmtId="3" fontId="0" fillId="0" borderId="43" xfId="0" applyNumberFormat="1" applyBorder="1"/>
    <xf numFmtId="3" fontId="0" fillId="0" borderId="11" xfId="0" applyNumberFormat="1" applyBorder="1"/>
    <xf numFmtId="0" fontId="0" fillId="3" borderId="0" xfId="0" applyFill="1"/>
    <xf numFmtId="165" fontId="9" fillId="2" borderId="45" xfId="3" applyNumberFormat="1" applyFont="1" applyFill="1" applyBorder="1" applyAlignment="1">
      <alignment horizontal="center" wrapText="1"/>
    </xf>
    <xf numFmtId="14" fontId="0" fillId="0" borderId="24" xfId="0" applyNumberFormat="1" applyBorder="1"/>
    <xf numFmtId="3" fontId="0" fillId="2" borderId="26" xfId="0" applyNumberFormat="1" applyFill="1" applyBorder="1"/>
    <xf numFmtId="0" fontId="0" fillId="0" borderId="10" xfId="0" applyBorder="1"/>
    <xf numFmtId="14" fontId="0" fillId="0" borderId="29" xfId="0" applyNumberFormat="1" applyBorder="1"/>
    <xf numFmtId="3" fontId="0" fillId="2" borderId="31" xfId="0" applyNumberFormat="1" applyFill="1" applyBorder="1"/>
    <xf numFmtId="0" fontId="0" fillId="0" borderId="32" xfId="0" applyBorder="1"/>
    <xf numFmtId="0" fontId="0" fillId="0" borderId="46" xfId="0" applyBorder="1"/>
    <xf numFmtId="0" fontId="0" fillId="5" borderId="28" xfId="0" applyFill="1" applyBorder="1"/>
    <xf numFmtId="0" fontId="0" fillId="5" borderId="29" xfId="0" applyFill="1" applyBorder="1"/>
    <xf numFmtId="14" fontId="0" fillId="5" borderId="29" xfId="0" applyNumberFormat="1" applyFill="1" applyBorder="1"/>
    <xf numFmtId="0" fontId="0" fillId="5" borderId="30" xfId="0" applyFill="1" applyBorder="1"/>
    <xf numFmtId="3" fontId="0" fillId="5" borderId="28" xfId="0" applyNumberFormat="1" applyFill="1" applyBorder="1"/>
    <xf numFmtId="3" fontId="0" fillId="5" borderId="29" xfId="0" applyNumberFormat="1" applyFill="1" applyBorder="1"/>
    <xf numFmtId="3" fontId="0" fillId="5" borderId="30" xfId="0" applyNumberFormat="1" applyFill="1" applyBorder="1"/>
    <xf numFmtId="3" fontId="0" fillId="5" borderId="32" xfId="0" applyNumberFormat="1" applyFill="1" applyBorder="1"/>
    <xf numFmtId="3" fontId="0" fillId="5" borderId="33" xfId="0" applyNumberFormat="1" applyFill="1" applyBorder="1"/>
    <xf numFmtId="3" fontId="0" fillId="5" borderId="31" xfId="0" applyNumberFormat="1" applyFill="1" applyBorder="1"/>
    <xf numFmtId="0" fontId="0" fillId="5" borderId="32" xfId="0" applyFill="1" applyBorder="1"/>
    <xf numFmtId="0" fontId="0" fillId="5" borderId="0" xfId="0" applyFill="1"/>
    <xf numFmtId="0" fontId="0" fillId="0" borderId="47" xfId="0" applyBorder="1"/>
    <xf numFmtId="0" fontId="0" fillId="0" borderId="48" xfId="0" applyBorder="1"/>
    <xf numFmtId="14" fontId="0" fillId="0" borderId="48" xfId="0" applyNumberFormat="1" applyBorder="1"/>
    <xf numFmtId="0" fontId="0" fillId="0" borderId="38" xfId="0" applyBorder="1"/>
    <xf numFmtId="3" fontId="0" fillId="0" borderId="47" xfId="0" applyNumberFormat="1" applyBorder="1"/>
    <xf numFmtId="3" fontId="0" fillId="0" borderId="48" xfId="0" applyNumberFormat="1" applyBorder="1"/>
    <xf numFmtId="3" fontId="0" fillId="2" borderId="37" xfId="0" applyNumberFormat="1" applyFill="1" applyBorder="1"/>
    <xf numFmtId="0" fontId="0" fillId="0" borderId="39" xfId="0" applyBorder="1"/>
    <xf numFmtId="14" fontId="0" fillId="0" borderId="41" xfId="0" applyNumberFormat="1" applyBorder="1"/>
    <xf numFmtId="3" fontId="0" fillId="0" borderId="49" xfId="0" applyNumberFormat="1" applyBorder="1"/>
    <xf numFmtId="3" fontId="0" fillId="2" borderId="44" xfId="0" applyNumberFormat="1" applyFill="1" applyBorder="1"/>
    <xf numFmtId="0" fontId="0" fillId="0" borderId="12" xfId="0" applyBorder="1"/>
    <xf numFmtId="0" fontId="0" fillId="3" borderId="28" xfId="0" applyFill="1" applyBorder="1"/>
    <xf numFmtId="0" fontId="0" fillId="3" borderId="29" xfId="0" applyFill="1" applyBorder="1"/>
    <xf numFmtId="14" fontId="0" fillId="3" borderId="29" xfId="0" applyNumberFormat="1" applyFill="1" applyBorder="1"/>
    <xf numFmtId="3" fontId="0" fillId="3" borderId="29" xfId="0" applyNumberFormat="1" applyFill="1" applyBorder="1"/>
    <xf numFmtId="0" fontId="0" fillId="3" borderId="30" xfId="0" applyFill="1" applyBorder="1"/>
    <xf numFmtId="3" fontId="0" fillId="3" borderId="28" xfId="0" applyNumberFormat="1" applyFill="1" applyBorder="1"/>
    <xf numFmtId="3" fontId="0" fillId="3" borderId="30" xfId="0" applyNumberFormat="1" applyFill="1" applyBorder="1"/>
    <xf numFmtId="3" fontId="0" fillId="3" borderId="32" xfId="0" applyNumberFormat="1" applyFill="1" applyBorder="1"/>
    <xf numFmtId="3" fontId="0" fillId="3" borderId="33" xfId="0" applyNumberFormat="1" applyFill="1" applyBorder="1"/>
    <xf numFmtId="3" fontId="0" fillId="3" borderId="31" xfId="0" applyNumberFormat="1" applyFill="1" applyBorder="1"/>
    <xf numFmtId="0" fontId="0" fillId="3" borderId="32" xfId="0" applyFill="1" applyBorder="1"/>
    <xf numFmtId="165" fontId="3" fillId="2" borderId="7" xfId="0" applyNumberFormat="1" applyFont="1" applyFill="1" applyBorder="1" applyAlignment="1">
      <alignment horizontal="center"/>
    </xf>
    <xf numFmtId="165" fontId="0" fillId="2" borderId="7" xfId="0" applyNumberFormat="1" applyFill="1" applyBorder="1" applyAlignment="1">
      <alignment horizontal="right"/>
    </xf>
    <xf numFmtId="0" fontId="3" fillId="2" borderId="0" xfId="0" applyFont="1" applyFill="1"/>
    <xf numFmtId="4" fontId="6" fillId="2" borderId="1" xfId="0" applyNumberFormat="1" applyFont="1" applyFill="1" applyBorder="1"/>
    <xf numFmtId="3" fontId="6" fillId="2" borderId="0" xfId="0" applyNumberFormat="1" applyFont="1" applyFill="1" applyAlignment="1">
      <alignment horizontal="center"/>
    </xf>
    <xf numFmtId="3" fontId="6" fillId="2" borderId="5" xfId="0" applyNumberFormat="1" applyFont="1" applyFill="1" applyBorder="1" applyAlignment="1">
      <alignment horizontal="center"/>
    </xf>
    <xf numFmtId="3" fontId="6" fillId="2" borderId="7" xfId="0" applyNumberFormat="1" applyFont="1" applyFill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4" fontId="0" fillId="2" borderId="12" xfId="0" applyNumberFormat="1" applyFill="1" applyBorder="1"/>
    <xf numFmtId="4" fontId="11" fillId="2" borderId="2" xfId="0" applyNumberFormat="1" applyFont="1" applyFill="1" applyBorder="1" applyAlignment="1">
      <alignment horizontal="center"/>
    </xf>
    <xf numFmtId="4" fontId="11" fillId="2" borderId="3" xfId="0" applyNumberFormat="1" applyFont="1" applyFill="1" applyBorder="1" applyAlignment="1">
      <alignment horizontal="center"/>
    </xf>
    <xf numFmtId="4" fontId="11" fillId="2" borderId="4" xfId="0" applyNumberFormat="1" applyFont="1" applyFill="1" applyBorder="1"/>
    <xf numFmtId="4" fontId="11" fillId="2" borderId="6" xfId="0" applyNumberFormat="1" applyFont="1" applyFill="1" applyBorder="1"/>
    <xf numFmtId="0" fontId="3" fillId="2" borderId="34" xfId="0" applyFont="1" applyFill="1" applyBorder="1"/>
    <xf numFmtId="4" fontId="0" fillId="2" borderId="50" xfId="0" applyNumberFormat="1" applyFill="1" applyBorder="1"/>
    <xf numFmtId="0" fontId="3" fillId="2" borderId="28" xfId="0" applyFont="1" applyFill="1" applyBorder="1"/>
    <xf numFmtId="10" fontId="0" fillId="2" borderId="32" xfId="0" applyNumberFormat="1" applyFill="1" applyBorder="1"/>
    <xf numFmtId="3" fontId="2" fillId="2" borderId="5" xfId="0" applyNumberFormat="1" applyFont="1" applyFill="1" applyBorder="1"/>
    <xf numFmtId="3" fontId="0" fillId="2" borderId="5" xfId="0" applyNumberFormat="1" applyFill="1" applyBorder="1"/>
    <xf numFmtId="3" fontId="3" fillId="2" borderId="51" xfId="0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166" fontId="3" fillId="2" borderId="51" xfId="0" applyNumberFormat="1" applyFont="1" applyFill="1" applyBorder="1" applyAlignment="1">
      <alignment horizontal="center"/>
    </xf>
    <xf numFmtId="166" fontId="3" fillId="2" borderId="13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0" fillId="0" borderId="5" xfId="0" applyBorder="1"/>
    <xf numFmtId="0" fontId="3" fillId="0" borderId="8" xfId="0" applyFont="1" applyBorder="1" applyAlignment="1">
      <alignment horizontal="right"/>
    </xf>
    <xf numFmtId="0" fontId="0" fillId="0" borderId="8" xfId="0" applyBorder="1"/>
    <xf numFmtId="0" fontId="3" fillId="0" borderId="5" xfId="0" applyFont="1" applyBorder="1" applyAlignment="1">
      <alignment horizontal="right"/>
    </xf>
  </cellXfs>
  <cellStyles count="4">
    <cellStyle name="Currency 2" xfId="2" xr:uid="{00000000-0005-0000-0000-000002000000}"/>
    <cellStyle name="Hyperlink 2" xfId="1" xr:uid="{00000000-0005-0000-0000-000001000000}"/>
    <cellStyle name="Normal" xfId="0" builtinId="0"/>
    <cellStyle name="Normal 2 2" xfId="3" xr:uid="{00000000-0005-0000-0000-000003000000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U25"/>
  <sheetViews>
    <sheetView showGridLines="0" zoomScale="80" zoomScaleNormal="80" workbookViewId="0">
      <selection activeCell="K15" sqref="K15"/>
    </sheetView>
  </sheetViews>
  <sheetFormatPr defaultRowHeight="15" x14ac:dyDescent="0.25"/>
  <cols>
    <col min="1" max="1" width="24" customWidth="1"/>
    <col min="2" max="2" width="25" customWidth="1"/>
    <col min="3" max="3" width="12.28515625" customWidth="1"/>
    <col min="4" max="4" width="11.5703125" customWidth="1"/>
    <col min="5" max="5" width="14.28515625" customWidth="1"/>
    <col min="6" max="6" width="10.85546875" customWidth="1"/>
    <col min="7" max="7" width="13.42578125" customWidth="1"/>
    <col min="8" max="8" width="37.140625" customWidth="1"/>
    <col min="9" max="9" width="12.42578125" customWidth="1"/>
    <col min="10" max="69" width="8.85546875" customWidth="1"/>
    <col min="70" max="70" width="10.85546875" customWidth="1"/>
    <col min="71" max="71" width="15.5703125" customWidth="1"/>
    <col min="72" max="72" width="16.7109375" customWidth="1"/>
  </cols>
  <sheetData>
    <row r="2" spans="1:73" x14ac:dyDescent="0.25">
      <c r="A2" s="1"/>
      <c r="B2" s="2"/>
      <c r="C2" s="2"/>
      <c r="D2" s="2"/>
      <c r="E2" s="2"/>
      <c r="F2" s="3"/>
    </row>
    <row r="3" spans="1:73" x14ac:dyDescent="0.25">
      <c r="A3" s="4" t="s">
        <v>0</v>
      </c>
      <c r="B3" s="5"/>
      <c r="C3" s="6"/>
      <c r="D3" s="7" t="s">
        <v>1</v>
      </c>
      <c r="E3" s="7">
        <v>2024</v>
      </c>
      <c r="F3" s="128">
        <f>C3</f>
        <v>0</v>
      </c>
      <c r="O3" s="8"/>
      <c r="P3" s="8"/>
      <c r="Q3" s="8"/>
    </row>
    <row r="4" spans="1:73" x14ac:dyDescent="0.25">
      <c r="A4" s="4" t="s">
        <v>2</v>
      </c>
      <c r="B4" s="9" t="s">
        <v>3</v>
      </c>
      <c r="C4" s="6">
        <v>0</v>
      </c>
      <c r="D4" s="7">
        <v>2351818</v>
      </c>
      <c r="E4" s="7">
        <v>2024</v>
      </c>
      <c r="F4" s="128">
        <v>0</v>
      </c>
    </row>
    <row r="5" spans="1:73" x14ac:dyDescent="0.25">
      <c r="A5" s="10" t="s">
        <v>4</v>
      </c>
      <c r="B5" s="11"/>
      <c r="C5" s="9"/>
      <c r="D5" s="9"/>
      <c r="E5" s="9"/>
      <c r="F5" s="129"/>
    </row>
    <row r="6" spans="1:73" x14ac:dyDescent="0.25">
      <c r="A6" s="10" t="s">
        <v>5</v>
      </c>
      <c r="B6" s="6" t="s">
        <v>6</v>
      </c>
      <c r="C6" s="9"/>
      <c r="D6" s="9"/>
      <c r="E6" s="113" t="str">
        <f ca="1">IF(SUMIFS(BR:BR,A:A,"Contingency")&gt;0,"Contingency is "&amp;TEXT(SUMIFS(BR:BR,A:A,"Contingency"),"$#,##"),IF(SUMIFS(BR:BR,A:A,"Contingency")&lt;0,"Overspent by "&amp;TEXT(SUMIFS(BR:BR,A:A,"Contingency"),"$#,##"),"No contingency"))</f>
        <v>Overspent by -$407,730</v>
      </c>
      <c r="F6" s="12"/>
    </row>
    <row r="7" spans="1:73" x14ac:dyDescent="0.25">
      <c r="A7" s="13"/>
      <c r="B7" s="112"/>
      <c r="C7" s="111"/>
      <c r="D7" s="111"/>
      <c r="E7" s="14"/>
      <c r="F7" s="15"/>
      <c r="O7" s="16"/>
      <c r="P7" s="16"/>
      <c r="Q7" s="16"/>
    </row>
    <row r="8" spans="1:73" ht="15" customHeight="1" thickBot="1" x14ac:dyDescent="0.3"/>
    <row r="9" spans="1:73" x14ac:dyDescent="0.25">
      <c r="A9" s="17" t="s">
        <v>7</v>
      </c>
      <c r="B9" s="18">
        <f>C4-BR13</f>
        <v>-407730</v>
      </c>
      <c r="D9" s="114"/>
      <c r="E9" s="120" t="s">
        <v>8</v>
      </c>
      <c r="F9" s="120" t="s">
        <v>9</v>
      </c>
      <c r="G9" s="121" t="s">
        <v>10</v>
      </c>
    </row>
    <row r="10" spans="1:73" ht="15" customHeight="1" thickBot="1" x14ac:dyDescent="0.3">
      <c r="A10" s="126" t="s">
        <v>11</v>
      </c>
      <c r="B10" s="127" t="e">
        <f>B9/C4</f>
        <v>#DIV/0!</v>
      </c>
      <c r="D10" s="122" t="s">
        <v>12</v>
      </c>
      <c r="E10" s="115"/>
      <c r="F10" s="115"/>
      <c r="G10" s="116"/>
      <c r="BS10" s="67" t="s">
        <v>13</v>
      </c>
    </row>
    <row r="11" spans="1:73" ht="15.95" customHeight="1" thickBot="1" x14ac:dyDescent="0.3">
      <c r="A11" s="124" t="s">
        <v>14</v>
      </c>
      <c r="B11" s="125">
        <f ca="1">SUMIFS(J12:BQ12,J13:BQ13,"&lt;="&amp;TODAY())</f>
        <v>0</v>
      </c>
      <c r="D11" s="122" t="s">
        <v>15</v>
      </c>
      <c r="E11" s="115">
        <f ca="1">SUM(J11:X11,Y12:AM12)</f>
        <v>241383</v>
      </c>
      <c r="F11" s="115">
        <f ca="1">SUM(AN12:BQ12)</f>
        <v>-241383</v>
      </c>
      <c r="G11" s="116">
        <f ca="1">SUM(J11:X11,Y12:BQ12)</f>
        <v>0</v>
      </c>
      <c r="H11" s="135" t="s">
        <v>16</v>
      </c>
      <c r="I11" s="136"/>
      <c r="J11" s="130">
        <f t="array" aca="1" ref="J11" ca="1">SUM(M15:M24)+SUM(_xlfn._xlws.FILTER(L15:L24,M15:M24=""))+SUM(_xlfn._xlws.FILTER(K15:K24,(L15:L24="")*(M15:M24="")))+SUMIFS(N15:N24,M15:M24,"&lt;&gt;"&amp;"",$L$15:$L$24,"&lt;&gt;"&amp;"")+SUM(J15:J24)</f>
        <v>52935</v>
      </c>
      <c r="K11" s="131"/>
      <c r="L11" s="131"/>
      <c r="M11" s="131"/>
      <c r="N11" s="132"/>
      <c r="O11" s="130">
        <f t="array" aca="1" ref="O11" ca="1">SUM(R15:R24)+SUM(_xlfn._xlws.FILTER(Q15:Q24,R15:R24=""))+SUM(_xlfn._xlws.FILTER(P15:P24,(Q15:Q24="")*(R15:R24="")))+SUMIFS(S15:S24,R15:R24,"&lt;&gt;"&amp;"",$L$15:$L$24,"&lt;&gt;"&amp;"")+SUM(O15:O24)</f>
        <v>62700</v>
      </c>
      <c r="P11" s="131"/>
      <c r="Q11" s="131"/>
      <c r="R11" s="131"/>
      <c r="S11" s="132"/>
      <c r="T11" s="130">
        <f t="array" aca="1" ref="T11" ca="1">SUM(W15:W24)+SUM(_xlfn._xlws.FILTER(V15:V24,W15:W24=""))+SUM(_xlfn._xlws.FILTER(U15:U24,(V15:V24="")*(W15:W24="")))+SUMIFS(X15:X24,W15:W24,"&lt;&gt;"&amp;"",$L$15:$L$24,"&lt;&gt;"&amp;"")+SUM(T15:T24)</f>
        <v>40602</v>
      </c>
      <c r="U11" s="131"/>
      <c r="V11" s="131"/>
      <c r="W11" s="131"/>
      <c r="X11" s="132"/>
      <c r="Y11" s="130">
        <f t="array" aca="1" ref="Y11" ca="1">SUM(AB15:AB24)+SUM(_xlfn._xlws.FILTER(AA15:AA24,AB15:AB24=""))+SUM(_xlfn._xlws.FILTER(Z15:Z24,(AA15:AA24="")*(AB15:AB24="")))+SUMIFS(AC15:AC24,AB15:AB24,"&lt;&gt;"&amp;"",$L$15:$L$24,"&lt;&gt;"&amp;"")+SUM(Y15:Y24)</f>
        <v>22617</v>
      </c>
      <c r="Z11" s="131"/>
      <c r="AA11" s="131"/>
      <c r="AB11" s="131"/>
      <c r="AC11" s="132"/>
      <c r="AD11" s="130">
        <f t="array" aca="1" ref="AD11" ca="1">SUM(AG15:AG24)+SUM(_xlfn._xlws.FILTER(AF15:AF24,AG15:AG24=""))+SUM(_xlfn._xlws.FILTER(AE15:AE24,(AF15:AF24="")*(AG15:AG24="")))+SUMIFS(AH15:AH24,AG15:AG24,"&lt;&gt;"&amp;"",$L$15:$L$24,"&lt;&gt;"&amp;"")+SUM(AD15:AD24)</f>
        <v>24327</v>
      </c>
      <c r="AE11" s="131"/>
      <c r="AF11" s="131"/>
      <c r="AG11" s="131"/>
      <c r="AH11" s="132"/>
      <c r="AI11" s="130">
        <f t="array" aca="1" ref="AI11" ca="1">SUM(AL15:AL24)+SUM(_xlfn._xlws.FILTER(AK15:AK24,AL15:AL24=""))+SUM(_xlfn._xlws.FILTER(AJ15:AJ24,(AK15:AK24="")*(AL15:AL24="")))+SUMIFS(AM15:AM24,AL15:AL24,"&lt;&gt;"&amp;"",$L$15:$L$24,"&lt;&gt;"&amp;"")+SUM(AI15:AI24)</f>
        <v>38202</v>
      </c>
      <c r="AJ11" s="131"/>
      <c r="AK11" s="131"/>
      <c r="AL11" s="131"/>
      <c r="AM11" s="132"/>
      <c r="AN11" s="130">
        <f t="array" aca="1" ref="AN11" ca="1">SUM(AQ15:AQ24)+SUM(_xlfn._xlws.FILTER(AP15:AP24,AQ15:AQ24=""))+SUM(_xlfn._xlws.FILTER(AO15:AO24,(AP15:AP24="")*(AQ15:AQ24="")))+SUMIFS(AR15:AR24,AQ15:AQ24,"&lt;&gt;"&amp;"",$L$15:$L$24,"&lt;&gt;"&amp;"")+SUM(AN15:AN24)</f>
        <v>-37518</v>
      </c>
      <c r="AO11" s="131"/>
      <c r="AP11" s="131"/>
      <c r="AQ11" s="131"/>
      <c r="AR11" s="132"/>
      <c r="AS11" s="130">
        <f t="array" aca="1" ref="AS11" ca="1">SUM(AV15:AV24)+SUM(_xlfn._xlws.FILTER(AU15:AU24,AV15:AV24=""))+SUM(_xlfn._xlws.FILTER(AT15:AT24,(AU15:AU24="")*(AV15:AV24="")))+SUMIFS(AW15:AW24,AV15:AV24,"&lt;&gt;"&amp;"",$L$15:$L$24,"&lt;&gt;"&amp;"")+SUM(AS15:AS24)</f>
        <v>-40773</v>
      </c>
      <c r="AT11" s="131"/>
      <c r="AU11" s="131"/>
      <c r="AV11" s="131"/>
      <c r="AW11" s="132"/>
      <c r="AX11" s="130">
        <f t="array" aca="1" ref="AX11" ca="1">SUM(BA15:BA24)+SUM(_xlfn._xlws.FILTER(AZ15:AZ24,BA15:BA24=""))+SUM(_xlfn._xlws.FILTER(AY15:AY24,(AZ15:AZ24="")*(BA15:BA24="")))+SUMIFS(BB15:BB24,BA15:BA24,"&lt;&gt;"&amp;"",$L$15:$L$24,"&lt;&gt;"&amp;"")+SUM(AX15:AX24)</f>
        <v>-40773</v>
      </c>
      <c r="AY11" s="131"/>
      <c r="AZ11" s="131"/>
      <c r="BA11" s="131"/>
      <c r="BB11" s="132"/>
      <c r="BC11" s="130">
        <f t="array" aca="1" ref="BC11" ca="1">SUM(BF15:BF24)+SUM(_xlfn._xlws.FILTER(BE15:BE24,BF15:BF24=""))+SUM(_xlfn._xlws.FILTER(BD15:BD24,(BE15:BE24="")*(BF15:BF24="")))+SUMIFS(BG15:BG24,BF15:BF24,"&lt;&gt;"&amp;"",$L$15:$L$24,"&lt;&gt;"&amp;"")+SUM(BC15:BC24)</f>
        <v>-40773</v>
      </c>
      <c r="BD11" s="131"/>
      <c r="BE11" s="131"/>
      <c r="BF11" s="131"/>
      <c r="BG11" s="132"/>
      <c r="BH11" s="130">
        <f t="array" aca="1" ref="BH11" ca="1">SUM(BK15:BK24)+SUM(_xlfn._xlws.FILTER(BJ15:BJ24,BK15:BK24=""))+SUM(_xlfn._xlws.FILTER(BI15:BI24,(BJ15:BJ24="")*(BK15:BK24="")))+SUMIFS(BL15:BL24,BK15:BK24,"&lt;&gt;"&amp;"",$L$15:$L$24,"&lt;&gt;"&amp;"")+SUM(BH15:BH24)</f>
        <v>-40773</v>
      </c>
      <c r="BI11" s="131"/>
      <c r="BJ11" s="131"/>
      <c r="BK11" s="131"/>
      <c r="BL11" s="132"/>
      <c r="BM11" s="130">
        <f t="array" aca="1" ref="BM11" ca="1">SUM(BP15:BP24)+SUM(_xlfn._xlws.FILTER(BO15:BO24,BP15:BP24=""))+SUM(_xlfn._xlws.FILTER(BN15:BN24,(BO15:BO24="")*(BP15:BP24="")))+SUMIFS(BQ15:BQ24,BP15:BP24,"&lt;&gt;"&amp;"",$L$15:$L$24,"&lt;&gt;"&amp;"")+SUM(BM15:BM24)</f>
        <v>-40773</v>
      </c>
      <c r="BN11" s="131"/>
      <c r="BO11" s="131"/>
      <c r="BP11" s="131"/>
      <c r="BQ11" s="132"/>
      <c r="BR11" s="21" t="s">
        <v>17</v>
      </c>
      <c r="BS11" s="22">
        <f>BS13-BR13</f>
        <v>-407730</v>
      </c>
    </row>
    <row r="12" spans="1:73" ht="15.75" customHeight="1" thickBot="1" x14ac:dyDescent="0.3">
      <c r="A12" s="20" t="s">
        <v>18</v>
      </c>
      <c r="B12" s="119">
        <f ca="1">C4-B11</f>
        <v>0</v>
      </c>
      <c r="D12" s="123" t="s">
        <v>19</v>
      </c>
      <c r="E12" s="117">
        <f ca="1">E11-E10</f>
        <v>241383</v>
      </c>
      <c r="F12" s="117">
        <f ca="1">F11-F10</f>
        <v>-241383</v>
      </c>
      <c r="G12" s="118">
        <f ca="1">G11-G10</f>
        <v>0</v>
      </c>
      <c r="H12" s="139" t="s">
        <v>20</v>
      </c>
      <c r="I12" s="136"/>
      <c r="J12" s="130">
        <f t="array" aca="1" ref="J12" ca="1">SUM(M15:M24)+SUM(_xlfn._xlws.FILTER(L15:L24,M15:M24=""))+SUM(_xlfn._xlws.FILTER(K15:K24,(L15:L24="")*(M15:M24="")))</f>
        <v>52935</v>
      </c>
      <c r="K12" s="131"/>
      <c r="L12" s="131"/>
      <c r="M12" s="131"/>
      <c r="N12" s="132"/>
      <c r="O12" s="130">
        <f t="array" aca="1" ref="O12" ca="1">SUM(R15:R24)+SUM(_xlfn._xlws.FILTER(Q15:Q24,R15:R24=""))+SUM(_xlfn._xlws.FILTER(P15:P24,(Q15:Q24="")*(R15:R24="")))</f>
        <v>62700</v>
      </c>
      <c r="P12" s="131"/>
      <c r="Q12" s="131"/>
      <c r="R12" s="131"/>
      <c r="S12" s="132"/>
      <c r="T12" s="130">
        <f t="array" aca="1" ref="T12" ca="1">SUM(W15:W24)+SUM(_xlfn._xlws.FILTER(V15:V24,W15:W24=""))+SUM(_xlfn._xlws.FILTER(U15:U24,(V15:V24="")*(W15:W24="")))</f>
        <v>40602</v>
      </c>
      <c r="U12" s="131"/>
      <c r="V12" s="131"/>
      <c r="W12" s="131"/>
      <c r="X12" s="132"/>
      <c r="Y12" s="130">
        <f t="array" aca="1" ref="Y12" ca="1">SUM(AB15:AB24)+SUM(_xlfn._xlws.FILTER(AA15:AA24,AB15:AB24=""))+SUM(_xlfn._xlws.FILTER(Z15:Z24,(AA15:AA24="")*(AB15:AB24="")))</f>
        <v>22617</v>
      </c>
      <c r="Z12" s="131"/>
      <c r="AA12" s="131"/>
      <c r="AB12" s="131"/>
      <c r="AC12" s="132"/>
      <c r="AD12" s="130">
        <f t="array" aca="1" ref="AD12" ca="1">SUM(AG15:AG24)+SUM(_xlfn._xlws.FILTER(AF15:AF24,AG15:AG24=""))+SUM(_xlfn._xlws.FILTER(AE15:AE24,(AF15:AF24="")*(AG15:AG24="")))</f>
        <v>24327</v>
      </c>
      <c r="AE12" s="131"/>
      <c r="AF12" s="131"/>
      <c r="AG12" s="131"/>
      <c r="AH12" s="132"/>
      <c r="AI12" s="130">
        <f t="array" aca="1" ref="AI12" ca="1">SUM(AL15:AL24)+SUM(_xlfn._xlws.FILTER(AK15:AK24,AL15:AL24=""))+SUM(_xlfn._xlws.FILTER(AJ15:AJ24,(AK15:AK24="")*(AL15:AL24="")))</f>
        <v>38202</v>
      </c>
      <c r="AJ12" s="131"/>
      <c r="AK12" s="131"/>
      <c r="AL12" s="131"/>
      <c r="AM12" s="132"/>
      <c r="AN12" s="130">
        <f t="array" aca="1" ref="AN12" ca="1">SUM(AQ15:AQ24)+SUM(_xlfn._xlws.FILTER(AP15:AP24,AQ15:AQ24=""))+SUM(_xlfn._xlws.FILTER(AO15:AO24,(AP15:AP24="")*(AQ15:AQ24="")))</f>
        <v>-37518</v>
      </c>
      <c r="AO12" s="131"/>
      <c r="AP12" s="131"/>
      <c r="AQ12" s="131"/>
      <c r="AR12" s="132"/>
      <c r="AS12" s="130">
        <f t="array" aca="1" ref="AS12" ca="1">SUM(AV15:AV24)+SUM(_xlfn._xlws.FILTER(AU15:AU24,AV15:AV24=""))+SUM(_xlfn._xlws.FILTER(AT15:AT24,(AU15:AU24="")*(AV15:AV24="")))</f>
        <v>-40773</v>
      </c>
      <c r="AT12" s="131"/>
      <c r="AU12" s="131"/>
      <c r="AV12" s="131"/>
      <c r="AW12" s="132"/>
      <c r="AX12" s="130">
        <f t="array" aca="1" ref="AX12" ca="1">SUM(BA15:BA24)+SUM(_xlfn._xlws.FILTER(AZ15:AZ24,BA15:BA24=""))+SUM(_xlfn._xlws.FILTER(AY15:AY24,(AZ15:AZ24="")*(BA15:BA24="")))</f>
        <v>-40773</v>
      </c>
      <c r="AY12" s="131"/>
      <c r="AZ12" s="131"/>
      <c r="BA12" s="131"/>
      <c r="BB12" s="132"/>
      <c r="BC12" s="130">
        <f t="array" aca="1" ref="BC12" ca="1">SUM(BF15:BF24)+SUM(_xlfn._xlws.FILTER(BE15:BE24,BF15:BF24=""))+SUM(_xlfn._xlws.FILTER(BD15:BD24,(BE15:BE24="")*(BF15:BF24="")))</f>
        <v>-40773</v>
      </c>
      <c r="BD12" s="131"/>
      <c r="BE12" s="131"/>
      <c r="BF12" s="131"/>
      <c r="BG12" s="132"/>
      <c r="BH12" s="130">
        <f t="array" aca="1" ref="BH12" ca="1">SUM(BK15:BK24)+SUM(_xlfn._xlws.FILTER(BJ15:BJ24,BK15:BK24=""))+SUM(_xlfn._xlws.FILTER(BI15:BI24,(BJ15:BJ24="")*(BK15:BK24="")))</f>
        <v>-40773</v>
      </c>
      <c r="BI12" s="131"/>
      <c r="BJ12" s="131"/>
      <c r="BK12" s="131"/>
      <c r="BL12" s="132"/>
      <c r="BM12" s="130">
        <f t="array" aca="1" ref="BM12" ca="1">SUM(BP15:BP24)+SUM(_xlfn._xlws.FILTER(BO15:BO24,BP15:BP24=""))+SUM(_xlfn._xlws.FILTER(BN15:BN24,(BO15:BO24="")*(BP15:BP24="")))</f>
        <v>-40773</v>
      </c>
      <c r="BN12" s="131"/>
      <c r="BO12" s="131"/>
      <c r="BP12" s="131"/>
      <c r="BQ12" s="132"/>
      <c r="BR12" s="21"/>
      <c r="BS12" s="22"/>
    </row>
    <row r="13" spans="1:73" ht="15.95" customHeight="1" thickBot="1" x14ac:dyDescent="0.3">
      <c r="A13" s="23" t="s">
        <v>21</v>
      </c>
      <c r="H13" s="137" t="s">
        <v>22</v>
      </c>
      <c r="I13" s="138"/>
      <c r="J13" s="134">
        <v>45322</v>
      </c>
      <c r="K13" s="131"/>
      <c r="L13" s="131"/>
      <c r="M13" s="131"/>
      <c r="N13" s="131"/>
      <c r="O13" s="133">
        <v>45351</v>
      </c>
      <c r="P13" s="131"/>
      <c r="Q13" s="131"/>
      <c r="R13" s="131"/>
      <c r="S13" s="132"/>
      <c r="T13" s="133">
        <v>45382</v>
      </c>
      <c r="U13" s="131"/>
      <c r="V13" s="131"/>
      <c r="W13" s="131"/>
      <c r="X13" s="132"/>
      <c r="Y13" s="133">
        <v>45412</v>
      </c>
      <c r="Z13" s="131"/>
      <c r="AA13" s="131"/>
      <c r="AB13" s="131"/>
      <c r="AC13" s="132"/>
      <c r="AD13" s="133">
        <v>45443</v>
      </c>
      <c r="AE13" s="131"/>
      <c r="AF13" s="131"/>
      <c r="AG13" s="131"/>
      <c r="AH13" s="132"/>
      <c r="AI13" s="133">
        <v>45473</v>
      </c>
      <c r="AJ13" s="131"/>
      <c r="AK13" s="131"/>
      <c r="AL13" s="131"/>
      <c r="AM13" s="132"/>
      <c r="AN13" s="133">
        <v>45504</v>
      </c>
      <c r="AO13" s="131"/>
      <c r="AP13" s="131"/>
      <c r="AQ13" s="131"/>
      <c r="AR13" s="132"/>
      <c r="AS13" s="133">
        <v>45535</v>
      </c>
      <c r="AT13" s="131"/>
      <c r="AU13" s="131"/>
      <c r="AV13" s="131"/>
      <c r="AW13" s="132"/>
      <c r="AX13" s="133">
        <v>45565</v>
      </c>
      <c r="AY13" s="131"/>
      <c r="AZ13" s="131"/>
      <c r="BA13" s="131"/>
      <c r="BB13" s="132"/>
      <c r="BC13" s="133">
        <v>45596</v>
      </c>
      <c r="BD13" s="131"/>
      <c r="BE13" s="131"/>
      <c r="BF13" s="131"/>
      <c r="BG13" s="132"/>
      <c r="BH13" s="133">
        <v>45626</v>
      </c>
      <c r="BI13" s="131"/>
      <c r="BJ13" s="131"/>
      <c r="BK13" s="131"/>
      <c r="BL13" s="132"/>
      <c r="BM13" s="133">
        <v>45657</v>
      </c>
      <c r="BN13" s="131"/>
      <c r="BO13" s="131"/>
      <c r="BP13" s="131"/>
      <c r="BQ13" s="132"/>
      <c r="BR13" s="24">
        <f>SUM(BR15:BR23)</f>
        <v>407730</v>
      </c>
      <c r="BS13" s="25"/>
      <c r="BU13" s="19"/>
    </row>
    <row r="14" spans="1:73" ht="44.1" customHeight="1" thickBot="1" x14ac:dyDescent="0.3">
      <c r="A14" s="26" t="s">
        <v>23</v>
      </c>
      <c r="B14" s="27" t="s">
        <v>24</v>
      </c>
      <c r="C14" s="27" t="s">
        <v>25</v>
      </c>
      <c r="D14" s="28" t="s">
        <v>26</v>
      </c>
      <c r="E14" s="29" t="s">
        <v>27</v>
      </c>
      <c r="F14" s="27" t="s">
        <v>28</v>
      </c>
      <c r="G14" s="30" t="s">
        <v>29</v>
      </c>
      <c r="H14" s="31" t="s">
        <v>30</v>
      </c>
      <c r="I14" s="32" t="s">
        <v>31</v>
      </c>
      <c r="J14" s="33" t="s">
        <v>32</v>
      </c>
      <c r="K14" s="34" t="s">
        <v>33</v>
      </c>
      <c r="L14" s="34" t="s">
        <v>34</v>
      </c>
      <c r="M14" s="34" t="s">
        <v>35</v>
      </c>
      <c r="N14" s="36" t="s">
        <v>36</v>
      </c>
      <c r="O14" s="33" t="s">
        <v>37</v>
      </c>
      <c r="P14" s="34" t="s">
        <v>38</v>
      </c>
      <c r="Q14" s="34" t="s">
        <v>39</v>
      </c>
      <c r="R14" s="68" t="s">
        <v>40</v>
      </c>
      <c r="S14" s="35" t="s">
        <v>36</v>
      </c>
      <c r="T14" s="33" t="s">
        <v>41</v>
      </c>
      <c r="U14" s="34" t="s">
        <v>42</v>
      </c>
      <c r="V14" s="34" t="s">
        <v>43</v>
      </c>
      <c r="W14" s="68" t="s">
        <v>44</v>
      </c>
      <c r="X14" s="35" t="s">
        <v>36</v>
      </c>
      <c r="Y14" s="33" t="s">
        <v>45</v>
      </c>
      <c r="Z14" s="34" t="s">
        <v>46</v>
      </c>
      <c r="AA14" s="34" t="s">
        <v>47</v>
      </c>
      <c r="AB14" s="68" t="s">
        <v>48</v>
      </c>
      <c r="AC14" s="35" t="s">
        <v>36</v>
      </c>
      <c r="AD14" s="33" t="s">
        <v>49</v>
      </c>
      <c r="AE14" s="34" t="s">
        <v>50</v>
      </c>
      <c r="AF14" s="34" t="s">
        <v>51</v>
      </c>
      <c r="AG14" s="68" t="s">
        <v>51</v>
      </c>
      <c r="AH14" s="35" t="s">
        <v>36</v>
      </c>
      <c r="AI14" s="33" t="s">
        <v>52</v>
      </c>
      <c r="AJ14" s="34" t="s">
        <v>53</v>
      </c>
      <c r="AK14" s="34" t="s">
        <v>54</v>
      </c>
      <c r="AL14" s="68" t="s">
        <v>55</v>
      </c>
      <c r="AM14" s="35" t="s">
        <v>36</v>
      </c>
      <c r="AN14" s="33" t="s">
        <v>56</v>
      </c>
      <c r="AO14" s="34" t="s">
        <v>57</v>
      </c>
      <c r="AP14" s="34" t="s">
        <v>58</v>
      </c>
      <c r="AQ14" s="68" t="s">
        <v>59</v>
      </c>
      <c r="AR14" s="35" t="s">
        <v>36</v>
      </c>
      <c r="AS14" s="33" t="s">
        <v>60</v>
      </c>
      <c r="AT14" s="34" t="s">
        <v>61</v>
      </c>
      <c r="AU14" s="34" t="s">
        <v>62</v>
      </c>
      <c r="AV14" s="68" t="s">
        <v>63</v>
      </c>
      <c r="AW14" s="35" t="s">
        <v>36</v>
      </c>
      <c r="AX14" s="33" t="s">
        <v>64</v>
      </c>
      <c r="AY14" s="34" t="s">
        <v>65</v>
      </c>
      <c r="AZ14" s="34" t="s">
        <v>66</v>
      </c>
      <c r="BA14" s="68" t="s">
        <v>67</v>
      </c>
      <c r="BB14" s="35" t="s">
        <v>36</v>
      </c>
      <c r="BC14" s="33" t="s">
        <v>68</v>
      </c>
      <c r="BD14" s="34" t="s">
        <v>69</v>
      </c>
      <c r="BE14" s="34" t="s">
        <v>70</v>
      </c>
      <c r="BF14" s="68" t="s">
        <v>71</v>
      </c>
      <c r="BG14" s="35" t="s">
        <v>36</v>
      </c>
      <c r="BH14" s="33" t="s">
        <v>72</v>
      </c>
      <c r="BI14" s="34" t="s">
        <v>73</v>
      </c>
      <c r="BJ14" s="34" t="s">
        <v>74</v>
      </c>
      <c r="BK14" s="68" t="s">
        <v>75</v>
      </c>
      <c r="BL14" s="35" t="s">
        <v>36</v>
      </c>
      <c r="BM14" s="33" t="s">
        <v>76</v>
      </c>
      <c r="BN14" s="34" t="s">
        <v>77</v>
      </c>
      <c r="BO14" s="34" t="s">
        <v>78</v>
      </c>
      <c r="BP14" s="68" t="s">
        <v>79</v>
      </c>
      <c r="BQ14" s="35" t="s">
        <v>36</v>
      </c>
      <c r="BR14" s="37" t="s">
        <v>80</v>
      </c>
      <c r="BS14" s="30" t="s">
        <v>81</v>
      </c>
      <c r="BT14" s="38" t="s">
        <v>82</v>
      </c>
    </row>
    <row r="15" spans="1:73" x14ac:dyDescent="0.25">
      <c r="A15" s="39"/>
      <c r="B15" s="40" t="s">
        <v>83</v>
      </c>
      <c r="C15" s="69"/>
      <c r="D15" s="69"/>
      <c r="E15" s="40"/>
      <c r="F15" s="40"/>
      <c r="G15" s="41"/>
      <c r="H15" s="40"/>
      <c r="I15" s="42"/>
      <c r="J15" s="43"/>
      <c r="K15" s="41">
        <v>14535</v>
      </c>
      <c r="L15" s="41"/>
      <c r="M15" s="44"/>
      <c r="N15" s="44">
        <f t="shared" ref="N15:N20" si="0">L15-M15</f>
        <v>0</v>
      </c>
      <c r="O15" s="43"/>
      <c r="P15" s="41">
        <v>17100</v>
      </c>
      <c r="Q15" s="41"/>
      <c r="R15" s="44"/>
      <c r="S15" s="45">
        <f t="shared" ref="S15:S20" si="1">Q15-R15</f>
        <v>0</v>
      </c>
      <c r="T15" s="46"/>
      <c r="U15" s="41">
        <v>21375</v>
      </c>
      <c r="V15" s="41"/>
      <c r="W15" s="44"/>
      <c r="X15" s="53">
        <f t="shared" ref="X15:X20" si="2">V15-W15</f>
        <v>0</v>
      </c>
      <c r="Y15" s="46"/>
      <c r="Z15" s="41">
        <v>15390</v>
      </c>
      <c r="AA15" s="41"/>
      <c r="AB15" s="44"/>
      <c r="AC15" s="53">
        <f t="shared" ref="AC15:AC20" si="3">AA15-AB15</f>
        <v>0</v>
      </c>
      <c r="AD15" s="46"/>
      <c r="AE15" s="41">
        <v>17100</v>
      </c>
      <c r="AF15" s="41"/>
      <c r="AG15" s="44"/>
      <c r="AH15" s="53">
        <f t="shared" ref="AH15:AH20" si="4">AF15-AG15</f>
        <v>0</v>
      </c>
      <c r="AI15" s="46"/>
      <c r="AJ15" s="41">
        <v>21375</v>
      </c>
      <c r="AK15" s="41"/>
      <c r="AL15" s="44"/>
      <c r="AM15" s="53">
        <f t="shared" ref="AM15:AM20" si="5">AK15-AL15</f>
        <v>0</v>
      </c>
      <c r="AN15" s="46"/>
      <c r="AO15" s="41">
        <v>855</v>
      </c>
      <c r="AP15" s="41"/>
      <c r="AQ15" s="44"/>
      <c r="AR15" s="53">
        <f t="shared" ref="AR15:AR20" si="6">AP15-AQ15</f>
        <v>0</v>
      </c>
      <c r="AS15" s="46"/>
      <c r="AT15" s="41">
        <v>0</v>
      </c>
      <c r="AU15" s="41"/>
      <c r="AV15" s="44"/>
      <c r="AW15" s="53">
        <f t="shared" ref="AW15:AW20" si="7">AU15-AV15</f>
        <v>0</v>
      </c>
      <c r="AX15" s="46"/>
      <c r="AY15" s="41">
        <v>0</v>
      </c>
      <c r="AZ15" s="41"/>
      <c r="BA15" s="44"/>
      <c r="BB15" s="53">
        <f t="shared" ref="BB15:BB20" si="8">AZ15-BA15</f>
        <v>0</v>
      </c>
      <c r="BC15" s="46"/>
      <c r="BD15" s="41">
        <v>0</v>
      </c>
      <c r="BE15" s="41"/>
      <c r="BF15" s="44"/>
      <c r="BG15" s="53">
        <f t="shared" ref="BG15:BG20" si="9">BE15-BF15</f>
        <v>0</v>
      </c>
      <c r="BH15" s="46"/>
      <c r="BI15" s="41">
        <v>0</v>
      </c>
      <c r="BJ15" s="41"/>
      <c r="BK15" s="44"/>
      <c r="BL15" s="53">
        <f t="shared" ref="BL15:BL20" si="10">BJ15-BK15</f>
        <v>0</v>
      </c>
      <c r="BM15" s="46"/>
      <c r="BN15" s="41">
        <v>0</v>
      </c>
      <c r="BO15" s="41"/>
      <c r="BP15" s="44"/>
      <c r="BQ15" s="53">
        <f t="shared" ref="BQ15:BQ20" si="11">BO15-BP15</f>
        <v>0</v>
      </c>
      <c r="BR15" s="43">
        <f t="shared" ref="BR15:BR24" si="12">SUM(IF(M15&lt;&gt;"",M15,IF(L15&lt;&gt;"",L15,K15)),IF(R15&lt;&gt;"",R15,IF(Q15&lt;&gt;"",Q15,P15)),IF(W15&lt;&gt;"",W15,IF(V15&lt;&gt;"",V15,U15)),IF(AB15&lt;&gt;"",AB15,IF(AA15&lt;&gt;"",AA15,Z15)),IF(AG15&lt;&gt;"",AG15,IF(AF15&lt;&gt;"",AF15,AE15)),IF(AL15&lt;&gt;"",AL15,IF(AK15&lt;&gt;"",AK15,AJ15)),IF(AQ15&lt;&gt;"",AQ15,IF(AP15&lt;&gt;"",AP15,AO15)),IF(AV15&lt;&gt;"",AV15,IF(AU15&lt;&gt;"",AU15,AT15)),IF(BA15&lt;&gt;"",BA15,IF(AZ15&lt;&gt;"",AZ15,AY15)),IF(BF15&lt;&gt;"",BF15,IF(BE15&lt;&gt;"",BE15,BD15)),IF(BK15&lt;&gt;"",BK15,IF(BJ15&lt;&gt;"",BJ15,BI15)),IF(BP15&lt;&gt;"",BP15,IF(BO15&lt;&gt;"",BO15,BN15)))</f>
        <v>107730</v>
      </c>
      <c r="BS15" s="70"/>
      <c r="BT15" s="71"/>
    </row>
    <row r="16" spans="1:73" x14ac:dyDescent="0.25">
      <c r="A16" s="47"/>
      <c r="B16" s="48" t="s">
        <v>84</v>
      </c>
      <c r="C16" s="72"/>
      <c r="D16" s="72"/>
      <c r="E16" s="72"/>
      <c r="F16" s="48"/>
      <c r="G16" s="49"/>
      <c r="H16" s="48"/>
      <c r="I16" s="50"/>
      <c r="J16" s="51"/>
      <c r="K16" s="49">
        <v>38400</v>
      </c>
      <c r="L16" s="49"/>
      <c r="M16" s="52"/>
      <c r="N16" s="52">
        <f t="shared" si="0"/>
        <v>0</v>
      </c>
      <c r="O16" s="51"/>
      <c r="P16" s="49">
        <v>45600</v>
      </c>
      <c r="Q16" s="49"/>
      <c r="R16" s="52"/>
      <c r="S16" s="53">
        <f t="shared" si="1"/>
        <v>0</v>
      </c>
      <c r="T16" s="54"/>
      <c r="U16" s="49">
        <v>60000</v>
      </c>
      <c r="V16" s="49"/>
      <c r="W16" s="52"/>
      <c r="X16" s="53">
        <f t="shared" si="2"/>
        <v>0</v>
      </c>
      <c r="Y16" s="54"/>
      <c r="Z16" s="49">
        <v>48000</v>
      </c>
      <c r="AA16" s="49"/>
      <c r="AB16" s="49"/>
      <c r="AC16" s="53">
        <f t="shared" si="3"/>
        <v>0</v>
      </c>
      <c r="AD16" s="54"/>
      <c r="AE16" s="49">
        <v>48000</v>
      </c>
      <c r="AF16" s="49"/>
      <c r="AG16" s="49"/>
      <c r="AH16" s="53">
        <f t="shared" si="4"/>
        <v>0</v>
      </c>
      <c r="AI16" s="54"/>
      <c r="AJ16" s="49">
        <v>57600</v>
      </c>
      <c r="AK16" s="49"/>
      <c r="AL16" s="49"/>
      <c r="AM16" s="53">
        <f t="shared" si="5"/>
        <v>0</v>
      </c>
      <c r="AN16" s="54"/>
      <c r="AO16" s="49">
        <v>2400</v>
      </c>
      <c r="AP16" s="49"/>
      <c r="AQ16" s="49"/>
      <c r="AR16" s="53">
        <f t="shared" si="6"/>
        <v>0</v>
      </c>
      <c r="AS16" s="54"/>
      <c r="AT16" s="49">
        <v>0</v>
      </c>
      <c r="AU16" s="49"/>
      <c r="AV16" s="49"/>
      <c r="AW16" s="53">
        <f t="shared" si="7"/>
        <v>0</v>
      </c>
      <c r="AX16" s="54"/>
      <c r="AY16" s="49">
        <v>0</v>
      </c>
      <c r="AZ16" s="49"/>
      <c r="BA16" s="49"/>
      <c r="BB16" s="53">
        <f t="shared" si="8"/>
        <v>0</v>
      </c>
      <c r="BC16" s="54"/>
      <c r="BD16" s="49">
        <v>0</v>
      </c>
      <c r="BE16" s="49"/>
      <c r="BF16" s="49"/>
      <c r="BG16" s="53">
        <f t="shared" si="9"/>
        <v>0</v>
      </c>
      <c r="BH16" s="54"/>
      <c r="BI16" s="49">
        <v>0</v>
      </c>
      <c r="BJ16" s="49"/>
      <c r="BK16" s="49"/>
      <c r="BL16" s="53">
        <f t="shared" si="10"/>
        <v>0</v>
      </c>
      <c r="BM16" s="54"/>
      <c r="BN16" s="49">
        <v>0</v>
      </c>
      <c r="BO16" s="49"/>
      <c r="BP16" s="49"/>
      <c r="BQ16" s="53">
        <f t="shared" si="11"/>
        <v>0</v>
      </c>
      <c r="BR16" s="51">
        <f t="shared" si="12"/>
        <v>300000</v>
      </c>
      <c r="BS16" s="73"/>
      <c r="BT16" s="74"/>
    </row>
    <row r="17" spans="1:72" x14ac:dyDescent="0.25">
      <c r="A17" s="47"/>
      <c r="B17" s="48"/>
      <c r="C17" s="72"/>
      <c r="D17" s="72"/>
      <c r="E17" s="48"/>
      <c r="F17" s="48"/>
      <c r="G17" s="49"/>
      <c r="H17" s="48"/>
      <c r="I17" s="50"/>
      <c r="J17" s="55"/>
      <c r="K17" s="56"/>
      <c r="L17" s="56"/>
      <c r="M17" s="52"/>
      <c r="N17" s="52">
        <f t="shared" si="0"/>
        <v>0</v>
      </c>
      <c r="O17" s="55"/>
      <c r="P17" s="49"/>
      <c r="Q17" s="49"/>
      <c r="R17" s="52"/>
      <c r="S17" s="53">
        <f t="shared" si="1"/>
        <v>0</v>
      </c>
      <c r="T17" s="54"/>
      <c r="U17" s="49"/>
      <c r="V17" s="49"/>
      <c r="W17" s="57"/>
      <c r="X17" s="53">
        <f t="shared" si="2"/>
        <v>0</v>
      </c>
      <c r="Y17" s="54"/>
      <c r="Z17" s="56"/>
      <c r="AA17" s="56"/>
      <c r="AB17" s="57"/>
      <c r="AC17" s="53">
        <f t="shared" si="3"/>
        <v>0</v>
      </c>
      <c r="AD17" s="54"/>
      <c r="AE17" s="56"/>
      <c r="AF17" s="56"/>
      <c r="AG17" s="57"/>
      <c r="AH17" s="53">
        <f t="shared" si="4"/>
        <v>0</v>
      </c>
      <c r="AI17" s="54"/>
      <c r="AJ17" s="56"/>
      <c r="AK17" s="56"/>
      <c r="AL17" s="57"/>
      <c r="AM17" s="53">
        <f t="shared" si="5"/>
        <v>0</v>
      </c>
      <c r="AN17" s="54"/>
      <c r="AO17" s="56"/>
      <c r="AP17" s="56"/>
      <c r="AQ17" s="57"/>
      <c r="AR17" s="53">
        <f t="shared" si="6"/>
        <v>0</v>
      </c>
      <c r="AS17" s="54"/>
      <c r="AT17" s="56"/>
      <c r="AU17" s="56"/>
      <c r="AV17" s="57"/>
      <c r="AW17" s="53">
        <f t="shared" si="7"/>
        <v>0</v>
      </c>
      <c r="AX17" s="54"/>
      <c r="AY17" s="56"/>
      <c r="AZ17" s="56"/>
      <c r="BA17" s="57"/>
      <c r="BB17" s="53">
        <f t="shared" si="8"/>
        <v>0</v>
      </c>
      <c r="BC17" s="54"/>
      <c r="BD17" s="56"/>
      <c r="BE17" s="56"/>
      <c r="BF17" s="57"/>
      <c r="BG17" s="53">
        <f t="shared" si="9"/>
        <v>0</v>
      </c>
      <c r="BH17" s="54"/>
      <c r="BI17" s="56"/>
      <c r="BJ17" s="56"/>
      <c r="BK17" s="57"/>
      <c r="BL17" s="53">
        <f t="shared" si="10"/>
        <v>0</v>
      </c>
      <c r="BM17" s="54"/>
      <c r="BN17" s="56"/>
      <c r="BO17" s="56"/>
      <c r="BP17" s="57"/>
      <c r="BQ17" s="53">
        <f t="shared" si="11"/>
        <v>0</v>
      </c>
      <c r="BR17" s="51">
        <f t="shared" si="12"/>
        <v>0</v>
      </c>
      <c r="BS17" s="73"/>
      <c r="BT17" s="74"/>
    </row>
    <row r="18" spans="1:72" x14ac:dyDescent="0.25">
      <c r="A18" s="47"/>
      <c r="B18" s="48"/>
      <c r="C18" s="72"/>
      <c r="D18" s="72"/>
      <c r="E18" s="48"/>
      <c r="F18" s="48"/>
      <c r="G18" s="49"/>
      <c r="H18" s="48"/>
      <c r="I18" s="50"/>
      <c r="J18" s="51"/>
      <c r="K18" s="49"/>
      <c r="L18" s="49"/>
      <c r="M18" s="52"/>
      <c r="N18" s="52">
        <f t="shared" si="0"/>
        <v>0</v>
      </c>
      <c r="O18" s="51"/>
      <c r="P18" s="49"/>
      <c r="Q18" s="49"/>
      <c r="R18" s="52"/>
      <c r="S18" s="53">
        <f t="shared" si="1"/>
        <v>0</v>
      </c>
      <c r="T18" s="54"/>
      <c r="U18" s="49"/>
      <c r="V18" s="49"/>
      <c r="W18" s="52"/>
      <c r="X18" s="53">
        <f t="shared" si="2"/>
        <v>0</v>
      </c>
      <c r="Y18" s="54"/>
      <c r="Z18" s="49"/>
      <c r="AA18" s="49"/>
      <c r="AB18" s="52"/>
      <c r="AC18" s="53">
        <f t="shared" si="3"/>
        <v>0</v>
      </c>
      <c r="AD18" s="54"/>
      <c r="AE18" s="49"/>
      <c r="AF18" s="49"/>
      <c r="AG18" s="52"/>
      <c r="AH18" s="53">
        <f t="shared" si="4"/>
        <v>0</v>
      </c>
      <c r="AI18" s="54"/>
      <c r="AJ18" s="49"/>
      <c r="AK18" s="49"/>
      <c r="AL18" s="52"/>
      <c r="AM18" s="53">
        <f t="shared" si="5"/>
        <v>0</v>
      </c>
      <c r="AN18" s="54"/>
      <c r="AO18" s="49"/>
      <c r="AP18" s="49"/>
      <c r="AQ18" s="52"/>
      <c r="AR18" s="53">
        <f t="shared" si="6"/>
        <v>0</v>
      </c>
      <c r="AS18" s="54"/>
      <c r="AT18" s="49"/>
      <c r="AU18" s="49"/>
      <c r="AV18" s="52"/>
      <c r="AW18" s="53">
        <f t="shared" si="7"/>
        <v>0</v>
      </c>
      <c r="AX18" s="54"/>
      <c r="AY18" s="49"/>
      <c r="AZ18" s="49"/>
      <c r="BA18" s="52"/>
      <c r="BB18" s="53">
        <f t="shared" si="8"/>
        <v>0</v>
      </c>
      <c r="BC18" s="54"/>
      <c r="BD18" s="49"/>
      <c r="BE18" s="49"/>
      <c r="BF18" s="52"/>
      <c r="BG18" s="53">
        <f t="shared" si="9"/>
        <v>0</v>
      </c>
      <c r="BH18" s="54"/>
      <c r="BI18" s="49"/>
      <c r="BJ18" s="49"/>
      <c r="BK18" s="52"/>
      <c r="BL18" s="53">
        <f t="shared" si="10"/>
        <v>0</v>
      </c>
      <c r="BM18" s="54"/>
      <c r="BN18" s="49"/>
      <c r="BO18" s="49"/>
      <c r="BP18" s="52"/>
      <c r="BQ18" s="53">
        <f t="shared" si="11"/>
        <v>0</v>
      </c>
      <c r="BR18" s="51">
        <f t="shared" si="12"/>
        <v>0</v>
      </c>
      <c r="BS18" s="73"/>
      <c r="BT18" s="74"/>
    </row>
    <row r="19" spans="1:72" x14ac:dyDescent="0.25">
      <c r="A19" s="75"/>
      <c r="C19" s="72"/>
      <c r="D19" s="72"/>
      <c r="E19" s="48"/>
      <c r="F19" s="48"/>
      <c r="G19" s="49"/>
      <c r="H19" s="48"/>
      <c r="I19" s="50"/>
      <c r="J19" s="51"/>
      <c r="K19" s="49"/>
      <c r="L19" s="49"/>
      <c r="M19" s="52"/>
      <c r="N19" s="52">
        <f t="shared" si="0"/>
        <v>0</v>
      </c>
      <c r="O19" s="51"/>
      <c r="P19" s="49"/>
      <c r="Q19" s="49"/>
      <c r="R19" s="52"/>
      <c r="S19" s="53">
        <f t="shared" si="1"/>
        <v>0</v>
      </c>
      <c r="T19" s="54"/>
      <c r="U19" s="49"/>
      <c r="V19" s="49"/>
      <c r="W19" s="52"/>
      <c r="X19" s="53">
        <f t="shared" si="2"/>
        <v>0</v>
      </c>
      <c r="Y19" s="54"/>
      <c r="Z19" s="49"/>
      <c r="AA19" s="49"/>
      <c r="AB19" s="49"/>
      <c r="AC19" s="53">
        <f t="shared" si="3"/>
        <v>0</v>
      </c>
      <c r="AD19" s="54"/>
      <c r="AE19" s="49"/>
      <c r="AF19" s="49"/>
      <c r="AG19" s="49"/>
      <c r="AH19" s="53">
        <f t="shared" si="4"/>
        <v>0</v>
      </c>
      <c r="AI19" s="54"/>
      <c r="AJ19" s="49"/>
      <c r="AK19" s="49"/>
      <c r="AL19" s="49"/>
      <c r="AM19" s="53">
        <f t="shared" si="5"/>
        <v>0</v>
      </c>
      <c r="AN19" s="54"/>
      <c r="AO19" s="49"/>
      <c r="AP19" s="49"/>
      <c r="AQ19" s="49"/>
      <c r="AR19" s="53">
        <f t="shared" si="6"/>
        <v>0</v>
      </c>
      <c r="AS19" s="54"/>
      <c r="AT19" s="49"/>
      <c r="AU19" s="49"/>
      <c r="AV19" s="49"/>
      <c r="AW19" s="53">
        <f t="shared" si="7"/>
        <v>0</v>
      </c>
      <c r="AX19" s="54"/>
      <c r="AY19" s="49"/>
      <c r="AZ19" s="49"/>
      <c r="BA19" s="49"/>
      <c r="BB19" s="53">
        <f t="shared" si="8"/>
        <v>0</v>
      </c>
      <c r="BC19" s="54"/>
      <c r="BD19" s="49"/>
      <c r="BE19" s="49"/>
      <c r="BF19" s="49"/>
      <c r="BG19" s="53">
        <f t="shared" si="9"/>
        <v>0</v>
      </c>
      <c r="BH19" s="54"/>
      <c r="BI19" s="49"/>
      <c r="BJ19" s="49"/>
      <c r="BK19" s="49"/>
      <c r="BL19" s="53">
        <f t="shared" si="10"/>
        <v>0</v>
      </c>
      <c r="BM19" s="54"/>
      <c r="BN19" s="49"/>
      <c r="BO19" s="49"/>
      <c r="BP19" s="49"/>
      <c r="BQ19" s="53">
        <f t="shared" si="11"/>
        <v>0</v>
      </c>
      <c r="BR19" s="51">
        <f t="shared" si="12"/>
        <v>0</v>
      </c>
      <c r="BS19" s="73"/>
      <c r="BT19" s="74"/>
    </row>
    <row r="20" spans="1:72" x14ac:dyDescent="0.25">
      <c r="A20" s="47"/>
      <c r="B20" s="48"/>
      <c r="C20" s="72"/>
      <c r="D20" s="72"/>
      <c r="E20" s="48"/>
      <c r="F20" s="48"/>
      <c r="G20" s="49"/>
      <c r="H20" s="48"/>
      <c r="I20" s="50"/>
      <c r="J20" s="51"/>
      <c r="K20" s="49"/>
      <c r="L20" s="49"/>
      <c r="M20" s="52"/>
      <c r="N20" s="52">
        <f t="shared" si="0"/>
        <v>0</v>
      </c>
      <c r="O20" s="51"/>
      <c r="P20" s="49"/>
      <c r="Q20" s="49"/>
      <c r="R20" s="52"/>
      <c r="S20" s="53">
        <f t="shared" si="1"/>
        <v>0</v>
      </c>
      <c r="T20" s="54"/>
      <c r="U20" s="49"/>
      <c r="V20" s="49"/>
      <c r="W20" s="52"/>
      <c r="X20" s="53">
        <f t="shared" si="2"/>
        <v>0</v>
      </c>
      <c r="Y20" s="54"/>
      <c r="Z20" s="49"/>
      <c r="AA20" s="49"/>
      <c r="AB20" s="52"/>
      <c r="AC20" s="53">
        <f t="shared" si="3"/>
        <v>0</v>
      </c>
      <c r="AD20" s="54"/>
      <c r="AE20" s="49"/>
      <c r="AF20" s="49"/>
      <c r="AG20" s="52"/>
      <c r="AH20" s="53">
        <f t="shared" si="4"/>
        <v>0</v>
      </c>
      <c r="AI20" s="54"/>
      <c r="AJ20" s="49"/>
      <c r="AK20" s="49"/>
      <c r="AL20" s="52"/>
      <c r="AM20" s="53">
        <f t="shared" si="5"/>
        <v>0</v>
      </c>
      <c r="AN20" s="54"/>
      <c r="AO20" s="49"/>
      <c r="AP20" s="49"/>
      <c r="AQ20" s="52"/>
      <c r="AR20" s="53">
        <f t="shared" si="6"/>
        <v>0</v>
      </c>
      <c r="AS20" s="54"/>
      <c r="AT20" s="49"/>
      <c r="AU20" s="49"/>
      <c r="AV20" s="52"/>
      <c r="AW20" s="53">
        <f t="shared" si="7"/>
        <v>0</v>
      </c>
      <c r="AX20" s="54"/>
      <c r="AY20" s="49"/>
      <c r="AZ20" s="49"/>
      <c r="BA20" s="52"/>
      <c r="BB20" s="53">
        <f t="shared" si="8"/>
        <v>0</v>
      </c>
      <c r="BC20" s="54"/>
      <c r="BD20" s="49"/>
      <c r="BE20" s="49"/>
      <c r="BF20" s="52"/>
      <c r="BG20" s="53">
        <f t="shared" si="9"/>
        <v>0</v>
      </c>
      <c r="BH20" s="54"/>
      <c r="BI20" s="49"/>
      <c r="BJ20" s="49"/>
      <c r="BK20" s="52"/>
      <c r="BL20" s="53">
        <f t="shared" si="10"/>
        <v>0</v>
      </c>
      <c r="BM20" s="54"/>
      <c r="BN20" s="49"/>
      <c r="BO20" s="49"/>
      <c r="BP20" s="52"/>
      <c r="BQ20" s="53">
        <f t="shared" si="11"/>
        <v>0</v>
      </c>
      <c r="BR20" s="51">
        <f t="shared" si="12"/>
        <v>0</v>
      </c>
      <c r="BS20" s="73"/>
      <c r="BT20" s="74"/>
    </row>
    <row r="21" spans="1:72" s="67" customFormat="1" x14ac:dyDescent="0.25">
      <c r="A21" s="100" t="s">
        <v>85</v>
      </c>
      <c r="B21" s="101"/>
      <c r="C21" s="102"/>
      <c r="D21" s="102"/>
      <c r="E21" s="101"/>
      <c r="F21" s="101"/>
      <c r="G21" s="103"/>
      <c r="H21" s="101"/>
      <c r="I21" s="104"/>
      <c r="J21" s="105"/>
      <c r="K21" s="103"/>
      <c r="L21" s="103"/>
      <c r="M21" s="106"/>
      <c r="N21" s="106" t="str">
        <f>IF(OR(L21="",M21=""),"",L21-M21)</f>
        <v/>
      </c>
      <c r="O21" s="105"/>
      <c r="P21" s="103"/>
      <c r="Q21" s="103"/>
      <c r="R21" s="106"/>
      <c r="S21" s="107"/>
      <c r="T21" s="108"/>
      <c r="U21" s="103"/>
      <c r="V21" s="103"/>
      <c r="W21" s="106"/>
      <c r="X21" s="107"/>
      <c r="Y21" s="108"/>
      <c r="Z21" s="103"/>
      <c r="AA21" s="103"/>
      <c r="AB21" s="106"/>
      <c r="AC21" s="107" t="str">
        <f>IF(OR(AA21="",AB21=""),"",AA21-AB21)</f>
        <v/>
      </c>
      <c r="AD21" s="108"/>
      <c r="AE21" s="103"/>
      <c r="AF21" s="103"/>
      <c r="AG21" s="106"/>
      <c r="AH21" s="107" t="str">
        <f>IF(OR(AF21="",AG21=""),"",AF21-AG21)</f>
        <v/>
      </c>
      <c r="AI21" s="108"/>
      <c r="AJ21" s="103"/>
      <c r="AK21" s="103"/>
      <c r="AL21" s="106"/>
      <c r="AM21" s="107" t="str">
        <f>IF(OR(AK21="",AL21=""),"",AK21-AL21)</f>
        <v/>
      </c>
      <c r="AN21" s="108"/>
      <c r="AO21" s="103"/>
      <c r="AP21" s="103"/>
      <c r="AQ21" s="106"/>
      <c r="AR21" s="107" t="str">
        <f>IF(OR(AP21="",AQ21=""),"",AP21-AQ21)</f>
        <v/>
      </c>
      <c r="AS21" s="108"/>
      <c r="AT21" s="103"/>
      <c r="AU21" s="103"/>
      <c r="AV21" s="106"/>
      <c r="AW21" s="107" t="str">
        <f>IF(OR(AU21="",AV21=""),"",AU21-AV21)</f>
        <v/>
      </c>
      <c r="AX21" s="108"/>
      <c r="AY21" s="103"/>
      <c r="AZ21" s="103"/>
      <c r="BA21" s="106"/>
      <c r="BB21" s="107" t="str">
        <f>IF(OR(AZ21="",BA21=""),"",AZ21-BA21)</f>
        <v/>
      </c>
      <c r="BC21" s="108"/>
      <c r="BD21" s="103"/>
      <c r="BE21" s="103"/>
      <c r="BF21" s="106"/>
      <c r="BG21" s="107" t="str">
        <f>IF(OR(BE21="",BF21=""),"",BE21-BF21)</f>
        <v/>
      </c>
      <c r="BH21" s="108"/>
      <c r="BI21" s="103"/>
      <c r="BJ21" s="103"/>
      <c r="BK21" s="106"/>
      <c r="BL21" s="107" t="str">
        <f>IF(OR(BJ21="",BK21=""),"",BJ21-BK21)</f>
        <v/>
      </c>
      <c r="BM21" s="108"/>
      <c r="BN21" s="103"/>
      <c r="BO21" s="103"/>
      <c r="BP21" s="106"/>
      <c r="BQ21" s="107" t="str">
        <f>IF(OR(BO21="",BP21=""),"",BO21-BP21)</f>
        <v/>
      </c>
      <c r="BR21" s="105">
        <f t="shared" si="12"/>
        <v>0</v>
      </c>
      <c r="BS21" s="109"/>
      <c r="BT21" s="110"/>
    </row>
    <row r="22" spans="1:72" s="87" customFormat="1" x14ac:dyDescent="0.25">
      <c r="A22" s="76" t="s">
        <v>86</v>
      </c>
      <c r="B22" s="77" t="s">
        <v>1</v>
      </c>
      <c r="C22" s="78"/>
      <c r="D22" s="78"/>
      <c r="E22" s="77"/>
      <c r="F22" s="77"/>
      <c r="G22" s="77"/>
      <c r="H22" s="77"/>
      <c r="I22" s="79"/>
      <c r="J22" s="80"/>
      <c r="K22" s="81"/>
      <c r="L22" s="81"/>
      <c r="M22" s="82"/>
      <c r="N22" s="82" t="str">
        <f>IF(OR(L22="",M22=""),"",L22-M22)</f>
        <v/>
      </c>
      <c r="O22" s="80"/>
      <c r="P22" s="81"/>
      <c r="Q22" s="81"/>
      <c r="R22" s="82"/>
      <c r="S22" s="83" t="str">
        <f>IF(OR(Q22="",R22=""),"",Q22-R22)</f>
        <v/>
      </c>
      <c r="T22" s="84"/>
      <c r="U22" s="81"/>
      <c r="V22" s="81"/>
      <c r="W22" s="82"/>
      <c r="X22" s="83" t="str">
        <f>IF(OR(V22="",W22=""),"",V22-W22)</f>
        <v/>
      </c>
      <c r="Y22" s="84"/>
      <c r="Z22" s="81"/>
      <c r="AA22" s="81"/>
      <c r="AB22" s="82"/>
      <c r="AC22" s="83" t="str">
        <f>IF(OR(AA22="",AB22=""),"",AA22-AB22)</f>
        <v/>
      </c>
      <c r="AD22" s="84"/>
      <c r="AE22" s="81"/>
      <c r="AF22" s="81"/>
      <c r="AG22" s="82"/>
      <c r="AH22" s="83" t="str">
        <f>IF(OR(AF22="",AG22=""),"",AF22-AG22)</f>
        <v/>
      </c>
      <c r="AI22" s="84"/>
      <c r="AJ22" s="81"/>
      <c r="AK22" s="81"/>
      <c r="AL22" s="82"/>
      <c r="AM22" s="83" t="str">
        <f>IF(OR(AK22="",AL22=""),"",AK22-AL22)</f>
        <v/>
      </c>
      <c r="AN22" s="84"/>
      <c r="AO22" s="81"/>
      <c r="AP22" s="81"/>
      <c r="AQ22" s="82"/>
      <c r="AR22" s="83" t="str">
        <f>IF(OR(AP22="",AQ22=""),"",AP22-AQ22)</f>
        <v/>
      </c>
      <c r="AS22" s="84"/>
      <c r="AT22" s="81"/>
      <c r="AU22" s="81"/>
      <c r="AV22" s="82"/>
      <c r="AW22" s="83" t="str">
        <f>IF(OR(AU22="",AV22=""),"",AU22-AV22)</f>
        <v/>
      </c>
      <c r="AX22" s="84"/>
      <c r="AY22" s="81"/>
      <c r="AZ22" s="81"/>
      <c r="BA22" s="82"/>
      <c r="BB22" s="83" t="str">
        <f>IF(OR(AZ22="",BA22=""),"",AZ22-BA22)</f>
        <v/>
      </c>
      <c r="BC22" s="84"/>
      <c r="BD22" s="81"/>
      <c r="BE22" s="81"/>
      <c r="BF22" s="82"/>
      <c r="BG22" s="83" t="str">
        <f>IF(OR(BE22="",BF22=""),"",BE22-BF22)</f>
        <v/>
      </c>
      <c r="BH22" s="84"/>
      <c r="BI22" s="81"/>
      <c r="BJ22" s="81"/>
      <c r="BK22" s="82"/>
      <c r="BL22" s="83" t="str">
        <f>IF(OR(BJ22="",BK22=""),"",BJ22-BK22)</f>
        <v/>
      </c>
      <c r="BM22" s="84"/>
      <c r="BN22" s="81"/>
      <c r="BO22" s="81"/>
      <c r="BP22" s="82"/>
      <c r="BQ22" s="83" t="str">
        <f>IF(OR(BO22="",BP22=""),"",BO22-BP22)</f>
        <v/>
      </c>
      <c r="BR22" s="80">
        <f t="shared" si="12"/>
        <v>0</v>
      </c>
      <c r="BS22" s="85"/>
      <c r="BT22" s="86"/>
    </row>
    <row r="23" spans="1:72" x14ac:dyDescent="0.25">
      <c r="A23" s="88"/>
      <c r="B23" s="89"/>
      <c r="C23" s="90"/>
      <c r="D23" s="90"/>
      <c r="E23" s="89"/>
      <c r="F23" s="89"/>
      <c r="G23" s="89"/>
      <c r="H23" s="89"/>
      <c r="I23" s="91"/>
      <c r="J23" s="92"/>
      <c r="K23" s="93"/>
      <c r="L23" s="93"/>
      <c r="M23" s="52"/>
      <c r="N23" s="52" t="str">
        <f>IF(OR(L23="",M23=""),"",L23-M23)</f>
        <v/>
      </c>
      <c r="O23" s="92"/>
      <c r="P23" s="93"/>
      <c r="Q23" s="93"/>
      <c r="R23" s="52"/>
      <c r="S23" s="53" t="str">
        <f>IF(OR(Q23="",R23=""),"",Q23-R23)</f>
        <v/>
      </c>
      <c r="T23" s="58"/>
      <c r="U23" s="93"/>
      <c r="V23" s="93"/>
      <c r="W23" s="52"/>
      <c r="X23" s="53" t="str">
        <f>IF(OR(V23="",W23=""),"",V23-W23)</f>
        <v/>
      </c>
      <c r="Y23" s="58"/>
      <c r="Z23" s="93"/>
      <c r="AA23" s="93"/>
      <c r="AB23" s="52"/>
      <c r="AC23" s="53" t="str">
        <f>IF(OR(AA23="",AB23=""),"",AA23-AB23)</f>
        <v/>
      </c>
      <c r="AD23" s="58"/>
      <c r="AE23" s="93"/>
      <c r="AF23" s="93"/>
      <c r="AG23" s="52"/>
      <c r="AH23" s="53" t="str">
        <f>IF(OR(AF23="",AG23=""),"",AF23-AG23)</f>
        <v/>
      </c>
      <c r="AI23" s="58"/>
      <c r="AJ23" s="93"/>
      <c r="AK23" s="93"/>
      <c r="AL23" s="52"/>
      <c r="AM23" s="53" t="str">
        <f>IF(OR(AK23="",AL23=""),"",AK23-AL23)</f>
        <v/>
      </c>
      <c r="AN23" s="58"/>
      <c r="AO23" s="93"/>
      <c r="AP23" s="93"/>
      <c r="AQ23" s="52"/>
      <c r="AR23" s="53" t="str">
        <f>IF(OR(AP23="",AQ23=""),"",AP23-AQ23)</f>
        <v/>
      </c>
      <c r="AS23" s="58"/>
      <c r="AT23" s="93"/>
      <c r="AU23" s="93"/>
      <c r="AV23" s="52"/>
      <c r="AW23" s="53" t="str">
        <f>IF(OR(AU23="",AV23=""),"",AU23-AV23)</f>
        <v/>
      </c>
      <c r="AX23" s="58"/>
      <c r="AY23" s="93"/>
      <c r="AZ23" s="93"/>
      <c r="BA23" s="52"/>
      <c r="BB23" s="53" t="str">
        <f>IF(OR(AZ23="",BA23=""),"",AZ23-BA23)</f>
        <v/>
      </c>
      <c r="BC23" s="58"/>
      <c r="BD23" s="93"/>
      <c r="BE23" s="93"/>
      <c r="BF23" s="52"/>
      <c r="BG23" s="53" t="str">
        <f>IF(OR(BE23="",BF23=""),"",BE23-BF23)</f>
        <v/>
      </c>
      <c r="BH23" s="58"/>
      <c r="BI23" s="93"/>
      <c r="BJ23" s="93"/>
      <c r="BK23" s="52"/>
      <c r="BL23" s="53" t="str">
        <f>IF(OR(BJ23="",BK23=""),"",BJ23-BK23)</f>
        <v/>
      </c>
      <c r="BM23" s="58"/>
      <c r="BN23" s="93"/>
      <c r="BO23" s="93"/>
      <c r="BP23" s="52"/>
      <c r="BQ23" s="53" t="str">
        <f>IF(OR(BO23="",BP23=""),"",BO23-BP23)</f>
        <v/>
      </c>
      <c r="BR23" s="51">
        <f t="shared" si="12"/>
        <v>0</v>
      </c>
      <c r="BS23" s="94"/>
      <c r="BT23" s="95"/>
    </row>
    <row r="24" spans="1:72" ht="15" customHeight="1" thickBot="1" x14ac:dyDescent="0.3">
      <c r="A24" s="59" t="s">
        <v>86</v>
      </c>
      <c r="B24" s="60" t="s">
        <v>1</v>
      </c>
      <c r="C24" s="96"/>
      <c r="D24" s="96"/>
      <c r="E24" s="60" t="s">
        <v>1</v>
      </c>
      <c r="F24" s="60"/>
      <c r="G24" s="60"/>
      <c r="H24" s="60"/>
      <c r="I24" s="61"/>
      <c r="J24" s="66"/>
      <c r="K24" s="62"/>
      <c r="L24" s="62"/>
      <c r="M24" s="63">
        <f ca="1">IF((MONTH(TODAY()) + 2)&lt;=1,($BS$13-$BR$13)/(12-(MONTH(TODAY()) + 1)),0)</f>
        <v>0</v>
      </c>
      <c r="N24" s="97" t="str">
        <f ca="1">IF(OR(L24="",M24=""),"",L24-M24)</f>
        <v/>
      </c>
      <c r="O24" s="66"/>
      <c r="P24" s="62"/>
      <c r="Q24" s="62"/>
      <c r="R24" s="63">
        <f ca="1">IF((MONTH(TODAY()) + 2)&lt;=2,($BS$13-$BR$13)/(12-(MONTH(TODAY()) + 1)),0)</f>
        <v>0</v>
      </c>
      <c r="S24" s="64"/>
      <c r="T24" s="65"/>
      <c r="U24" s="62"/>
      <c r="V24" s="62"/>
      <c r="W24" s="63">
        <f ca="1">IF((MONTH(TODAY()) + 2)&lt;=3,($BS$13-$BR$13)/(12-(MONTH(TODAY()) + 1)),0)</f>
        <v>-40773</v>
      </c>
      <c r="X24" s="64"/>
      <c r="Y24" s="65"/>
      <c r="Z24" s="62"/>
      <c r="AA24" s="62"/>
      <c r="AB24" s="63">
        <f ca="1">IF((MONTH(TODAY()) + 2)&lt;=4,($BS$13-$BR$13)/(12-(MONTH(TODAY()) + 1)),0)</f>
        <v>-40773</v>
      </c>
      <c r="AC24" s="64"/>
      <c r="AD24" s="65"/>
      <c r="AE24" s="62"/>
      <c r="AF24" s="62"/>
      <c r="AG24" s="63">
        <f ca="1">IF((MONTH(TODAY()) + 2)&lt;=5,($BS$13-$BR$13)/(12-(MONTH(TODAY()) + 1)),0)</f>
        <v>-40773</v>
      </c>
      <c r="AH24" s="64"/>
      <c r="AI24" s="65"/>
      <c r="AJ24" s="62"/>
      <c r="AK24" s="62"/>
      <c r="AL24" s="63">
        <f ca="1">IF((MONTH(TODAY()) + 2)&lt;=6,($BS$13-$BR$13)/(12-(MONTH(TODAY()) + 1)),0)</f>
        <v>-40773</v>
      </c>
      <c r="AM24" s="64"/>
      <c r="AN24" s="65"/>
      <c r="AO24" s="62"/>
      <c r="AP24" s="62"/>
      <c r="AQ24" s="63">
        <f ca="1">IF((MONTH(TODAY()) + 2)&lt;=7,($BS$13-$BR$13)/(12-(MONTH(TODAY()) + 1)),0)</f>
        <v>-40773</v>
      </c>
      <c r="AR24" s="64"/>
      <c r="AS24" s="65"/>
      <c r="AT24" s="62"/>
      <c r="AU24" s="62"/>
      <c r="AV24" s="63">
        <f ca="1">IF((MONTH(TODAY()) + 2)&lt;=8,($BS$13-$BR$13)/(12-(MONTH(TODAY()) + 1)),0)</f>
        <v>-40773</v>
      </c>
      <c r="AW24" s="64"/>
      <c r="AX24" s="65"/>
      <c r="AY24" s="62"/>
      <c r="AZ24" s="62"/>
      <c r="BA24" s="63">
        <f ca="1">IF((MONTH(TODAY()) + 2)&lt;=9,($BS$13-$BR$13)/(12-(MONTH(TODAY()) + 1)),0)</f>
        <v>-40773</v>
      </c>
      <c r="BB24" s="64"/>
      <c r="BC24" s="65"/>
      <c r="BD24" s="62"/>
      <c r="BE24" s="62"/>
      <c r="BF24" s="63">
        <f ca="1">IF((MONTH(TODAY()) + 2)&lt;=10,($BS$13-$BR$13)/(12-(MONTH(TODAY()) + 1)),0)</f>
        <v>-40773</v>
      </c>
      <c r="BG24" s="64"/>
      <c r="BH24" s="65"/>
      <c r="BI24" s="62"/>
      <c r="BJ24" s="62"/>
      <c r="BK24" s="63">
        <f ca="1">IF((MONTH(TODAY()) + 2)&lt;=11,($BS$13-$BR$13)/(12-(MONTH(TODAY()) + 1)),IF(MONTH(TODAY())=11,($BS$13-$BR$13)/2,0))</f>
        <v>-40773</v>
      </c>
      <c r="BL24" s="64"/>
      <c r="BM24" s="65"/>
      <c r="BN24" s="62"/>
      <c r="BO24" s="62"/>
      <c r="BP24" s="63">
        <f ca="1">IF((MONTH(TODAY()) + 2)&lt;12,($BS$13-$BR$13)/(12-(MONTH(TODAY())+ 1)),IF(MONTH(TODAY())=11,($BS$13-$BR$13)/2,IF(OR(MONTH(TODAY())=10,MONTH(TODAY())=12),($BS$13-$BR$13),0)))</f>
        <v>-40773</v>
      </c>
      <c r="BQ24" s="64"/>
      <c r="BR24" s="66">
        <f t="shared" ca="1" si="12"/>
        <v>-407730</v>
      </c>
      <c r="BS24" s="98"/>
      <c r="BT24" s="99"/>
    </row>
    <row r="25" spans="1:72" x14ac:dyDescent="0.25">
      <c r="A25" t="s">
        <v>87</v>
      </c>
      <c r="W25" s="19"/>
    </row>
  </sheetData>
  <autoFilter ref="B14:BT25" xr:uid="{00000000-0009-0000-0000-000000000000}"/>
  <mergeCells count="39">
    <mergeCell ref="H12:I12"/>
    <mergeCell ref="AS13:AW13"/>
    <mergeCell ref="BC13:BG13"/>
    <mergeCell ref="Y12:AC12"/>
    <mergeCell ref="AI12:AM12"/>
    <mergeCell ref="J12:N12"/>
    <mergeCell ref="AN13:AR13"/>
    <mergeCell ref="H11:I11"/>
    <mergeCell ref="T12:X12"/>
    <mergeCell ref="J11:N11"/>
    <mergeCell ref="BC12:BG12"/>
    <mergeCell ref="AX13:BB13"/>
    <mergeCell ref="AS11:AW11"/>
    <mergeCell ref="AN12:AR12"/>
    <mergeCell ref="T11:X11"/>
    <mergeCell ref="AD11:AH11"/>
    <mergeCell ref="AX12:BB12"/>
    <mergeCell ref="AN11:AR11"/>
    <mergeCell ref="Y13:AC13"/>
    <mergeCell ref="H13:I13"/>
    <mergeCell ref="O13:S13"/>
    <mergeCell ref="T13:X13"/>
    <mergeCell ref="O12:S12"/>
    <mergeCell ref="AD12:AH12"/>
    <mergeCell ref="AI13:AM13"/>
    <mergeCell ref="BM12:BQ12"/>
    <mergeCell ref="BC11:BG11"/>
    <mergeCell ref="J13:N13"/>
    <mergeCell ref="BM11:BQ11"/>
    <mergeCell ref="AD13:AH13"/>
    <mergeCell ref="Y11:AC11"/>
    <mergeCell ref="BH12:BL12"/>
    <mergeCell ref="AX11:BB11"/>
    <mergeCell ref="AS12:AW12"/>
    <mergeCell ref="AI11:AM11"/>
    <mergeCell ref="BM13:BQ13"/>
    <mergeCell ref="BH13:BL13"/>
    <mergeCell ref="O11:S11"/>
    <mergeCell ref="BH11:BL11"/>
  </mergeCells>
  <conditionalFormatting sqref="M15:M23 R15:R23 W15:W23 AB15:AB23 AG15:AG23 AL15:AL23 AQ15:AQ23 AV15:AV23 BA15:BA23 BF15:BF23 BK15:BK23 BP15:BP23">
    <cfRule type="expression" dxfId="7" priority="8">
      <formula>IF(AND(L15&gt;0,M15=0),TRUE,FALSE)</formula>
    </cfRule>
  </conditionalFormatting>
  <conditionalFormatting sqref="BP10 R15:T23 X15:Y23 AC15:AD23 AH15:AI23 AM15:AN23 AR15:AS23 AW15:AX23 BB15:BC23 BG15:BH23 BL15:BM23 BQ15:BQ23">
    <cfRule type="expression" dxfId="6" priority="9">
      <formula>IF(AND(Q10&lt;&gt;"",R10="",TODAY()&gt;DATE(YEAR(TODAY()),MONTH(DATEVALUE("1-"&amp;LEFT(#REF!,3)&amp;"-1900")),20)),TRUE,FALSE)</formula>
    </cfRule>
  </conditionalFormatting>
  <conditionalFormatting sqref="BR15">
    <cfRule type="cellIs" dxfId="5" priority="6" operator="greaterThan">
      <formula>90%*$G$15</formula>
    </cfRule>
  </conditionalFormatting>
  <conditionalFormatting sqref="BR16">
    <cfRule type="cellIs" dxfId="4" priority="5" operator="greaterThan">
      <formula>90%*$G$16</formula>
    </cfRule>
  </conditionalFormatting>
  <conditionalFormatting sqref="BR17">
    <cfRule type="cellIs" dxfId="3" priority="4" operator="greaterThan">
      <formula>90%*$G$17</formula>
    </cfRule>
  </conditionalFormatting>
  <conditionalFormatting sqref="BR18">
    <cfRule type="cellIs" dxfId="2" priority="3" operator="greaterThan">
      <formula>90%*$G$18</formula>
    </cfRule>
  </conditionalFormatting>
  <conditionalFormatting sqref="BR19">
    <cfRule type="cellIs" dxfId="1" priority="2" operator="greaterThan">
      <formula>90%*$G$19</formula>
    </cfRule>
  </conditionalFormatting>
  <conditionalFormatting sqref="BS11:BS12">
    <cfRule type="expression" dxfId="0" priority="7">
      <formula>IF(BS11&lt;0,TRUE,FALSE)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3B7B-68E2-40E8-B713-3FB42D3E44A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Michael</dc:creator>
  <cp:lastModifiedBy>Hovey, Owen (Contractor)</cp:lastModifiedBy>
  <dcterms:created xsi:type="dcterms:W3CDTF">2024-04-15T21:07:03Z</dcterms:created>
  <dcterms:modified xsi:type="dcterms:W3CDTF">2026-01-21T17:04:47Z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2024-04-15T21:09:09Z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a5adbada-ee90-4aa5-b622-c8c00884043c</vt:lpwstr>
  </property>
  <property fmtid="{D5CDD505-2E9C-101B-9397-08002B2CF9AE}" pid="8" name="MSIP_Label_4791b42f-c435-42ca-9531-75a3f42aae3d_ContentBits">
    <vt:lpwstr>0</vt:lpwstr>
  </property>
  <property fmtid="{D5CDD505-2E9C-101B-9397-08002B2CF9AE}" pid="9" name="ContentTypeId">
    <vt:lpwstr>0x0101002B3B1E9AF76D8540A21B723585178CF2</vt:lpwstr>
  </property>
</Properties>
</file>