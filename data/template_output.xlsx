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3280" windowHeight="12480" tabRatio="590" firstSheet="0" activeTab="0" autoFilterDateGrouping="1"/>
  </bookViews>
  <sheets>
    <sheet name="Template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[$-409]dd\-mmm\-yy;@"/>
    <numFmt numFmtId="165" formatCode="&quot;$&quot;#,##0"/>
    <numFmt numFmtId="166" formatCode="mmmm\-yyyy"/>
  </numFmts>
  <fonts count="1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4F4D4A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indexed="8"/>
      <sz val="11"/>
      <scheme val="minor"/>
    </font>
    <font>
      <name val="Calibri"/>
      <family val="2"/>
      <b val="1"/>
      <color indexed="8"/>
      <sz val="11"/>
      <scheme val="minor"/>
    </font>
    <font>
      <name val="Calibri"/>
      <family val="2"/>
      <b val="1"/>
      <sz val="11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rgb="FF4F4D4A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3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"/>
        <bgColor indexed="64"/>
      </patternFill>
    </fill>
  </fills>
  <borders count="5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1" fillId="0" borderId="0"/>
    <xf numFmtId="0" fontId="4" fillId="0" borderId="0"/>
    <xf numFmtId="44" fontId="1" fillId="0" borderId="0"/>
    <xf numFmtId="0" fontId="8" fillId="0" borderId="0"/>
  </cellStyleXfs>
  <cellXfs count="158">
    <xf numFmtId="0" fontId="0" fillId="0" borderId="0" pivotButton="0" quotePrefix="0" xfId="0"/>
    <xf numFmtId="0" fontId="0" fillId="2" borderId="1" pivotButton="0" quotePrefix="0" xfId="0"/>
    <xf numFmtId="0" fontId="0" fillId="2" borderId="2" pivotButton="0" quotePrefix="0" xfId="0"/>
    <xf numFmtId="0" fontId="0" fillId="2" borderId="3" pivotButton="0" quotePrefix="0" xfId="0"/>
    <xf numFmtId="0" fontId="5" fillId="2" borderId="4" pivotButton="0" quotePrefix="0" xfId="0"/>
    <xf numFmtId="0" fontId="0" fillId="2" borderId="0" applyAlignment="1" pivotButton="0" quotePrefix="0" xfId="0">
      <alignment wrapText="1"/>
    </xf>
    <xf numFmtId="4" fontId="6" fillId="2" borderId="0" pivotButton="0" quotePrefix="0" xfId="0"/>
    <xf numFmtId="0" fontId="5" fillId="2" borderId="0" pivotButton="0" quotePrefix="0" xfId="0"/>
    <xf numFmtId="2" fontId="0" fillId="0" borderId="0" pivotButton="0" quotePrefix="0" xfId="0"/>
    <xf numFmtId="0" fontId="0" fillId="2" borderId="0" pivotButton="0" quotePrefix="0" xfId="0"/>
    <xf numFmtId="0" fontId="0" fillId="2" borderId="4" pivotButton="0" quotePrefix="0" xfId="0"/>
    <xf numFmtId="0" fontId="4" fillId="2" borderId="0" pivotButton="0" quotePrefix="0" xfId="1"/>
    <xf numFmtId="0" fontId="0" fillId="2" borderId="5" pivotButton="0" quotePrefix="0" xfId="0"/>
    <xf numFmtId="0" fontId="0" fillId="2" borderId="6" pivotButton="0" quotePrefix="0" xfId="0"/>
    <xf numFmtId="0" fontId="0" fillId="2" borderId="7" pivotButton="0" quotePrefix="0" xfId="0"/>
    <xf numFmtId="0" fontId="0" fillId="2" borderId="8" pivotButton="0" quotePrefix="0" xfId="0"/>
    <xf numFmtId="14" fontId="0" fillId="0" borderId="0" pivotButton="0" quotePrefix="0" xfId="0"/>
    <xf numFmtId="0" fontId="3" fillId="2" borderId="9" pivotButton="0" quotePrefix="0" xfId="0"/>
    <xf numFmtId="4" fontId="0" fillId="2" borderId="10" pivotButton="0" quotePrefix="0" xfId="0"/>
    <xf numFmtId="3" fontId="0" fillId="0" borderId="0" pivotButton="0" quotePrefix="0" xfId="0"/>
    <xf numFmtId="0" fontId="3" fillId="2" borderId="11" pivotButton="0" quotePrefix="0" xfId="0"/>
    <xf numFmtId="0" fontId="0" fillId="4" borderId="0" pivotButton="0" quotePrefix="0" xfId="0"/>
    <xf numFmtId="3" fontId="0" fillId="3" borderId="0" applyAlignment="1" pivotButton="0" quotePrefix="0" xfId="0">
      <alignment horizontal="left"/>
    </xf>
    <xf numFmtId="0" fontId="3" fillId="0" borderId="0" pivotButton="0" quotePrefix="0" xfId="0"/>
    <xf numFmtId="3" fontId="7" fillId="4" borderId="0" applyAlignment="1" pivotButton="0" quotePrefix="0" xfId="0">
      <alignment horizontal="left"/>
    </xf>
    <xf numFmtId="3" fontId="7" fillId="0" borderId="0" pivotButton="0" quotePrefix="0" xfId="0"/>
    <xf numFmtId="0" fontId="9" fillId="2" borderId="16" applyAlignment="1" pivotButton="0" quotePrefix="0" xfId="3">
      <alignment horizontal="left" wrapText="1"/>
    </xf>
    <xf numFmtId="1" fontId="10" fillId="2" borderId="17" applyAlignment="1" pivotButton="0" quotePrefix="0" xfId="3">
      <alignment horizontal="center" wrapText="1"/>
    </xf>
    <xf numFmtId="164" fontId="10" fillId="2" borderId="17" applyAlignment="1" pivotButton="0" quotePrefix="0" xfId="3">
      <alignment horizontal="center" wrapText="1"/>
    </xf>
    <xf numFmtId="0" fontId="10" fillId="2" borderId="17" applyAlignment="1" pivotButton="0" quotePrefix="0" xfId="3">
      <alignment horizontal="center" wrapText="1"/>
    </xf>
    <xf numFmtId="165" fontId="9" fillId="2" borderId="17" applyAlignment="1" pivotButton="0" quotePrefix="0" xfId="3">
      <alignment horizontal="center" wrapText="1"/>
    </xf>
    <xf numFmtId="0" fontId="3" fillId="2" borderId="2" applyAlignment="1" pivotButton="0" quotePrefix="0" xfId="0">
      <alignment wrapText="1"/>
    </xf>
    <xf numFmtId="0" fontId="9" fillId="2" borderId="18" applyAlignment="1" pivotButton="0" quotePrefix="0" xfId="3">
      <alignment wrapText="1"/>
    </xf>
    <xf numFmtId="165" fontId="9" fillId="2" borderId="19" applyAlignment="1" pivotButton="0" quotePrefix="0" xfId="3">
      <alignment horizontal="center" wrapText="1"/>
    </xf>
    <xf numFmtId="165" fontId="9" fillId="2" borderId="20" applyAlignment="1" pivotButton="0" quotePrefix="0" xfId="3">
      <alignment horizontal="center" wrapText="1"/>
    </xf>
    <xf numFmtId="165" fontId="9" fillId="2" borderId="21" applyAlignment="1" pivotButton="0" quotePrefix="0" xfId="3">
      <alignment horizontal="center" wrapText="1"/>
    </xf>
    <xf numFmtId="165" fontId="9" fillId="2" borderId="2" applyAlignment="1" pivotButton="0" quotePrefix="0" xfId="3">
      <alignment horizontal="center" wrapText="1"/>
    </xf>
    <xf numFmtId="165" fontId="9" fillId="2" borderId="22" applyAlignment="1" pivotButton="0" quotePrefix="0" xfId="3">
      <alignment horizontal="center" wrapText="1"/>
    </xf>
    <xf numFmtId="0" fontId="9" fillId="2" borderId="23" applyAlignment="1" pivotButton="0" quotePrefix="0" xfId="3">
      <alignment wrapText="1"/>
    </xf>
    <xf numFmtId="0" fontId="0" fillId="0" borderId="9" pivotButton="0" quotePrefix="0" xfId="0"/>
    <xf numFmtId="0" fontId="0" fillId="0" borderId="24" pivotButton="0" quotePrefix="0" xfId="0"/>
    <xf numFmtId="3" fontId="0" fillId="0" borderId="24" pivotButton="0" quotePrefix="0" xfId="0"/>
    <xf numFmtId="0" fontId="0" fillId="0" borderId="25" pivotButton="0" quotePrefix="0" xfId="0"/>
    <xf numFmtId="3" fontId="0" fillId="0" borderId="9" pivotButton="0" quotePrefix="0" xfId="0"/>
    <xf numFmtId="3" fontId="0" fillId="0" borderId="25" pivotButton="0" quotePrefix="0" xfId="0"/>
    <xf numFmtId="3" fontId="0" fillId="0" borderId="10" pivotButton="0" quotePrefix="0" xfId="0"/>
    <xf numFmtId="3" fontId="0" fillId="0" borderId="27" pivotButton="0" quotePrefix="0" xfId="0"/>
    <xf numFmtId="0" fontId="0" fillId="0" borderId="28" pivotButton="0" quotePrefix="0" xfId="0"/>
    <xf numFmtId="0" fontId="0" fillId="0" borderId="29" pivotButton="0" quotePrefix="0" xfId="0"/>
    <xf numFmtId="3" fontId="0" fillId="0" borderId="29" pivotButton="0" quotePrefix="0" xfId="0"/>
    <xf numFmtId="0" fontId="0" fillId="0" borderId="30" pivotButton="0" quotePrefix="0" xfId="0"/>
    <xf numFmtId="3" fontId="0" fillId="0" borderId="28" pivotButton="0" quotePrefix="0" xfId="0"/>
    <xf numFmtId="3" fontId="0" fillId="0" borderId="30" pivotButton="0" quotePrefix="0" xfId="0"/>
    <xf numFmtId="3" fontId="0" fillId="0" borderId="32" pivotButton="0" quotePrefix="0" xfId="0"/>
    <xf numFmtId="3" fontId="0" fillId="0" borderId="33" pivotButton="0" quotePrefix="0" xfId="0"/>
    <xf numFmtId="3" fontId="0" fillId="0" borderId="34" pivotButton="0" quotePrefix="0" xfId="0"/>
    <xf numFmtId="3" fontId="0" fillId="0" borderId="35" pivotButton="0" quotePrefix="0" xfId="0"/>
    <xf numFmtId="3" fontId="0" fillId="0" borderId="36" pivotButton="0" quotePrefix="0" xfId="0"/>
    <xf numFmtId="3" fontId="0" fillId="0" borderId="40" pivotButton="0" quotePrefix="0" xfId="0"/>
    <xf numFmtId="0" fontId="0" fillId="0" borderId="11" pivotButton="0" quotePrefix="0" xfId="0"/>
    <xf numFmtId="0" fontId="0" fillId="0" borderId="41" pivotButton="0" quotePrefix="0" xfId="0"/>
    <xf numFmtId="0" fontId="0" fillId="0" borderId="42" pivotButton="0" quotePrefix="0" xfId="0"/>
    <xf numFmtId="3" fontId="0" fillId="0" borderId="41" pivotButton="0" quotePrefix="0" xfId="0"/>
    <xf numFmtId="3" fontId="0" fillId="0" borderId="42" pivotButton="0" quotePrefix="0" xfId="0"/>
    <xf numFmtId="3" fontId="0" fillId="0" borderId="12" pivotButton="0" quotePrefix="0" xfId="0"/>
    <xf numFmtId="3" fontId="0" fillId="0" borderId="43" pivotButton="0" quotePrefix="0" xfId="0"/>
    <xf numFmtId="3" fontId="0" fillId="0" borderId="11" pivotButton="0" quotePrefix="0" xfId="0"/>
    <xf numFmtId="0" fontId="0" fillId="3" borderId="0" pivotButton="0" quotePrefix="0" xfId="0"/>
    <xf numFmtId="165" fontId="9" fillId="2" borderId="45" applyAlignment="1" pivotButton="0" quotePrefix="0" xfId="3">
      <alignment horizontal="center" wrapText="1"/>
    </xf>
    <xf numFmtId="14" fontId="0" fillId="0" borderId="24" pivotButton="0" quotePrefix="0" xfId="0"/>
    <xf numFmtId="3" fontId="0" fillId="2" borderId="26" pivotButton="0" quotePrefix="0" xfId="0"/>
    <xf numFmtId="0" fontId="0" fillId="0" borderId="10" pivotButton="0" quotePrefix="0" xfId="0"/>
    <xf numFmtId="14" fontId="0" fillId="0" borderId="29" pivotButton="0" quotePrefix="0" xfId="0"/>
    <xf numFmtId="3" fontId="0" fillId="2" borderId="31" pivotButton="0" quotePrefix="0" xfId="0"/>
    <xf numFmtId="0" fontId="0" fillId="0" borderId="32" pivotButton="0" quotePrefix="0" xfId="0"/>
    <xf numFmtId="0" fontId="0" fillId="0" borderId="46" pivotButton="0" quotePrefix="0" xfId="0"/>
    <xf numFmtId="0" fontId="0" fillId="5" borderId="28" pivotButton="0" quotePrefix="0" xfId="0"/>
    <xf numFmtId="0" fontId="0" fillId="5" borderId="29" pivotButton="0" quotePrefix="0" xfId="0"/>
    <xf numFmtId="14" fontId="0" fillId="5" borderId="29" pivotButton="0" quotePrefix="0" xfId="0"/>
    <xf numFmtId="0" fontId="0" fillId="5" borderId="30" pivotButton="0" quotePrefix="0" xfId="0"/>
    <xf numFmtId="3" fontId="0" fillId="5" borderId="28" pivotButton="0" quotePrefix="0" xfId="0"/>
    <xf numFmtId="3" fontId="0" fillId="5" borderId="29" pivotButton="0" quotePrefix="0" xfId="0"/>
    <xf numFmtId="3" fontId="0" fillId="5" borderId="30" pivotButton="0" quotePrefix="0" xfId="0"/>
    <xf numFmtId="3" fontId="0" fillId="5" borderId="32" pivotButton="0" quotePrefix="0" xfId="0"/>
    <xf numFmtId="3" fontId="0" fillId="5" borderId="33" pivotButton="0" quotePrefix="0" xfId="0"/>
    <xf numFmtId="3" fontId="0" fillId="5" borderId="31" pivotButton="0" quotePrefix="0" xfId="0"/>
    <xf numFmtId="0" fontId="0" fillId="5" borderId="32" pivotButton="0" quotePrefix="0" xfId="0"/>
    <xf numFmtId="0" fontId="0" fillId="5" borderId="0" pivotButton="0" quotePrefix="0" xfId="0"/>
    <xf numFmtId="0" fontId="0" fillId="0" borderId="47" pivotButton="0" quotePrefix="0" xfId="0"/>
    <xf numFmtId="0" fontId="0" fillId="0" borderId="48" pivotButton="0" quotePrefix="0" xfId="0"/>
    <xf numFmtId="14" fontId="0" fillId="0" borderId="48" pivotButton="0" quotePrefix="0" xfId="0"/>
    <xf numFmtId="0" fontId="0" fillId="0" borderId="38" pivotButton="0" quotePrefix="0" xfId="0"/>
    <xf numFmtId="3" fontId="0" fillId="0" borderId="47" pivotButton="0" quotePrefix="0" xfId="0"/>
    <xf numFmtId="3" fontId="0" fillId="0" borderId="48" pivotButton="0" quotePrefix="0" xfId="0"/>
    <xf numFmtId="3" fontId="0" fillId="2" borderId="37" pivotButton="0" quotePrefix="0" xfId="0"/>
    <xf numFmtId="0" fontId="0" fillId="0" borderId="39" pivotButton="0" quotePrefix="0" xfId="0"/>
    <xf numFmtId="14" fontId="0" fillId="0" borderId="41" pivotButton="0" quotePrefix="0" xfId="0"/>
    <xf numFmtId="3" fontId="0" fillId="0" borderId="49" pivotButton="0" quotePrefix="0" xfId="0"/>
    <xf numFmtId="3" fontId="0" fillId="2" borderId="44" pivotButton="0" quotePrefix="0" xfId="0"/>
    <xf numFmtId="0" fontId="0" fillId="0" borderId="12" pivotButton="0" quotePrefix="0" xfId="0"/>
    <xf numFmtId="0" fontId="0" fillId="3" borderId="28" pivotButton="0" quotePrefix="0" xfId="0"/>
    <xf numFmtId="0" fontId="0" fillId="3" borderId="29" pivotButton="0" quotePrefix="0" xfId="0"/>
    <xf numFmtId="14" fontId="0" fillId="3" borderId="29" pivotButton="0" quotePrefix="0" xfId="0"/>
    <xf numFmtId="3" fontId="0" fillId="3" borderId="29" pivotButton="0" quotePrefix="0" xfId="0"/>
    <xf numFmtId="0" fontId="0" fillId="3" borderId="30" pivotButton="0" quotePrefix="0" xfId="0"/>
    <xf numFmtId="3" fontId="0" fillId="3" borderId="28" pivotButton="0" quotePrefix="0" xfId="0"/>
    <xf numFmtId="3" fontId="0" fillId="3" borderId="30" pivotButton="0" quotePrefix="0" xfId="0"/>
    <xf numFmtId="3" fontId="0" fillId="3" borderId="32" pivotButton="0" quotePrefix="0" xfId="0"/>
    <xf numFmtId="3" fontId="0" fillId="3" borderId="33" pivotButton="0" quotePrefix="0" xfId="0"/>
    <xf numFmtId="3" fontId="0" fillId="3" borderId="31" pivotButton="0" quotePrefix="0" xfId="0"/>
    <xf numFmtId="0" fontId="0" fillId="3" borderId="32" pivotButton="0" quotePrefix="0" xfId="0"/>
    <xf numFmtId="165" fontId="3" fillId="2" borderId="7" applyAlignment="1" pivotButton="0" quotePrefix="0" xfId="0">
      <alignment horizontal="center"/>
    </xf>
    <xf numFmtId="165" fontId="0" fillId="2" borderId="7" applyAlignment="1" pivotButton="0" quotePrefix="0" xfId="0">
      <alignment horizontal="right"/>
    </xf>
    <xf numFmtId="0" fontId="3" fillId="2" borderId="0" pivotButton="0" quotePrefix="0" xfId="0"/>
    <xf numFmtId="4" fontId="6" fillId="2" borderId="1" pivotButton="0" quotePrefix="0" xfId="0"/>
    <xf numFmtId="3" fontId="6" fillId="2" borderId="0" applyAlignment="1" pivotButton="0" quotePrefix="0" xfId="0">
      <alignment horizontal="center"/>
    </xf>
    <xf numFmtId="3" fontId="6" fillId="2" borderId="5" applyAlignment="1" pivotButton="0" quotePrefix="0" xfId="0">
      <alignment horizontal="center"/>
    </xf>
    <xf numFmtId="3" fontId="6" fillId="2" borderId="7" applyAlignment="1" pivotButton="0" quotePrefix="0" xfId="0">
      <alignment horizontal="center"/>
    </xf>
    <xf numFmtId="3" fontId="6" fillId="2" borderId="8" applyAlignment="1" pivotButton="0" quotePrefix="0" xfId="0">
      <alignment horizontal="center"/>
    </xf>
    <xf numFmtId="4" fontId="0" fillId="2" borderId="12" pivotButton="0" quotePrefix="0" xfId="0"/>
    <xf numFmtId="4" fontId="12" fillId="2" borderId="2" applyAlignment="1" pivotButton="0" quotePrefix="0" xfId="0">
      <alignment horizontal="center"/>
    </xf>
    <xf numFmtId="4" fontId="12" fillId="2" borderId="3" applyAlignment="1" pivotButton="0" quotePrefix="0" xfId="0">
      <alignment horizontal="center"/>
    </xf>
    <xf numFmtId="4" fontId="12" fillId="2" borderId="4" pivotButton="0" quotePrefix="0" xfId="0"/>
    <xf numFmtId="4" fontId="12" fillId="2" borderId="6" pivotButton="0" quotePrefix="0" xfId="0"/>
    <xf numFmtId="0" fontId="3" fillId="2" borderId="34" pivotButton="0" quotePrefix="0" xfId="0"/>
    <xf numFmtId="4" fontId="0" fillId="2" borderId="50" pivotButton="0" quotePrefix="0" xfId="0"/>
    <xf numFmtId="0" fontId="3" fillId="2" borderId="28" pivotButton="0" quotePrefix="0" xfId="0"/>
    <xf numFmtId="10" fontId="0" fillId="2" borderId="32" pivotButton="0" quotePrefix="0" xfId="0"/>
    <xf numFmtId="3" fontId="2" fillId="2" borderId="5" pivotButton="0" quotePrefix="0" xfId="0"/>
    <xf numFmtId="3" fontId="0" fillId="2" borderId="5" pivotButton="0" quotePrefix="0" xfId="0"/>
    <xf numFmtId="3" fontId="3" fillId="2" borderId="13" applyAlignment="1" pivotButton="0" quotePrefix="0" xfId="0">
      <alignment horizontal="center"/>
    </xf>
    <xf numFmtId="3" fontId="3" fillId="2" borderId="14" applyAlignment="1" pivotButton="0" quotePrefix="0" xfId="0">
      <alignment horizontal="center"/>
    </xf>
    <xf numFmtId="3" fontId="3" fillId="2" borderId="15" applyAlignment="1" pivotButton="0" quotePrefix="0" xfId="0">
      <alignment horizontal="center"/>
    </xf>
    <xf numFmtId="166" fontId="3" fillId="2" borderId="13" applyAlignment="1" pivotButton="0" quotePrefix="0" xfId="0">
      <alignment horizontal="center"/>
    </xf>
    <xf numFmtId="166" fontId="3" fillId="2" borderId="14" applyAlignment="1" pivotButton="0" quotePrefix="0" xfId="0">
      <alignment horizontal="center"/>
    </xf>
    <xf numFmtId="166" fontId="3" fillId="2" borderId="15" applyAlignment="1" pivotButton="0" quotePrefix="0" xfId="0">
      <alignment horizontal="center"/>
    </xf>
    <xf numFmtId="0" fontId="7" fillId="0" borderId="0" applyAlignment="1" pivotButton="0" quotePrefix="0" xfId="0">
      <alignment horizontal="right"/>
    </xf>
    <xf numFmtId="0" fontId="7" fillId="0" borderId="5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3" fillId="0" borderId="5" applyAlignment="1" pivotButton="0" quotePrefix="0" xfId="0">
      <alignment horizontal="right"/>
    </xf>
    <xf numFmtId="0" fontId="3" fillId="0" borderId="7" applyAlignment="1" pivotButton="0" quotePrefix="0" xfId="0">
      <alignment horizontal="right"/>
    </xf>
    <xf numFmtId="0" fontId="3" fillId="0" borderId="8" applyAlignment="1" pivotButton="0" quotePrefix="0" xfId="0">
      <alignment horizontal="right"/>
    </xf>
    <xf numFmtId="165" fontId="0" fillId="2" borderId="7" applyAlignment="1" pivotButton="0" quotePrefix="0" xfId="0">
      <alignment horizontal="right"/>
    </xf>
    <xf numFmtId="165" fontId="3" fillId="2" borderId="7" applyAlignment="1" pivotButton="0" quotePrefix="0" xfId="0">
      <alignment horizontal="center"/>
    </xf>
    <xf numFmtId="0" fontId="0" fillId="0" borderId="5" pivotButton="0" quotePrefix="0" xfId="0"/>
    <xf numFmtId="3" fontId="3" fillId="2" borderId="51" applyAlignment="1" pivotButton="0" quotePrefix="0" xfId="0">
      <alignment horizontal="center"/>
    </xf>
    <xf numFmtId="0" fontId="0" fillId="0" borderId="14" pivotButton="0" quotePrefix="0" xfId="0"/>
    <xf numFmtId="0" fontId="0" fillId="0" borderId="15" pivotButton="0" quotePrefix="0" xfId="0"/>
    <xf numFmtId="0" fontId="0" fillId="0" borderId="8" pivotButton="0" quotePrefix="0" xfId="0"/>
    <xf numFmtId="166" fontId="3" fillId="2" borderId="51" applyAlignment="1" pivotButton="0" quotePrefix="0" xfId="0">
      <alignment horizontal="center"/>
    </xf>
    <xf numFmtId="164" fontId="10" fillId="2" borderId="17" applyAlignment="1" pivotButton="0" quotePrefix="0" xfId="3">
      <alignment horizontal="center" wrapText="1"/>
    </xf>
    <xf numFmtId="165" fontId="9" fillId="2" borderId="17" applyAlignment="1" pivotButton="0" quotePrefix="0" xfId="3">
      <alignment horizontal="center" wrapText="1"/>
    </xf>
    <xf numFmtId="165" fontId="9" fillId="2" borderId="19" applyAlignment="1" pivotButton="0" quotePrefix="0" xfId="3">
      <alignment horizontal="center" wrapText="1"/>
    </xf>
    <xf numFmtId="165" fontId="9" fillId="2" borderId="20" applyAlignment="1" pivotButton="0" quotePrefix="0" xfId="3">
      <alignment horizontal="center" wrapText="1"/>
    </xf>
    <xf numFmtId="165" fontId="9" fillId="2" borderId="2" applyAlignment="1" pivotButton="0" quotePrefix="0" xfId="3">
      <alignment horizontal="center" wrapText="1"/>
    </xf>
    <xf numFmtId="165" fontId="9" fillId="2" borderId="45" applyAlignment="1" pivotButton="0" quotePrefix="0" xfId="3">
      <alignment horizontal="center" wrapText="1"/>
    </xf>
    <xf numFmtId="165" fontId="9" fillId="2" borderId="21" applyAlignment="1" pivotButton="0" quotePrefix="0" xfId="3">
      <alignment horizontal="center" wrapText="1"/>
    </xf>
    <xf numFmtId="165" fontId="9" fillId="2" borderId="22" applyAlignment="1" pivotButton="0" quotePrefix="0" xfId="3">
      <alignment horizontal="center" wrapText="1"/>
    </xf>
  </cellXfs>
  <cellStyles count="4">
    <cellStyle name="Normal" xfId="0" builtinId="0"/>
    <cellStyle name="Hyperlink 2" xfId="1"/>
    <cellStyle name="Currency 2" xfId="2"/>
    <cellStyle name="Normal 2 2" xfId="3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tc={8A449622-3931-4331-A5FC-86DBCF39A238}</author>
    <author>tc={762059EA-7D80-4DB4-9966-81EF61FC224F}</author>
  </authors>
  <commentList>
    <comment ref="B1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forecast spreadsheet (not P3) -  actuals to date + curerent periods accruals and any actuals they might have also hit</t>
      </text>
    </comment>
    <comment ref="B12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forecast spreadsheet (not P3) -  budget - (actuals to date + curerent periods accruals and any actuals they might have also hit)</t>
      </text>
    </comment>
  </commentList>
</comment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U26"/>
  <sheetViews>
    <sheetView showGridLines="0" tabSelected="1" zoomScale="80" zoomScaleNormal="80" workbookViewId="0">
      <selection activeCell="B15" sqref="B15"/>
    </sheetView>
  </sheetViews>
  <sheetFormatPr baseColWidth="8" defaultRowHeight="15"/>
  <cols>
    <col width="24" customWidth="1" min="1" max="1"/>
    <col width="25" customWidth="1" min="2" max="2"/>
    <col width="12.28515625" customWidth="1" min="3" max="3"/>
    <col width="11.5703125" customWidth="1" min="4" max="4"/>
    <col width="14.28515625" customWidth="1" min="5" max="5"/>
    <col width="10.85546875" customWidth="1" min="6" max="6"/>
    <col width="13.42578125" customWidth="1" min="7" max="7"/>
    <col width="37.140625" customWidth="1" min="8" max="8"/>
    <col width="12.42578125" customWidth="1" min="9" max="9"/>
    <col width="8.85546875" customWidth="1" min="10" max="69"/>
    <col width="10.85546875" customWidth="1" min="70" max="70"/>
    <col width="15.5703125" customWidth="1" min="71" max="71"/>
    <col width="16.7109375" customWidth="1" min="72" max="72"/>
  </cols>
  <sheetData>
    <row r="2">
      <c r="A2" s="1" t="n"/>
      <c r="B2" s="2" t="n"/>
      <c r="C2" s="2" t="n"/>
      <c r="D2" s="2" t="n"/>
      <c r="E2" s="2" t="n"/>
      <c r="F2" s="3" t="n"/>
    </row>
    <row r="3">
      <c r="A3" s="4" t="inlineStr">
        <is>
          <t xml:space="preserve">Overall Capital </t>
        </is>
      </c>
      <c r="B3" s="5" t="n"/>
      <c r="C3" s="6" t="n"/>
      <c r="D3" s="7" t="inlineStr">
        <is>
          <t>N/A</t>
        </is>
      </c>
      <c r="E3" s="7" t="n">
        <v>2024</v>
      </c>
      <c r="F3" s="128">
        <f>C3</f>
        <v/>
      </c>
      <c r="O3" s="8" t="n"/>
      <c r="P3" s="8" t="n"/>
      <c r="Q3" s="8" t="n"/>
    </row>
    <row r="4">
      <c r="A4" s="4" t="inlineStr">
        <is>
          <t>Overall Expense</t>
        </is>
      </c>
      <c r="B4" s="9" t="inlineStr">
        <is>
          <t>WBS code</t>
        </is>
      </c>
      <c r="C4" s="6" t="n">
        <v>0</v>
      </c>
      <c r="D4" s="7" t="n">
        <v>2351818</v>
      </c>
      <c r="E4" s="7" t="n">
        <v>2024</v>
      </c>
      <c r="F4" s="128" t="n">
        <v>0</v>
      </c>
    </row>
    <row r="5">
      <c r="A5" s="10" t="inlineStr">
        <is>
          <t xml:space="preserve">P3 ID </t>
        </is>
      </c>
      <c r="B5" s="11" t="n"/>
      <c r="C5" s="9" t="n"/>
      <c r="D5" s="9" t="n"/>
      <c r="E5" s="9" t="n"/>
      <c r="F5" s="129" t="n"/>
    </row>
    <row r="6">
      <c r="A6" s="10" t="inlineStr">
        <is>
          <t>[Put P3 ID here]</t>
        </is>
      </c>
      <c r="B6" s="6" t="inlineStr">
        <is>
          <t>Type of Spend</t>
        </is>
      </c>
      <c r="C6" s="9" t="n"/>
      <c r="D6" s="9" t="n"/>
      <c r="E6" s="113">
        <f>IF(SUMIFS(BR:BR,A:A,"Contingency")&gt;0,"Contingency is "&amp;TEXT(SUMIFS(BR:BR,A:A,"Contingency"),"$#,##"),IF(SUMIFS(BR:BR,A:A,"Contingency")&lt;0,"Overspent by "&amp;TEXT(SUMIFS(BR:BR,A:A,"Contingency"),"$#,##"),"No contingency"))</f>
        <v/>
      </c>
      <c r="F6" s="12" t="n"/>
    </row>
    <row r="7">
      <c r="A7" s="13" t="n"/>
      <c r="B7" s="142" t="n"/>
      <c r="C7" s="143" t="n"/>
      <c r="D7" s="143" t="n"/>
      <c r="E7" s="14" t="n"/>
      <c r="F7" s="15" t="n"/>
      <c r="O7" s="16" t="n"/>
      <c r="P7" s="16" t="n"/>
      <c r="Q7" s="16" t="n"/>
    </row>
    <row r="8" ht="15.75" customHeight="1" thickBot="1"/>
    <row r="9">
      <c r="A9" s="17" t="inlineStr">
        <is>
          <t>Total Variance Expense</t>
        </is>
      </c>
      <c r="B9" s="18">
        <f>C4-BR13</f>
        <v/>
      </c>
      <c r="D9" s="114" t="n"/>
      <c r="E9" s="120" t="inlineStr">
        <is>
          <t>S1</t>
        </is>
      </c>
      <c r="F9" s="120" t="inlineStr">
        <is>
          <t>S2</t>
        </is>
      </c>
      <c r="G9" s="121" t="inlineStr">
        <is>
          <t>Total</t>
        </is>
      </c>
    </row>
    <row r="10" ht="15.75" customHeight="1" thickBot="1">
      <c r="A10" s="126" t="inlineStr">
        <is>
          <t>Variance Percentage</t>
        </is>
      </c>
      <c r="B10" s="127">
        <f>B9/C4</f>
        <v/>
      </c>
      <c r="D10" s="122" t="inlineStr">
        <is>
          <t>Budget</t>
        </is>
      </c>
      <c r="E10" s="115" t="n"/>
      <c r="F10" s="115" t="n"/>
      <c r="G10" s="116" t="n"/>
      <c r="BS10" s="67" t="inlineStr">
        <is>
          <t>Contingency:</t>
        </is>
      </c>
    </row>
    <row r="11" ht="16.5" customHeight="1" thickBot="1">
      <c r="A11" s="124" t="inlineStr">
        <is>
          <t>Total Actuals To Date</t>
        </is>
      </c>
      <c r="B11" s="125">
        <f>SUMIFS(J12:BQ12,J13:BQ13,"&lt;="&amp;TODAY())</f>
        <v/>
      </c>
      <c r="D11" s="122" t="inlineStr">
        <is>
          <t>Actuals</t>
        </is>
      </c>
      <c r="E11" s="115">
        <f>SUM(J11:X11,Y12:AM12)</f>
        <v/>
      </c>
      <c r="F11" s="115">
        <f>SUM(AN12:BQ12)</f>
        <v/>
      </c>
      <c r="G11" s="116">
        <f>SUM(J11:X11,Y12:BQ12)</f>
        <v/>
      </c>
      <c r="H11" s="137" t="inlineStr">
        <is>
          <t xml:space="preserve">P3 Actuals: </t>
        </is>
      </c>
      <c r="I11" s="144" t="n"/>
      <c r="J11" s="145">
        <f t="array" ref="J11">SUM(M15:M24)+SUM(_xlfn._xlws.FILTER(L15:L24,M15:M24=""))+SUM(_xlfn._xlws.FILTER(K15:K24,(L15:L24="")*(M15:M24="")))+SUMIFS(N15:N24,M15:M24,"&lt;&gt;"&amp;"",$L$15:$L$24,"&lt;&gt;"&amp;"")+SUM(J15:J24)</f>
        <v/>
      </c>
      <c r="K11" s="146" t="n"/>
      <c r="L11" s="146" t="n"/>
      <c r="M11" s="146" t="n"/>
      <c r="N11" s="147" t="n"/>
      <c r="O11" s="145">
        <f t="array" ref="O11">SUM(R15:R24)+SUM(_xlfn._xlws.FILTER(Q15:Q24,R15:R24=""))+SUM(_xlfn._xlws.FILTER(P15:P24,(Q15:Q24="")*(R15:R24="")))+SUMIFS(S15:S24,R15:R24,"&lt;&gt;"&amp;"",$L$15:$L$24,"&lt;&gt;"&amp;"")+SUM(O15:O24)</f>
        <v/>
      </c>
      <c r="P11" s="146" t="n"/>
      <c r="Q11" s="146" t="n"/>
      <c r="R11" s="146" t="n"/>
      <c r="S11" s="147" t="n"/>
      <c r="T11" s="145">
        <f t="array" ref="T11">SUM(W15:W24)+SUM(_xlfn._xlws.FILTER(V15:V24,W15:W24=""))+SUM(_xlfn._xlws.FILTER(U15:U24,(V15:V24="")*(W15:W24="")))+SUMIFS(X15:X24,W15:W24,"&lt;&gt;"&amp;"",$L$15:$L$24,"&lt;&gt;"&amp;"")+SUM(T15:T24)</f>
        <v/>
      </c>
      <c r="U11" s="146" t="n"/>
      <c r="V11" s="146" t="n"/>
      <c r="W11" s="146" t="n"/>
      <c r="X11" s="147" t="n"/>
      <c r="Y11" s="145">
        <f t="array" ref="Y11">SUM(AB15:AB24)+SUM(_xlfn._xlws.FILTER(AA15:AA24,AB15:AB24=""))+SUM(_xlfn._xlws.FILTER(Z15:Z24,(AA15:AA24="")*(AB15:AB24="")))+SUMIFS(AC15:AC24,AB15:AB24,"&lt;&gt;"&amp;"",$L$15:$L$24,"&lt;&gt;"&amp;"")+SUM(Y15:Y24)</f>
        <v/>
      </c>
      <c r="Z11" s="146" t="n"/>
      <c r="AA11" s="146" t="n"/>
      <c r="AB11" s="146" t="n"/>
      <c r="AC11" s="147" t="n"/>
      <c r="AD11" s="145">
        <f t="array" ref="AD11">SUM(AG15:AG24)+SUM(_xlfn._xlws.FILTER(AF15:AF24,AG15:AG24=""))+SUM(_xlfn._xlws.FILTER(AE15:AE24,(AF15:AF24="")*(AG15:AG24="")))+SUMIFS(AH15:AH24,AG15:AG24,"&lt;&gt;"&amp;"",$L$15:$L$24,"&lt;&gt;"&amp;"")+SUM(AD15:AD24)</f>
        <v/>
      </c>
      <c r="AE11" s="146" t="n"/>
      <c r="AF11" s="146" t="n"/>
      <c r="AG11" s="146" t="n"/>
      <c r="AH11" s="147" t="n"/>
      <c r="AI11" s="145">
        <f t="array" ref="AI11">SUM(AL15:AL24)+SUM(_xlfn._xlws.FILTER(AK15:AK24,AL15:AL24=""))+SUM(_xlfn._xlws.FILTER(AJ15:AJ24,(AK15:AK24="")*(AL15:AL24="")))+SUMIFS(AM15:AM24,AL15:AL24,"&lt;&gt;"&amp;"",$L$15:$L$24,"&lt;&gt;"&amp;"")+SUM(AI15:AI24)</f>
        <v/>
      </c>
      <c r="AJ11" s="146" t="n"/>
      <c r="AK11" s="146" t="n"/>
      <c r="AL11" s="146" t="n"/>
      <c r="AM11" s="147" t="n"/>
      <c r="AN11" s="145">
        <f t="array" ref="AN11">SUM(AQ15:AQ24)+SUM(_xlfn._xlws.FILTER(AP15:AP24,AQ15:AQ24=""))+SUM(_xlfn._xlws.FILTER(AO15:AO24,(AP15:AP24="")*(AQ15:AQ24="")))+SUMIFS(AR15:AR24,AQ15:AQ24,"&lt;&gt;"&amp;"",$L$15:$L$24,"&lt;&gt;"&amp;"")+SUM(AN15:AN24)</f>
        <v/>
      </c>
      <c r="AO11" s="146" t="n"/>
      <c r="AP11" s="146" t="n"/>
      <c r="AQ11" s="146" t="n"/>
      <c r="AR11" s="147" t="n"/>
      <c r="AS11" s="145">
        <f t="array" ref="AS11">SUM(AV15:AV24)+SUM(_xlfn._xlws.FILTER(AU15:AU24,AV15:AV24=""))+SUM(_xlfn._xlws.FILTER(AT15:AT24,(AU15:AU24="")*(AV15:AV24="")))+SUMIFS(AW15:AW24,AV15:AV24,"&lt;&gt;"&amp;"",$L$15:$L$24,"&lt;&gt;"&amp;"")+SUM(AS15:AS24)</f>
        <v/>
      </c>
      <c r="AT11" s="146" t="n"/>
      <c r="AU11" s="146" t="n"/>
      <c r="AV11" s="146" t="n"/>
      <c r="AW11" s="147" t="n"/>
      <c r="AX11" s="145">
        <f t="array" ref="AX11">SUM(BA15:BA24)+SUM(_xlfn._xlws.FILTER(AZ15:AZ24,BA15:BA24=""))+SUM(_xlfn._xlws.FILTER(AY15:AY24,(AZ15:AZ24="")*(BA15:BA24="")))+SUMIFS(BB15:BB24,BA15:BA24,"&lt;&gt;"&amp;"",$L$15:$L$24,"&lt;&gt;"&amp;"")+SUM(AX15:AX24)</f>
        <v/>
      </c>
      <c r="AY11" s="146" t="n"/>
      <c r="AZ11" s="146" t="n"/>
      <c r="BA11" s="146" t="n"/>
      <c r="BB11" s="147" t="n"/>
      <c r="BC11" s="145">
        <f t="array" ref="BC11">SUM(BF15:BF24)+SUM(_xlfn._xlws.FILTER(BE15:BE24,BF15:BF24=""))+SUM(_xlfn._xlws.FILTER(BD15:BD24,(BE15:BE24="")*(BF15:BF24="")))+SUMIFS(BG15:BG24,BF15:BF24,"&lt;&gt;"&amp;"",$L$15:$L$24,"&lt;&gt;"&amp;"")+SUM(BC15:BC24)</f>
        <v/>
      </c>
      <c r="BD11" s="146" t="n"/>
      <c r="BE11" s="146" t="n"/>
      <c r="BF11" s="146" t="n"/>
      <c r="BG11" s="147" t="n"/>
      <c r="BH11" s="145">
        <f t="array" ref="BH11">SUM(BK15:BK24)+SUM(_xlfn._xlws.FILTER(BJ15:BJ24,BK15:BK24=""))+SUM(_xlfn._xlws.FILTER(BI15:BI24,(BJ15:BJ24="")*(BK15:BK24="")))+SUMIFS(BL15:BL24,BK15:BK24,"&lt;&gt;"&amp;"",$L$15:$L$24,"&lt;&gt;"&amp;"")+SUM(BH15:BH24)</f>
        <v/>
      </c>
      <c r="BI11" s="146" t="n"/>
      <c r="BJ11" s="146" t="n"/>
      <c r="BK11" s="146" t="n"/>
      <c r="BL11" s="147" t="n"/>
      <c r="BM11" s="145">
        <f t="array" ref="BM11">SUM(BP15:BP24)+SUM(_xlfn._xlws.FILTER(BO15:BO24,BP15:BP24=""))+SUM(_xlfn._xlws.FILTER(BN15:BN24,(BO15:BO24="")*(BP15:BP24="")))+SUMIFS(BQ15:BQ24,BP15:BP24,"&lt;&gt;"&amp;"",$L$15:$L$24,"&lt;&gt;"&amp;"")+SUM(BM15:BM24)</f>
        <v/>
      </c>
      <c r="BN11" s="146" t="n"/>
      <c r="BO11" s="146" t="n"/>
      <c r="BP11" s="146" t="n"/>
      <c r="BQ11" s="147" t="n"/>
      <c r="BR11" s="21" t="inlineStr">
        <is>
          <t>Total:</t>
        </is>
      </c>
      <c r="BS11" s="22">
        <f>BS13-BR13</f>
        <v/>
      </c>
    </row>
    <row r="12" ht="15.75" customHeight="1" thickBot="1">
      <c r="A12" s="20" t="inlineStr">
        <is>
          <t xml:space="preserve">Remaining Spend </t>
        </is>
      </c>
      <c r="B12" s="119">
        <f>C4-B11</f>
        <v/>
      </c>
      <c r="D12" s="123" t="inlineStr">
        <is>
          <t>Variance</t>
        </is>
      </c>
      <c r="E12" s="117">
        <f>E11-E10</f>
        <v/>
      </c>
      <c r="F12" s="117">
        <f>F11-F10</f>
        <v/>
      </c>
      <c r="G12" s="118">
        <f>G11-G10</f>
        <v/>
      </c>
      <c r="H12" s="139" t="inlineStr">
        <is>
          <t xml:space="preserve">Forecast Spreadsheet Actuals: </t>
        </is>
      </c>
      <c r="I12" s="144" t="n"/>
      <c r="J12" s="145">
        <f t="array" ref="J12">SUM(M15:M24)+SUM(_xlfn._xlws.FILTER(L15:L24,M15:M24=""))+SUM(_xlfn._xlws.FILTER(K15:K24,(L15:L24="")*(M15:M24="")))</f>
        <v/>
      </c>
      <c r="K12" s="146" t="n"/>
      <c r="L12" s="146" t="n"/>
      <c r="M12" s="146" t="n"/>
      <c r="N12" s="147" t="n"/>
      <c r="O12" s="145">
        <f t="array" ref="O12">SUM(R15:R24)+SUM(_xlfn._xlws.FILTER(Q15:Q24,R15:R24=""))+SUM(_xlfn._xlws.FILTER(P15:P24,(Q15:Q24="")*(R15:R24="")))</f>
        <v/>
      </c>
      <c r="P12" s="146" t="n"/>
      <c r="Q12" s="146" t="n"/>
      <c r="R12" s="146" t="n"/>
      <c r="S12" s="147" t="n"/>
      <c r="T12" s="145">
        <f t="array" ref="T12">SUM(W15:W24)+SUM(_xlfn._xlws.FILTER(V15:V24,W15:W24=""))+SUM(_xlfn._xlws.FILTER(U15:U24,(V15:V24="")*(W15:W24="")))</f>
        <v/>
      </c>
      <c r="U12" s="146" t="n"/>
      <c r="V12" s="146" t="n"/>
      <c r="W12" s="146" t="n"/>
      <c r="X12" s="147" t="n"/>
      <c r="Y12" s="145">
        <f t="array" ref="Y12">SUM(AB15:AB24)+SUM(_xlfn._xlws.FILTER(AA15:AA24,AB15:AB24=""))+SUM(_xlfn._xlws.FILTER(Z15:Z24,(AA15:AA24="")*(AB15:AB24="")))</f>
        <v/>
      </c>
      <c r="Z12" s="146" t="n"/>
      <c r="AA12" s="146" t="n"/>
      <c r="AB12" s="146" t="n"/>
      <c r="AC12" s="147" t="n"/>
      <c r="AD12" s="145">
        <f t="array" ref="AD12">SUM(AG15:AG24)+SUM(_xlfn._xlws.FILTER(AF15:AF24,AG15:AG24=""))+SUM(_xlfn._xlws.FILTER(AE15:AE24,(AF15:AF24="")*(AG15:AG24="")))</f>
        <v/>
      </c>
      <c r="AE12" s="146" t="n"/>
      <c r="AF12" s="146" t="n"/>
      <c r="AG12" s="146" t="n"/>
      <c r="AH12" s="147" t="n"/>
      <c r="AI12" s="145">
        <f t="array" ref="AI12">SUM(AL15:AL24)+SUM(_xlfn._xlws.FILTER(AK15:AK24,AL15:AL24=""))+SUM(_xlfn._xlws.FILTER(AJ15:AJ24,(AK15:AK24="")*(AL15:AL24="")))</f>
        <v/>
      </c>
      <c r="AJ12" s="146" t="n"/>
      <c r="AK12" s="146" t="n"/>
      <c r="AL12" s="146" t="n"/>
      <c r="AM12" s="147" t="n"/>
      <c r="AN12" s="145">
        <f t="array" ref="AN12">SUM(AQ15:AQ24)+SUM(_xlfn._xlws.FILTER(AP15:AP24,AQ15:AQ24=""))+SUM(_xlfn._xlws.FILTER(AO15:AO24,(AP15:AP24="")*(AQ15:AQ24="")))</f>
        <v/>
      </c>
      <c r="AO12" s="146" t="n"/>
      <c r="AP12" s="146" t="n"/>
      <c r="AQ12" s="146" t="n"/>
      <c r="AR12" s="147" t="n"/>
      <c r="AS12" s="145">
        <f t="array" ref="AS12">SUM(AV15:AV24)+SUM(_xlfn._xlws.FILTER(AU15:AU24,AV15:AV24=""))+SUM(_xlfn._xlws.FILTER(AT15:AT24,(AU15:AU24="")*(AV15:AV24="")))</f>
        <v/>
      </c>
      <c r="AT12" s="146" t="n"/>
      <c r="AU12" s="146" t="n"/>
      <c r="AV12" s="146" t="n"/>
      <c r="AW12" s="147" t="n"/>
      <c r="AX12" s="145">
        <f t="array" ref="AX12">SUM(BA15:BA24)+SUM(_xlfn._xlws.FILTER(AZ15:AZ24,BA15:BA24=""))+SUM(_xlfn._xlws.FILTER(AY15:AY24,(AZ15:AZ24="")*(BA15:BA24="")))</f>
        <v/>
      </c>
      <c r="AY12" s="146" t="n"/>
      <c r="AZ12" s="146" t="n"/>
      <c r="BA12" s="146" t="n"/>
      <c r="BB12" s="147" t="n"/>
      <c r="BC12" s="145">
        <f t="array" ref="BC12">SUM(BF15:BF24)+SUM(_xlfn._xlws.FILTER(BE15:BE24,BF15:BF24=""))+SUM(_xlfn._xlws.FILTER(BD15:BD24,(BE15:BE24="")*(BF15:BF24="")))</f>
        <v/>
      </c>
      <c r="BD12" s="146" t="n"/>
      <c r="BE12" s="146" t="n"/>
      <c r="BF12" s="146" t="n"/>
      <c r="BG12" s="147" t="n"/>
      <c r="BH12" s="145">
        <f t="array" ref="BH12">SUM(BK15:BK24)+SUM(_xlfn._xlws.FILTER(BJ15:BJ24,BK15:BK24=""))+SUM(_xlfn._xlws.FILTER(BI15:BI24,(BJ15:BJ24="")*(BK15:BK24="")))</f>
        <v/>
      </c>
      <c r="BI12" s="146" t="n"/>
      <c r="BJ12" s="146" t="n"/>
      <c r="BK12" s="146" t="n"/>
      <c r="BL12" s="147" t="n"/>
      <c r="BM12" s="145">
        <f t="array" ref="BM12">SUM(BP15:BP24)+SUM(_xlfn._xlws.FILTER(BO15:BO24,BP15:BP24=""))+SUM(_xlfn._xlws.FILTER(BN15:BN24,(BO15:BO24="")*(BP15:BP24="")))</f>
        <v/>
      </c>
      <c r="BN12" s="146" t="n"/>
      <c r="BO12" s="146" t="n"/>
      <c r="BP12" s="146" t="n"/>
      <c r="BQ12" s="147" t="n"/>
      <c r="BR12" s="21" t="n"/>
      <c r="BS12" s="22" t="n"/>
    </row>
    <row r="13" ht="16.5" customHeight="1" thickBot="1">
      <c r="A13" s="23" t="inlineStr">
        <is>
          <t>EXPENSE</t>
        </is>
      </c>
      <c r="H13" s="141" t="inlineStr">
        <is>
          <t xml:space="preserve">Month: </t>
        </is>
      </c>
      <c r="I13" s="148" t="n"/>
      <c r="J13" s="133" t="n">
        <v>45322</v>
      </c>
      <c r="K13" s="146" t="n"/>
      <c r="L13" s="146" t="n"/>
      <c r="M13" s="146" t="n"/>
      <c r="N13" s="146" t="n"/>
      <c r="O13" s="149" t="n">
        <v>45351</v>
      </c>
      <c r="P13" s="146" t="n"/>
      <c r="Q13" s="146" t="n"/>
      <c r="R13" s="146" t="n"/>
      <c r="S13" s="147" t="n"/>
      <c r="T13" s="149" t="n">
        <v>45382</v>
      </c>
      <c r="U13" s="146" t="n"/>
      <c r="V13" s="146" t="n"/>
      <c r="W13" s="146" t="n"/>
      <c r="X13" s="147" t="n"/>
      <c r="Y13" s="149" t="n">
        <v>45412</v>
      </c>
      <c r="Z13" s="146" t="n"/>
      <c r="AA13" s="146" t="n"/>
      <c r="AB13" s="146" t="n"/>
      <c r="AC13" s="147" t="n"/>
      <c r="AD13" s="149" t="n">
        <v>45443</v>
      </c>
      <c r="AE13" s="146" t="n"/>
      <c r="AF13" s="146" t="n"/>
      <c r="AG13" s="146" t="n"/>
      <c r="AH13" s="147" t="n"/>
      <c r="AI13" s="149" t="n">
        <v>45473</v>
      </c>
      <c r="AJ13" s="146" t="n"/>
      <c r="AK13" s="146" t="n"/>
      <c r="AL13" s="146" t="n"/>
      <c r="AM13" s="147" t="n"/>
      <c r="AN13" s="149" t="n">
        <v>45504</v>
      </c>
      <c r="AO13" s="146" t="n"/>
      <c r="AP13" s="146" t="n"/>
      <c r="AQ13" s="146" t="n"/>
      <c r="AR13" s="147" t="n"/>
      <c r="AS13" s="149" t="n">
        <v>45535</v>
      </c>
      <c r="AT13" s="146" t="n"/>
      <c r="AU13" s="146" t="n"/>
      <c r="AV13" s="146" t="n"/>
      <c r="AW13" s="147" t="n"/>
      <c r="AX13" s="149" t="n">
        <v>45565</v>
      </c>
      <c r="AY13" s="146" t="n"/>
      <c r="AZ13" s="146" t="n"/>
      <c r="BA13" s="146" t="n"/>
      <c r="BB13" s="147" t="n"/>
      <c r="BC13" s="149" t="n">
        <v>45596</v>
      </c>
      <c r="BD13" s="146" t="n"/>
      <c r="BE13" s="146" t="n"/>
      <c r="BF13" s="146" t="n"/>
      <c r="BG13" s="147" t="n"/>
      <c r="BH13" s="149" t="n">
        <v>45626</v>
      </c>
      <c r="BI13" s="146" t="n"/>
      <c r="BJ13" s="146" t="n"/>
      <c r="BK13" s="146" t="n"/>
      <c r="BL13" s="147" t="n"/>
      <c r="BM13" s="149" t="n">
        <v>45657</v>
      </c>
      <c r="BN13" s="146" t="n"/>
      <c r="BO13" s="146" t="n"/>
      <c r="BP13" s="146" t="n"/>
      <c r="BQ13" s="147" t="n"/>
      <c r="BR13" s="24">
        <f>SUM(BR15:BR23)</f>
        <v/>
      </c>
      <c r="BS13" s="25" t="n"/>
      <c r="BU13" s="19" t="n"/>
    </row>
    <row r="14" ht="60.75" customHeight="1" thickBot="1">
      <c r="A14" s="26" t="inlineStr">
        <is>
          <t>Contact for PO/ER</t>
        </is>
      </c>
      <c r="B14" s="27" t="inlineStr">
        <is>
          <t>PO Number/
ER Number</t>
        </is>
      </c>
      <c r="C14" s="27" t="inlineStr">
        <is>
          <t>PO Start Date</t>
        </is>
      </c>
      <c r="D14" s="150" t="inlineStr">
        <is>
          <t>PO end date</t>
        </is>
      </c>
      <c r="E14" s="29" t="inlineStr">
        <is>
          <t>Vendor Name</t>
        </is>
      </c>
      <c r="F14" s="27" t="inlineStr">
        <is>
          <t>G/L Account</t>
        </is>
      </c>
      <c r="G14" s="151" t="inlineStr">
        <is>
          <t>Gross PO Value  (USD)</t>
        </is>
      </c>
      <c r="H14" s="31" t="inlineStr">
        <is>
          <t>Requisition 
Title</t>
        </is>
      </c>
      <c r="I14" s="32" t="inlineStr">
        <is>
          <t>PO Status</t>
        </is>
      </c>
      <c r="J14" s="152" t="inlineStr">
        <is>
          <t>Accrual Reversal Dec</t>
        </is>
      </c>
      <c r="K14" s="153" t="inlineStr">
        <is>
          <t>Forecast Jan</t>
        </is>
      </c>
      <c r="L14" s="153" t="inlineStr">
        <is>
          <t>Accrual Jan</t>
        </is>
      </c>
      <c r="M14" s="153" t="inlineStr">
        <is>
          <t>Actual   Jan</t>
        </is>
      </c>
      <c r="N14" s="154" t="inlineStr">
        <is>
          <t>Variance (Actuals/Accruals</t>
        </is>
      </c>
      <c r="O14" s="152" t="inlineStr">
        <is>
          <t>Accrual Reversal Jan</t>
        </is>
      </c>
      <c r="P14" s="153" t="inlineStr">
        <is>
          <t>Forecast Feb</t>
        </is>
      </c>
      <c r="Q14" s="153" t="inlineStr">
        <is>
          <t>Accrual Feb</t>
        </is>
      </c>
      <c r="R14" s="155" t="inlineStr">
        <is>
          <t>Actual   Feb</t>
        </is>
      </c>
      <c r="S14" s="156" t="inlineStr">
        <is>
          <t>Variance (Actuals/Accruals</t>
        </is>
      </c>
      <c r="T14" s="152" t="inlineStr">
        <is>
          <t>Accrual Reversal Feb</t>
        </is>
      </c>
      <c r="U14" s="153" t="inlineStr">
        <is>
          <t>Forecast March</t>
        </is>
      </c>
      <c r="V14" s="153" t="inlineStr">
        <is>
          <t>Accrual March</t>
        </is>
      </c>
      <c r="W14" s="155" t="inlineStr">
        <is>
          <t>Actual March</t>
        </is>
      </c>
      <c r="X14" s="156" t="inlineStr">
        <is>
          <t>Variance (Actuals/Accruals</t>
        </is>
      </c>
      <c r="Y14" s="152" t="inlineStr">
        <is>
          <t>Accrual Reversal Mar</t>
        </is>
      </c>
      <c r="Z14" s="153" t="inlineStr">
        <is>
          <t>Forecast April</t>
        </is>
      </c>
      <c r="AA14" s="153" t="inlineStr">
        <is>
          <t>Accrual April</t>
        </is>
      </c>
      <c r="AB14" s="155" t="inlineStr">
        <is>
          <t>Actual April</t>
        </is>
      </c>
      <c r="AC14" s="156" t="inlineStr">
        <is>
          <t>Variance (Actuals/Accruals</t>
        </is>
      </c>
      <c r="AD14" s="152" t="inlineStr">
        <is>
          <t>Accrual Reversal Apr</t>
        </is>
      </c>
      <c r="AE14" s="153" t="inlineStr">
        <is>
          <t>Forecast May</t>
        </is>
      </c>
      <c r="AF14" s="153" t="inlineStr">
        <is>
          <t>Accrual May</t>
        </is>
      </c>
      <c r="AG14" s="155" t="inlineStr">
        <is>
          <t>Accrual May</t>
        </is>
      </c>
      <c r="AH14" s="156" t="inlineStr">
        <is>
          <t>Variance (Actuals/Accruals</t>
        </is>
      </c>
      <c r="AI14" s="152" t="inlineStr">
        <is>
          <t>Accrual Reversal May</t>
        </is>
      </c>
      <c r="AJ14" s="153" t="inlineStr">
        <is>
          <t>Forecast June</t>
        </is>
      </c>
      <c r="AK14" s="153" t="inlineStr">
        <is>
          <t>Accrual   June</t>
        </is>
      </c>
      <c r="AL14" s="155" t="inlineStr">
        <is>
          <t>Actual June</t>
        </is>
      </c>
      <c r="AM14" s="156" t="inlineStr">
        <is>
          <t>Variance (Actuals/Accruals</t>
        </is>
      </c>
      <c r="AN14" s="152" t="inlineStr">
        <is>
          <t>Accrual Reversal Jun</t>
        </is>
      </c>
      <c r="AO14" s="153" t="inlineStr">
        <is>
          <t>Forecast July</t>
        </is>
      </c>
      <c r="AP14" s="153" t="inlineStr">
        <is>
          <t>Accrual July</t>
        </is>
      </c>
      <c r="AQ14" s="155" t="inlineStr">
        <is>
          <t>Actual  July</t>
        </is>
      </c>
      <c r="AR14" s="156" t="inlineStr">
        <is>
          <t>Variance (Actuals/Accruals</t>
        </is>
      </c>
      <c r="AS14" s="152" t="inlineStr">
        <is>
          <t>Accrual Reversal Jul</t>
        </is>
      </c>
      <c r="AT14" s="153" t="inlineStr">
        <is>
          <t>Forecast Aug</t>
        </is>
      </c>
      <c r="AU14" s="153" t="inlineStr">
        <is>
          <t>Accrual Aug</t>
        </is>
      </c>
      <c r="AV14" s="155" t="inlineStr">
        <is>
          <t>Actual Aug</t>
        </is>
      </c>
      <c r="AW14" s="156" t="inlineStr">
        <is>
          <t>Variance (Actuals/Accruals</t>
        </is>
      </c>
      <c r="AX14" s="152" t="inlineStr">
        <is>
          <t>Accrual Reversal Aug</t>
        </is>
      </c>
      <c r="AY14" s="153" t="inlineStr">
        <is>
          <t>Forecast Sept</t>
        </is>
      </c>
      <c r="AZ14" s="153" t="inlineStr">
        <is>
          <t>Accrual Sept</t>
        </is>
      </c>
      <c r="BA14" s="155" t="inlineStr">
        <is>
          <t>Actual Sept</t>
        </is>
      </c>
      <c r="BB14" s="156" t="inlineStr">
        <is>
          <t>Variance (Actuals/Accruals</t>
        </is>
      </c>
      <c r="BC14" s="152" t="inlineStr">
        <is>
          <t>Accrual Reversal Sep</t>
        </is>
      </c>
      <c r="BD14" s="153" t="inlineStr">
        <is>
          <t>Forecast Oct</t>
        </is>
      </c>
      <c r="BE14" s="153" t="inlineStr">
        <is>
          <t>Accrual Oct</t>
        </is>
      </c>
      <c r="BF14" s="155" t="inlineStr">
        <is>
          <t xml:space="preserve">Actual Oct  </t>
        </is>
      </c>
      <c r="BG14" s="156" t="inlineStr">
        <is>
          <t>Variance (Actuals/Accruals</t>
        </is>
      </c>
      <c r="BH14" s="152" t="inlineStr">
        <is>
          <t>Accrual Reversal Oct</t>
        </is>
      </c>
      <c r="BI14" s="153" t="inlineStr">
        <is>
          <t>Forecast Nov</t>
        </is>
      </c>
      <c r="BJ14" s="153" t="inlineStr">
        <is>
          <t>Accrual Nov</t>
        </is>
      </c>
      <c r="BK14" s="155" t="inlineStr">
        <is>
          <t>Actual Nov</t>
        </is>
      </c>
      <c r="BL14" s="156" t="inlineStr">
        <is>
          <t>Variance (Actuals/Accruals</t>
        </is>
      </c>
      <c r="BM14" s="152" t="inlineStr">
        <is>
          <t>Accrual Reversal Nov</t>
        </is>
      </c>
      <c r="BN14" s="153" t="inlineStr">
        <is>
          <t>Forecast Dec</t>
        </is>
      </c>
      <c r="BO14" s="153" t="inlineStr">
        <is>
          <t xml:space="preserve">Accrual Dec </t>
        </is>
      </c>
      <c r="BP14" s="155" t="inlineStr">
        <is>
          <t>Actual Dec</t>
        </is>
      </c>
      <c r="BQ14" s="156" t="inlineStr">
        <is>
          <t>Variance (Actuals/Accruals</t>
        </is>
      </c>
      <c r="BR14" s="157" t="inlineStr">
        <is>
          <t>Total 2023</t>
        </is>
      </c>
      <c r="BS14" s="151" t="inlineStr">
        <is>
          <t>CPA Budget &lt;YEAR&gt;</t>
        </is>
      </c>
      <c r="BT14" s="38" t="inlineStr">
        <is>
          <t>Comments</t>
        </is>
      </c>
    </row>
    <row r="15">
      <c r="A15" s="39" t="n"/>
      <c r="B15" s="40" t="inlineStr">
        <is>
          <t>9500921816</t>
        </is>
      </c>
      <c r="C15" s="69" t="n"/>
      <c r="D15" s="69" t="n"/>
      <c r="E15" s="40" t="n"/>
      <c r="F15" s="40" t="n"/>
      <c r="G15" s="41" t="n"/>
      <c r="H15" s="40" t="n"/>
      <c r="I15" s="42" t="n"/>
      <c r="J15" s="43" t="n">
        <v>0</v>
      </c>
      <c r="K15" s="41" t="n">
        <v>16640</v>
      </c>
      <c r="L15" s="41" t="n">
        <v>0</v>
      </c>
      <c r="M15" s="44" t="n">
        <v>0</v>
      </c>
      <c r="N15" s="44">
        <f>L15-M15</f>
        <v/>
      </c>
      <c r="O15" s="43" t="n">
        <v>0</v>
      </c>
      <c r="P15" s="41" t="n">
        <v>29990</v>
      </c>
      <c r="Q15" s="41" t="n">
        <v>0</v>
      </c>
      <c r="R15" s="44" t="n">
        <v>0</v>
      </c>
      <c r="S15" s="45">
        <f>Q15-R15</f>
        <v/>
      </c>
      <c r="T15" s="46" t="n">
        <v>0</v>
      </c>
      <c r="U15" s="41" t="n">
        <v>53800</v>
      </c>
      <c r="V15" s="41" t="n">
        <v>153900</v>
      </c>
      <c r="W15" s="44" t="n">
        <v>83104</v>
      </c>
      <c r="X15" s="53">
        <f>V15-W15</f>
        <v/>
      </c>
      <c r="Y15" s="46" t="n">
        <v>-221467.43</v>
      </c>
      <c r="Z15" s="41" t="n">
        <v>47200</v>
      </c>
      <c r="AA15" s="41" t="n">
        <v>114767.43</v>
      </c>
      <c r="AB15" s="44" t="n">
        <v>38880</v>
      </c>
      <c r="AC15" s="53">
        <f>AA15-AB15</f>
        <v/>
      </c>
      <c r="AD15" s="46" t="n">
        <v>-185608.7</v>
      </c>
      <c r="AE15" s="41" t="n">
        <v>47200</v>
      </c>
      <c r="AF15" s="41" t="n">
        <v>190808.7</v>
      </c>
      <c r="AG15" s="44" t="n">
        <v>50320</v>
      </c>
      <c r="AH15" s="53">
        <f>AF15-AG15</f>
        <v/>
      </c>
      <c r="AI15" s="46" t="n">
        <v>-201074.85</v>
      </c>
      <c r="AJ15" s="41" t="n">
        <v>54280</v>
      </c>
      <c r="AK15" s="41" t="n">
        <v>202954.85</v>
      </c>
      <c r="AL15" s="44" t="n">
        <v>59395</v>
      </c>
      <c r="AM15" s="53">
        <f>AK15-AL15</f>
        <v/>
      </c>
      <c r="AN15" s="46" t="n">
        <v>-132113.58</v>
      </c>
      <c r="AO15" s="41" t="n">
        <v>44840</v>
      </c>
      <c r="AP15" s="41" t="n">
        <v>197906.01</v>
      </c>
      <c r="AQ15" s="44" t="n">
        <v>40382.7</v>
      </c>
      <c r="AR15" s="53">
        <f>AP15-AQ15</f>
        <v/>
      </c>
      <c r="AS15" s="46" t="n">
        <v>-199916</v>
      </c>
      <c r="AT15" s="41" t="n">
        <v>47200</v>
      </c>
      <c r="AU15" s="41" t="n">
        <v>127043.57</v>
      </c>
      <c r="AV15" s="44" t="n">
        <v>52507.52</v>
      </c>
      <c r="AW15" s="53">
        <f>AU15-AV15</f>
        <v/>
      </c>
      <c r="AX15" s="46" t="n">
        <v>-127043.57</v>
      </c>
      <c r="AY15" s="41" t="n">
        <v>56640</v>
      </c>
      <c r="AZ15" s="41" t="n">
        <v>79843.57000000001</v>
      </c>
      <c r="BA15" s="44" t="n">
        <v>0</v>
      </c>
      <c r="BB15" s="53">
        <f>AZ15-BA15</f>
        <v/>
      </c>
      <c r="BC15" s="46" t="n">
        <v>0</v>
      </c>
      <c r="BD15" s="41" t="n">
        <v>47200</v>
      </c>
      <c r="BE15" s="41" t="n">
        <v>0</v>
      </c>
      <c r="BF15" s="44" t="n">
        <v>0</v>
      </c>
      <c r="BG15" s="53">
        <f>BE15-BF15</f>
        <v/>
      </c>
      <c r="BH15" s="46" t="n">
        <v>0</v>
      </c>
      <c r="BI15" s="41" t="n">
        <v>44840</v>
      </c>
      <c r="BJ15" s="41" t="n">
        <v>0</v>
      </c>
      <c r="BK15" s="44" t="n">
        <v>0</v>
      </c>
      <c r="BL15" s="53">
        <f>BJ15-BK15</f>
        <v/>
      </c>
      <c r="BM15" s="46" t="n">
        <v>0</v>
      </c>
      <c r="BN15" s="41" t="n">
        <v>55600</v>
      </c>
      <c r="BO15" s="41" t="n">
        <v>0</v>
      </c>
      <c r="BP15" s="44" t="n">
        <v>0</v>
      </c>
      <c r="BQ15" s="53">
        <f>BO15-BP15</f>
        <v/>
      </c>
      <c r="BR15" s="43">
        <f>SUM(IF(M15&lt;&gt;"",M15,IF(L15&lt;&gt;"",L15,K15)),IF(R15&lt;&gt;"",R15,IF(Q15&lt;&gt;"",Q15,P15)),IF(W15&lt;&gt;"",W15,IF(V15&lt;&gt;"",V15,U15)),IF(AB15&lt;&gt;"",AB15,IF(AA15&lt;&gt;"",AA15,Z15)),IF(AG15&lt;&gt;"",AG15,IF(AF15&lt;&gt;"",AF15,AE15)),IF(AL15&lt;&gt;"",AL15,IF(AK15&lt;&gt;"",AK15,AJ15)),IF(AQ15&lt;&gt;"",AQ15,IF(AP15&lt;&gt;"",AP15,AO15)),IF(AV15&lt;&gt;"",AV15,IF(AU15&lt;&gt;"",AU15,AT15)),IF(BA15&lt;&gt;"",BA15,IF(AZ15&lt;&gt;"",AZ15,AY15)),IF(BF15&lt;&gt;"",BF15,IF(BE15&lt;&gt;"",BE15,BD15)),IF(BK15&lt;&gt;"",BK15,IF(BJ15&lt;&gt;"",BJ15,BI15)),IF(BP15&lt;&gt;"",BP15,IF(BO15&lt;&gt;"",BO15,BN15)))</f>
        <v/>
      </c>
      <c r="BS15" s="70" t="n"/>
      <c r="BT15" s="71" t="n"/>
    </row>
    <row r="16">
      <c r="A16" s="47" t="n"/>
      <c r="B16" s="48" t="inlineStr">
        <is>
          <t>9501014469</t>
        </is>
      </c>
      <c r="C16" s="72" t="n"/>
      <c r="D16" s="72" t="n"/>
      <c r="E16" s="72" t="n"/>
      <c r="F16" s="48" t="n"/>
      <c r="G16" s="49" t="n"/>
      <c r="H16" s="48" t="n"/>
      <c r="I16" s="50" t="n"/>
      <c r="J16" s="51" t="n">
        <v>0</v>
      </c>
      <c r="K16" s="49" t="n">
        <v>0</v>
      </c>
      <c r="L16" s="49" t="n">
        <v>0</v>
      </c>
      <c r="M16" s="52" t="n">
        <v>0</v>
      </c>
      <c r="N16" s="52">
        <f>L16-M16</f>
        <v/>
      </c>
      <c r="O16" s="51" t="n">
        <v>0</v>
      </c>
      <c r="P16" s="49" t="n">
        <v>0</v>
      </c>
      <c r="Q16" s="49" t="n">
        <v>0</v>
      </c>
      <c r="R16" s="52" t="n">
        <v>0</v>
      </c>
      <c r="S16" s="53">
        <f>Q16-R16</f>
        <v/>
      </c>
      <c r="T16" s="54" t="n">
        <v>0</v>
      </c>
      <c r="U16" s="49" t="n">
        <v>0</v>
      </c>
      <c r="V16" s="49" t="n">
        <v>0</v>
      </c>
      <c r="W16" s="52" t="n">
        <v>0</v>
      </c>
      <c r="X16" s="53">
        <f>V16-W16</f>
        <v/>
      </c>
      <c r="Y16" s="54" t="n">
        <v>0</v>
      </c>
      <c r="Z16" s="49" t="n">
        <v>0</v>
      </c>
      <c r="AA16" s="49" t="n">
        <v>0</v>
      </c>
      <c r="AB16" s="49" t="n">
        <v>0</v>
      </c>
      <c r="AC16" s="53">
        <f>AA16-AB16</f>
        <v/>
      </c>
      <c r="AD16" s="54" t="n">
        <v>0</v>
      </c>
      <c r="AE16" s="49" t="n">
        <v>0</v>
      </c>
      <c r="AF16" s="49" t="n">
        <v>0</v>
      </c>
      <c r="AG16" s="49" t="n">
        <v>0</v>
      </c>
      <c r="AH16" s="53">
        <f>AF16-AG16</f>
        <v/>
      </c>
      <c r="AI16" s="54" t="n">
        <v>0</v>
      </c>
      <c r="AJ16" s="49" t="n">
        <v>0</v>
      </c>
      <c r="AK16" s="49" t="n">
        <v>0</v>
      </c>
      <c r="AL16" s="49" t="n">
        <v>0</v>
      </c>
      <c r="AM16" s="53">
        <f>AK16-AL16</f>
        <v/>
      </c>
      <c r="AN16" s="54" t="n">
        <v>0</v>
      </c>
      <c r="AO16" s="49" t="n">
        <v>36000</v>
      </c>
      <c r="AP16" s="49" t="n">
        <v>0</v>
      </c>
      <c r="AQ16" s="49" t="n">
        <v>0</v>
      </c>
      <c r="AR16" s="53">
        <f>AP16-AQ16</f>
        <v/>
      </c>
      <c r="AS16" s="54" t="n">
        <v>0</v>
      </c>
      <c r="AT16" s="49" t="n">
        <v>40000</v>
      </c>
      <c r="AU16" s="49" t="n">
        <v>0</v>
      </c>
      <c r="AV16" s="49" t="n">
        <v>0</v>
      </c>
      <c r="AW16" s="53">
        <f>AU16-AV16</f>
        <v/>
      </c>
      <c r="AX16" s="54" t="n">
        <v>0</v>
      </c>
      <c r="AY16" s="49" t="n">
        <v>50000</v>
      </c>
      <c r="AZ16" s="49" t="n">
        <v>0</v>
      </c>
      <c r="BA16" s="49" t="n">
        <v>0</v>
      </c>
      <c r="BB16" s="53">
        <f>AZ16-BA16</f>
        <v/>
      </c>
      <c r="BC16" s="54" t="n">
        <v>0</v>
      </c>
      <c r="BD16" s="49" t="n">
        <v>40000</v>
      </c>
      <c r="BE16" s="49" t="n">
        <v>0</v>
      </c>
      <c r="BF16" s="49" t="n">
        <v>0</v>
      </c>
      <c r="BG16" s="53">
        <f>BE16-BF16</f>
        <v/>
      </c>
      <c r="BH16" s="54" t="n">
        <v>0</v>
      </c>
      <c r="BI16" s="49" t="n">
        <v>40000</v>
      </c>
      <c r="BJ16" s="49" t="n">
        <v>0</v>
      </c>
      <c r="BK16" s="49" t="n">
        <v>0</v>
      </c>
      <c r="BL16" s="53">
        <f>BJ16-BK16</f>
        <v/>
      </c>
      <c r="BM16" s="54" t="n">
        <v>0</v>
      </c>
      <c r="BN16" s="49" t="n">
        <v>48000</v>
      </c>
      <c r="BO16" s="49" t="n">
        <v>0</v>
      </c>
      <c r="BP16" s="49" t="n">
        <v>0</v>
      </c>
      <c r="BQ16" s="53">
        <f>BO16-BP16</f>
        <v/>
      </c>
      <c r="BR16" s="51">
        <f>SUM(IF(M16&lt;&gt;"",M16,IF(L16&lt;&gt;"",L16,K16)),IF(R16&lt;&gt;"",R16,IF(Q16&lt;&gt;"",Q16,P16)),IF(W16&lt;&gt;"",W16,IF(V16&lt;&gt;"",V16,U16)),IF(AB16&lt;&gt;"",AB16,IF(AA16&lt;&gt;"",AA16,Z16)),IF(AG16&lt;&gt;"",AG16,IF(AF16&lt;&gt;"",AF16,AE16)),IF(AL16&lt;&gt;"",AL16,IF(AK16&lt;&gt;"",AK16,AJ16)),IF(AQ16&lt;&gt;"",AQ16,IF(AP16&lt;&gt;"",AP16,AO16)),IF(AV16&lt;&gt;"",AV16,IF(AU16&lt;&gt;"",AU16,AT16)),IF(BA16&lt;&gt;"",BA16,IF(AZ16&lt;&gt;"",AZ16,AY16)),IF(BF16&lt;&gt;"",BF16,IF(BE16&lt;&gt;"",BE16,BD16)),IF(BK16&lt;&gt;"",BK16,IF(BJ16&lt;&gt;"",BJ16,BI16)),IF(BP16&lt;&gt;"",BP16,IF(BO16&lt;&gt;"",BO16,BN16)))</f>
        <v/>
      </c>
      <c r="BS16" s="73" t="n"/>
      <c r="BT16" s="74" t="n"/>
    </row>
    <row r="17">
      <c r="A17" s="47" t="n"/>
      <c r="B17" s="48" t="inlineStr">
        <is>
          <t>9501014470</t>
        </is>
      </c>
      <c r="C17" s="72" t="n"/>
      <c r="D17" s="72" t="n"/>
      <c r="E17" s="48" t="n"/>
      <c r="F17" s="48" t="n"/>
      <c r="G17" s="49" t="n"/>
      <c r="H17" s="48" t="n"/>
      <c r="I17" s="50" t="n"/>
      <c r="J17" s="55" t="n">
        <v>0</v>
      </c>
      <c r="K17" s="56" t="n">
        <v>0</v>
      </c>
      <c r="L17" s="56" t="n">
        <v>0</v>
      </c>
      <c r="M17" s="52" t="n">
        <v>0</v>
      </c>
      <c r="N17" s="52">
        <f>L17-M17</f>
        <v/>
      </c>
      <c r="O17" s="55" t="n">
        <v>0</v>
      </c>
      <c r="P17" s="49" t="n">
        <v>0</v>
      </c>
      <c r="Q17" s="49" t="n">
        <v>0</v>
      </c>
      <c r="R17" s="52" t="n">
        <v>0</v>
      </c>
      <c r="S17" s="53">
        <f>Q17-R17</f>
        <v/>
      </c>
      <c r="T17" s="54" t="n">
        <v>0</v>
      </c>
      <c r="U17" s="49" t="n">
        <v>0</v>
      </c>
      <c r="V17" s="49" t="n">
        <v>0</v>
      </c>
      <c r="W17" s="57" t="n">
        <v>0</v>
      </c>
      <c r="X17" s="53">
        <f>V17-W17</f>
        <v/>
      </c>
      <c r="Y17" s="54" t="n">
        <v>0</v>
      </c>
      <c r="Z17" s="56" t="n">
        <v>0</v>
      </c>
      <c r="AA17" s="56" t="n">
        <v>0</v>
      </c>
      <c r="AB17" s="57" t="n">
        <v>0</v>
      </c>
      <c r="AC17" s="53">
        <f>AA17-AB17</f>
        <v/>
      </c>
      <c r="AD17" s="54" t="n">
        <v>0</v>
      </c>
      <c r="AE17" s="56" t="n">
        <v>0</v>
      </c>
      <c r="AF17" s="56" t="n">
        <v>0</v>
      </c>
      <c r="AG17" s="57" t="n">
        <v>0</v>
      </c>
      <c r="AH17" s="53">
        <f>AF17-AG17</f>
        <v/>
      </c>
      <c r="AI17" s="54" t="n">
        <v>0</v>
      </c>
      <c r="AJ17" s="56" t="n">
        <v>0</v>
      </c>
      <c r="AK17" s="56" t="n">
        <v>0</v>
      </c>
      <c r="AL17" s="57" t="n">
        <v>0</v>
      </c>
      <c r="AM17" s="53">
        <f>AK17-AL17</f>
        <v/>
      </c>
      <c r="AN17" s="54" t="n">
        <v>0</v>
      </c>
      <c r="AO17" s="56" t="n">
        <v>70183</v>
      </c>
      <c r="AP17" s="56" t="n">
        <v>0</v>
      </c>
      <c r="AQ17" s="57" t="n">
        <v>0</v>
      </c>
      <c r="AR17" s="53">
        <f>AP17-AQ17</f>
        <v/>
      </c>
      <c r="AS17" s="54" t="n">
        <v>0</v>
      </c>
      <c r="AT17" s="56" t="n">
        <v>73470</v>
      </c>
      <c r="AU17" s="56" t="n">
        <v>0</v>
      </c>
      <c r="AV17" s="57" t="n">
        <v>0</v>
      </c>
      <c r="AW17" s="53">
        <f>AU17-AV17</f>
        <v/>
      </c>
      <c r="AX17" s="54" t="n">
        <v>0</v>
      </c>
      <c r="AY17" s="56" t="n">
        <v>92187.5</v>
      </c>
      <c r="AZ17" s="56" t="n">
        <v>0</v>
      </c>
      <c r="BA17" s="57" t="n">
        <v>0</v>
      </c>
      <c r="BB17" s="53">
        <f>AZ17-BA17</f>
        <v/>
      </c>
      <c r="BC17" s="54" t="n">
        <v>0</v>
      </c>
      <c r="BD17" s="56" t="n">
        <v>72187.5</v>
      </c>
      <c r="BE17" s="56" t="n">
        <v>0</v>
      </c>
      <c r="BF17" s="57" t="n">
        <v>0</v>
      </c>
      <c r="BG17" s="53">
        <f>BE17-BF17</f>
        <v/>
      </c>
      <c r="BH17" s="54" t="n">
        <v>0</v>
      </c>
      <c r="BI17" s="56" t="n">
        <v>73470</v>
      </c>
      <c r="BJ17" s="56" t="n">
        <v>0</v>
      </c>
      <c r="BK17" s="57" t="n">
        <v>0</v>
      </c>
      <c r="BL17" s="53">
        <f>BJ17-BK17</f>
        <v/>
      </c>
      <c r="BM17" s="54" t="n">
        <v>0</v>
      </c>
      <c r="BN17" s="56" t="n">
        <v>107926.5</v>
      </c>
      <c r="BO17" s="56" t="n">
        <v>0</v>
      </c>
      <c r="BP17" s="57" t="n">
        <v>0</v>
      </c>
      <c r="BQ17" s="53">
        <f>BO17-BP17</f>
        <v/>
      </c>
      <c r="BR17" s="51">
        <f>SUM(IF(M17&lt;&gt;"",M17,IF(L17&lt;&gt;"",L17,K17)),IF(R17&lt;&gt;"",R17,IF(Q17&lt;&gt;"",Q17,P17)),IF(W17&lt;&gt;"",W17,IF(V17&lt;&gt;"",V17,U17)),IF(AB17&lt;&gt;"",AB17,IF(AA17&lt;&gt;"",AA17,Z17)),IF(AG17&lt;&gt;"",AG17,IF(AF17&lt;&gt;"",AF17,AE17)),IF(AL17&lt;&gt;"",AL17,IF(AK17&lt;&gt;"",AK17,AJ17)),IF(AQ17&lt;&gt;"",AQ17,IF(AP17&lt;&gt;"",AP17,AO17)),IF(AV17&lt;&gt;"",AV17,IF(AU17&lt;&gt;"",AU17,AT17)),IF(BA17&lt;&gt;"",BA17,IF(AZ17&lt;&gt;"",AZ17,AY17)),IF(BF17&lt;&gt;"",BF17,IF(BE17&lt;&gt;"",BE17,BD17)),IF(BK17&lt;&gt;"",BK17,IF(BJ17&lt;&gt;"",BJ17,BI17)),IF(BP17&lt;&gt;"",BP17,IF(BO17&lt;&gt;"",BO17,BN17)))</f>
        <v/>
      </c>
      <c r="BS17" s="73" t="n"/>
      <c r="BT17" s="74" t="n"/>
    </row>
    <row r="18">
      <c r="A18" s="47" t="n"/>
      <c r="B18" s="48" t="inlineStr">
        <is>
          <t>9500887310</t>
        </is>
      </c>
      <c r="C18" s="72" t="n"/>
      <c r="D18" s="72" t="n"/>
      <c r="E18" s="48" t="n"/>
      <c r="F18" s="48" t="n"/>
      <c r="G18" s="49" t="n"/>
      <c r="H18" s="48" t="n"/>
      <c r="I18" s="50" t="n"/>
      <c r="J18" s="51" t="n"/>
      <c r="K18" s="49" t="n"/>
      <c r="L18" s="49" t="n"/>
      <c r="M18" s="52" t="n"/>
      <c r="N18" s="52">
        <f>L18-M18</f>
        <v/>
      </c>
      <c r="O18" s="51" t="n">
        <v>0</v>
      </c>
      <c r="P18" s="49" t="n">
        <v>0</v>
      </c>
      <c r="Q18" s="49" t="n">
        <v>46348.31</v>
      </c>
      <c r="R18" s="52" t="n">
        <v>0</v>
      </c>
      <c r="S18" s="53">
        <f>Q18-R18</f>
        <v/>
      </c>
      <c r="T18" s="54" t="n">
        <v>-46348.31</v>
      </c>
      <c r="U18" s="49" t="n">
        <v>0</v>
      </c>
      <c r="V18" s="49" t="n">
        <v>75000</v>
      </c>
      <c r="W18" s="52" t="n">
        <v>0</v>
      </c>
      <c r="X18" s="53">
        <f>V18-W18</f>
        <v/>
      </c>
      <c r="Y18" s="54" t="n">
        <v>-131233.16</v>
      </c>
      <c r="Z18" s="49" t="n">
        <v>0</v>
      </c>
      <c r="AA18" s="49" t="n">
        <v>122899.16</v>
      </c>
      <c r="AB18" s="52" t="n">
        <v>99000</v>
      </c>
      <c r="AC18" s="53">
        <f>AA18-AB18</f>
        <v/>
      </c>
      <c r="AD18" s="54" t="n">
        <v>-122899.16</v>
      </c>
      <c r="AE18" s="49" t="n">
        <v>0</v>
      </c>
      <c r="AF18" s="49" t="n">
        <v>82233.16</v>
      </c>
      <c r="AG18" s="52" t="n">
        <v>0</v>
      </c>
      <c r="AH18" s="53">
        <f>AF18-AG18</f>
        <v/>
      </c>
      <c r="AI18" s="54" t="n">
        <v>-26000</v>
      </c>
      <c r="AJ18" s="49" t="n">
        <v>0</v>
      </c>
      <c r="AK18" s="49" t="n">
        <v>0</v>
      </c>
      <c r="AL18" s="52" t="n">
        <v>24333</v>
      </c>
      <c r="AM18" s="53">
        <f>AK18-AL18</f>
        <v/>
      </c>
      <c r="AN18" s="54" t="n"/>
      <c r="AO18" s="49" t="n"/>
      <c r="AP18" s="49" t="n"/>
      <c r="AQ18" s="52" t="n"/>
      <c r="AR18" s="53">
        <f>AP18-AQ18</f>
        <v/>
      </c>
      <c r="AS18" s="54" t="n"/>
      <c r="AT18" s="49" t="n"/>
      <c r="AU18" s="49" t="n"/>
      <c r="AV18" s="52" t="n"/>
      <c r="AW18" s="53">
        <f>AU18-AV18</f>
        <v/>
      </c>
      <c r="AX18" s="54" t="n">
        <v>0</v>
      </c>
      <c r="AY18" s="49" t="n">
        <v>0</v>
      </c>
      <c r="AZ18" s="49" t="n">
        <v>4497.19</v>
      </c>
      <c r="BA18" s="52" t="n">
        <v>0</v>
      </c>
      <c r="BB18" s="53">
        <f>AZ18-BA18</f>
        <v/>
      </c>
      <c r="BC18" s="54" t="n"/>
      <c r="BD18" s="49" t="n"/>
      <c r="BE18" s="49" t="n"/>
      <c r="BF18" s="52" t="n"/>
      <c r="BG18" s="53">
        <f>BE18-BF18</f>
        <v/>
      </c>
      <c r="BH18" s="54" t="n"/>
      <c r="BI18" s="49" t="n"/>
      <c r="BJ18" s="49" t="n"/>
      <c r="BK18" s="52" t="n"/>
      <c r="BL18" s="53">
        <f>BJ18-BK18</f>
        <v/>
      </c>
      <c r="BM18" s="54" t="n"/>
      <c r="BN18" s="49" t="n"/>
      <c r="BO18" s="49" t="n"/>
      <c r="BP18" s="52" t="n"/>
      <c r="BQ18" s="53">
        <f>BO18-BP18</f>
        <v/>
      </c>
      <c r="BR18" s="51">
        <f>SUM(IF(M18&lt;&gt;"",M18,IF(L18&lt;&gt;"",L18,K18)),IF(R18&lt;&gt;"",R18,IF(Q18&lt;&gt;"",Q18,P18)),IF(W18&lt;&gt;"",W18,IF(V18&lt;&gt;"",V18,U18)),IF(AB18&lt;&gt;"",AB18,IF(AA18&lt;&gt;"",AA18,Z18)),IF(AG18&lt;&gt;"",AG18,IF(AF18&lt;&gt;"",AF18,AE18)),IF(AL18&lt;&gt;"",AL18,IF(AK18&lt;&gt;"",AK18,AJ18)),IF(AQ18&lt;&gt;"",AQ18,IF(AP18&lt;&gt;"",AP18,AO18)),IF(AV18&lt;&gt;"",AV18,IF(AU18&lt;&gt;"",AU18,AT18)),IF(BA18&lt;&gt;"",BA18,IF(AZ18&lt;&gt;"",AZ18,AY18)),IF(BF18&lt;&gt;"",BF18,IF(BE18&lt;&gt;"",BE18,BD18)),IF(BK18&lt;&gt;"",BK18,IF(BJ18&lt;&gt;"",BJ18,BI18)),IF(BP18&lt;&gt;"",BP18,IF(BO18&lt;&gt;"",BO18,BN18)))</f>
        <v/>
      </c>
      <c r="BS18" s="73" t="n"/>
      <c r="BT18" s="74" t="n"/>
    </row>
    <row r="19">
      <c r="A19" s="75" t="n"/>
      <c r="B19" t="inlineStr">
        <is>
          <t>9500882917</t>
        </is>
      </c>
      <c r="C19" s="72" t="n"/>
      <c r="D19" s="72" t="n"/>
      <c r="E19" s="48" t="n"/>
      <c r="F19" s="48" t="n"/>
      <c r="G19" s="49" t="n"/>
      <c r="H19" s="48" t="n"/>
      <c r="I19" s="50" t="n"/>
      <c r="J19" s="51" t="n">
        <v>0</v>
      </c>
      <c r="K19" s="49" t="n">
        <v>38400</v>
      </c>
      <c r="L19" s="49" t="n">
        <v>0</v>
      </c>
      <c r="M19" s="52" t="n">
        <v>34040</v>
      </c>
      <c r="N19" s="52">
        <f>L19-M19</f>
        <v/>
      </c>
      <c r="O19" s="51" t="n">
        <v>0</v>
      </c>
      <c r="P19" s="49" t="n">
        <v>45600</v>
      </c>
      <c r="Q19" s="49" t="n">
        <v>62210</v>
      </c>
      <c r="R19" s="52" t="n">
        <v>0</v>
      </c>
      <c r="S19" s="53">
        <f>Q19-R19</f>
        <v/>
      </c>
      <c r="T19" s="54" t="n">
        <v>-78320</v>
      </c>
      <c r="U19" s="49" t="n">
        <v>60000</v>
      </c>
      <c r="V19" s="49" t="n">
        <v>121710</v>
      </c>
      <c r="W19" s="52" t="n">
        <v>58648</v>
      </c>
      <c r="X19" s="53">
        <f>V19-W19</f>
        <v/>
      </c>
      <c r="Y19" s="54" t="n">
        <v>-140172</v>
      </c>
      <c r="Z19" s="49" t="n">
        <v>48000</v>
      </c>
      <c r="AA19" s="49" t="n">
        <v>128172</v>
      </c>
      <c r="AB19" s="49" t="n">
        <v>20960</v>
      </c>
      <c r="AC19" s="53">
        <f>AA19-AB19</f>
        <v/>
      </c>
      <c r="AD19" s="54" t="n">
        <v>-130564</v>
      </c>
      <c r="AE19" s="49" t="n">
        <v>48000</v>
      </c>
      <c r="AF19" s="49" t="n">
        <v>158564</v>
      </c>
      <c r="AG19" s="49" t="n">
        <v>102760</v>
      </c>
      <c r="AH19" s="53">
        <f>AF19-AG19</f>
        <v/>
      </c>
      <c r="AI19" s="54" t="n">
        <v>-140102</v>
      </c>
      <c r="AJ19" s="49" t="n">
        <v>57600</v>
      </c>
      <c r="AK19" s="49" t="n">
        <v>117094</v>
      </c>
      <c r="AL19" s="49" t="n">
        <v>38368</v>
      </c>
      <c r="AM19" s="53">
        <f>AK19-AL19</f>
        <v/>
      </c>
      <c r="AN19" s="54" t="n">
        <v>-98592</v>
      </c>
      <c r="AO19" s="49" t="n">
        <v>2400</v>
      </c>
      <c r="AP19" s="49" t="n">
        <v>60224</v>
      </c>
      <c r="AQ19" s="49" t="n">
        <v>0</v>
      </c>
      <c r="AR19" s="53">
        <f>AP19-AQ19</f>
        <v/>
      </c>
      <c r="AS19" s="54" t="n">
        <v>-60224</v>
      </c>
      <c r="AT19" s="49" t="n">
        <v>0</v>
      </c>
      <c r="AU19" s="49" t="n">
        <v>0</v>
      </c>
      <c r="AV19" s="49" t="n">
        <v>2400</v>
      </c>
      <c r="AW19" s="53">
        <f>AU19-AV19</f>
        <v/>
      </c>
      <c r="AX19" s="54" t="n">
        <v>0</v>
      </c>
      <c r="AY19" s="49" t="n">
        <v>0</v>
      </c>
      <c r="AZ19" s="49" t="n">
        <v>57824</v>
      </c>
      <c r="BA19" s="49" t="n">
        <v>0</v>
      </c>
      <c r="BB19" s="53">
        <f>AZ19-BA19</f>
        <v/>
      </c>
      <c r="BC19" s="54" t="n">
        <v>0</v>
      </c>
      <c r="BD19" s="49" t="n">
        <v>0</v>
      </c>
      <c r="BE19" s="49" t="n">
        <v>0</v>
      </c>
      <c r="BF19" s="49" t="n">
        <v>0</v>
      </c>
      <c r="BG19" s="53">
        <f>BE19-BF19</f>
        <v/>
      </c>
      <c r="BH19" s="54" t="n">
        <v>0</v>
      </c>
      <c r="BI19" s="49" t="n">
        <v>0</v>
      </c>
      <c r="BJ19" s="49" t="n">
        <v>0</v>
      </c>
      <c r="BK19" s="49" t="n">
        <v>0</v>
      </c>
      <c r="BL19" s="53">
        <f>BJ19-BK19</f>
        <v/>
      </c>
      <c r="BM19" s="54" t="n">
        <v>0</v>
      </c>
      <c r="BN19" s="49" t="n">
        <v>0</v>
      </c>
      <c r="BO19" s="49" t="n">
        <v>0</v>
      </c>
      <c r="BP19" s="49" t="n">
        <v>0</v>
      </c>
      <c r="BQ19" s="53">
        <f>BO19-BP19</f>
        <v/>
      </c>
      <c r="BR19" s="51">
        <f>SUM(IF(M19&lt;&gt;"",M19,IF(L19&lt;&gt;"",L19,K19)),IF(R19&lt;&gt;"",R19,IF(Q19&lt;&gt;"",Q19,P19)),IF(W19&lt;&gt;"",W19,IF(V19&lt;&gt;"",V19,U19)),IF(AB19&lt;&gt;"",AB19,IF(AA19&lt;&gt;"",AA19,Z19)),IF(AG19&lt;&gt;"",AG19,IF(AF19&lt;&gt;"",AF19,AE19)),IF(AL19&lt;&gt;"",AL19,IF(AK19&lt;&gt;"",AK19,AJ19)),IF(AQ19&lt;&gt;"",AQ19,IF(AP19&lt;&gt;"",AP19,AO19)),IF(AV19&lt;&gt;"",AV19,IF(AU19&lt;&gt;"",AU19,AT19)),IF(BA19&lt;&gt;"",BA19,IF(AZ19&lt;&gt;"",AZ19,AY19)),IF(BF19&lt;&gt;"",BF19,IF(BE19&lt;&gt;"",BE19,BD19)),IF(BK19&lt;&gt;"",BK19,IF(BJ19&lt;&gt;"",BJ19,BI19)),IF(BP19&lt;&gt;"",BP19,IF(BO19&lt;&gt;"",BO19,BN19)))</f>
        <v/>
      </c>
      <c r="BS19" s="73" t="n"/>
      <c r="BT19" s="74" t="n"/>
    </row>
    <row r="20">
      <c r="A20" s="47" t="n"/>
      <c r="B20" s="48" t="inlineStr">
        <is>
          <t>9500879389</t>
        </is>
      </c>
      <c r="C20" s="72" t="n"/>
      <c r="D20" s="72" t="n"/>
      <c r="E20" s="48" t="n"/>
      <c r="F20" s="48" t="n"/>
      <c r="G20" s="49" t="n"/>
      <c r="H20" s="48" t="n"/>
      <c r="I20" s="50" t="n"/>
      <c r="J20" s="51" t="n">
        <v>0</v>
      </c>
      <c r="K20" s="49" t="n">
        <v>14535</v>
      </c>
      <c r="L20" s="49" t="n">
        <v>0</v>
      </c>
      <c r="M20" s="52" t="n">
        <v>13822.5</v>
      </c>
      <c r="N20" s="52">
        <f>L20-M20</f>
        <v/>
      </c>
      <c r="O20" s="51" t="n">
        <v>0</v>
      </c>
      <c r="P20" s="49" t="n">
        <v>17100</v>
      </c>
      <c r="Q20" s="49" t="n">
        <v>19385.28</v>
      </c>
      <c r="R20" s="52" t="n">
        <v>17100</v>
      </c>
      <c r="S20" s="53">
        <f>Q20-R20</f>
        <v/>
      </c>
      <c r="T20" s="54" t="n">
        <v>-19385.28</v>
      </c>
      <c r="U20" s="49" t="n">
        <v>21375</v>
      </c>
      <c r="V20" s="49" t="n">
        <v>22813.72</v>
      </c>
      <c r="W20" s="52" t="n">
        <v>20425</v>
      </c>
      <c r="X20" s="53">
        <f>V20-W20</f>
        <v/>
      </c>
      <c r="Y20" s="54" t="n">
        <v>-22813.72</v>
      </c>
      <c r="Z20" s="49" t="n">
        <v>15390</v>
      </c>
      <c r="AA20" s="49" t="n">
        <v>19294.5</v>
      </c>
      <c r="AB20" s="52" t="n">
        <v>15247.5</v>
      </c>
      <c r="AC20" s="53">
        <f>AA20-AB20</f>
        <v/>
      </c>
      <c r="AD20" s="54" t="n">
        <v>-19294.5</v>
      </c>
      <c r="AE20" s="49" t="n">
        <v>17100</v>
      </c>
      <c r="AF20" s="49" t="n">
        <v>20952.78</v>
      </c>
      <c r="AG20" s="52" t="n">
        <v>11162.5</v>
      </c>
      <c r="AH20" s="53">
        <f>AF20-AG20</f>
        <v/>
      </c>
      <c r="AI20" s="54" t="n">
        <v>-20952.78</v>
      </c>
      <c r="AJ20" s="49" t="n">
        <v>21375</v>
      </c>
      <c r="AK20" s="49" t="n">
        <v>30922.5</v>
      </c>
      <c r="AL20" s="52" t="n">
        <v>16862.5</v>
      </c>
      <c r="AM20" s="53">
        <f>AK20-AL20</f>
        <v/>
      </c>
      <c r="AN20" s="54" t="n">
        <v>-30922.5</v>
      </c>
      <c r="AO20" s="49" t="n">
        <v>855</v>
      </c>
      <c r="AP20" s="49" t="n">
        <v>14060</v>
      </c>
      <c r="AQ20" s="52" t="n">
        <v>427.5</v>
      </c>
      <c r="AR20" s="53">
        <f>AP20-AQ20</f>
        <v/>
      </c>
      <c r="AS20" s="54" t="n">
        <v>-14060</v>
      </c>
      <c r="AT20" s="49" t="n">
        <v>0</v>
      </c>
      <c r="AU20" s="49" t="n">
        <v>13632.5</v>
      </c>
      <c r="AV20" s="52" t="n">
        <v>0</v>
      </c>
      <c r="AW20" s="53">
        <f>AU20-AV20</f>
        <v/>
      </c>
      <c r="AX20" s="54" t="n">
        <v>-13632.5</v>
      </c>
      <c r="AY20" s="49" t="n">
        <v>0</v>
      </c>
      <c r="AZ20" s="49" t="n">
        <v>13632.5</v>
      </c>
      <c r="BA20" s="52" t="n">
        <v>0</v>
      </c>
      <c r="BB20" s="53">
        <f>AZ20-BA20</f>
        <v/>
      </c>
      <c r="BC20" s="54" t="n">
        <v>0</v>
      </c>
      <c r="BD20" s="49" t="n">
        <v>0</v>
      </c>
      <c r="BE20" s="49" t="n">
        <v>0</v>
      </c>
      <c r="BF20" s="52" t="n">
        <v>0</v>
      </c>
      <c r="BG20" s="53">
        <f>BE20-BF20</f>
        <v/>
      </c>
      <c r="BH20" s="54" t="n">
        <v>0</v>
      </c>
      <c r="BI20" s="49" t="n">
        <v>0</v>
      </c>
      <c r="BJ20" s="49" t="n">
        <v>0</v>
      </c>
      <c r="BK20" s="52" t="n">
        <v>0</v>
      </c>
      <c r="BL20" s="53">
        <f>BJ20-BK20</f>
        <v/>
      </c>
      <c r="BM20" s="54" t="n">
        <v>0</v>
      </c>
      <c r="BN20" s="49" t="n">
        <v>0</v>
      </c>
      <c r="BO20" s="49" t="n">
        <v>0</v>
      </c>
      <c r="BP20" s="52" t="n">
        <v>0</v>
      </c>
      <c r="BQ20" s="53">
        <f>BO20-BP20</f>
        <v/>
      </c>
      <c r="BR20" s="51">
        <f>SUM(IF(M20&lt;&gt;"",M20,IF(L20&lt;&gt;"",L20,K20)),IF(R20&lt;&gt;"",R20,IF(Q20&lt;&gt;"",Q20,P20)),IF(W20&lt;&gt;"",W20,IF(V20&lt;&gt;"",V20,U20)),IF(AB20&lt;&gt;"",AB20,IF(AA20&lt;&gt;"",AA20,Z20)),IF(AG20&lt;&gt;"",AG20,IF(AF20&lt;&gt;"",AF20,AE20)),IF(AL20&lt;&gt;"",AL20,IF(AK20&lt;&gt;"",AK20,AJ20)),IF(AQ20&lt;&gt;"",AQ20,IF(AP20&lt;&gt;"",AP20,AO20)),IF(AV20&lt;&gt;"",AV20,IF(AU20&lt;&gt;"",AU20,AT20)),IF(BA20&lt;&gt;"",BA20,IF(AZ20&lt;&gt;"",AZ20,AY20)),IF(BF20&lt;&gt;"",BF20,IF(BE20&lt;&gt;"",BE20,BD20)),IF(BK20&lt;&gt;"",BK20,IF(BJ20&lt;&gt;"",BJ20,BI20)),IF(BP20&lt;&gt;"",BP20,IF(BO20&lt;&gt;"",BO20,BN20)))</f>
        <v/>
      </c>
      <c r="BS20" s="73" t="n"/>
      <c r="BT20" s="74" t="n"/>
    </row>
    <row r="21" customFormat="1" s="67">
      <c r="A21" s="47" t="n"/>
      <c r="B21" s="48" t="n"/>
      <c r="C21" s="72" t="n"/>
      <c r="D21" s="72" t="n"/>
      <c r="E21" s="48" t="n"/>
      <c r="F21" s="48" t="n"/>
      <c r="G21" s="49" t="n"/>
      <c r="H21" s="48" t="n"/>
      <c r="I21" s="50" t="n"/>
      <c r="J21" s="51" t="n"/>
      <c r="K21" s="49" t="n"/>
      <c r="L21" s="49" t="n"/>
      <c r="M21" s="52" t="n"/>
      <c r="N21" s="52">
        <f>L21-M21</f>
        <v/>
      </c>
      <c r="O21" s="51" t="n"/>
      <c r="P21" s="49" t="n"/>
      <c r="Q21" s="49" t="n"/>
      <c r="R21" s="52" t="n"/>
      <c r="S21" s="53">
        <f>Q21-R21</f>
        <v/>
      </c>
      <c r="T21" s="54" t="n"/>
      <c r="U21" s="49" t="n"/>
      <c r="V21" s="49" t="n"/>
      <c r="W21" s="52" t="n"/>
      <c r="X21" s="53">
        <f>V21-W21</f>
        <v/>
      </c>
      <c r="Y21" s="54" t="n"/>
      <c r="Z21" s="49" t="n"/>
      <c r="AA21" s="49" t="n"/>
      <c r="AB21" s="52" t="n"/>
      <c r="AC21" s="53">
        <f>AA21-AB21</f>
        <v/>
      </c>
      <c r="AD21" s="54" t="n"/>
      <c r="AE21" s="49" t="n"/>
      <c r="AF21" s="49" t="n"/>
      <c r="AG21" s="52" t="n"/>
      <c r="AH21" s="53">
        <f>AF21-AG21</f>
        <v/>
      </c>
      <c r="AI21" s="54" t="n"/>
      <c r="AJ21" s="49" t="n"/>
      <c r="AK21" s="49" t="n"/>
      <c r="AL21" s="52" t="n"/>
      <c r="AM21" s="53">
        <f>AK21-AL21</f>
        <v/>
      </c>
      <c r="AN21" s="54" t="n"/>
      <c r="AO21" s="49" t="n"/>
      <c r="AP21" s="49" t="n"/>
      <c r="AQ21" s="52" t="n"/>
      <c r="AR21" s="53">
        <f>AP21-AQ21</f>
        <v/>
      </c>
      <c r="AS21" s="54" t="n"/>
      <c r="AT21" s="49" t="n"/>
      <c r="AU21" s="49" t="n"/>
      <c r="AV21" s="52" t="n"/>
      <c r="AW21" s="53">
        <f>AU21-AV21</f>
        <v/>
      </c>
      <c r="AX21" s="54" t="n"/>
      <c r="AY21" s="49" t="n"/>
      <c r="AZ21" s="49" t="n"/>
      <c r="BA21" s="52" t="n"/>
      <c r="BB21" s="53">
        <f>AZ21-BA21</f>
        <v/>
      </c>
      <c r="BC21" s="54" t="n"/>
      <c r="BD21" s="49" t="n"/>
      <c r="BE21" s="49" t="n"/>
      <c r="BF21" s="52" t="n"/>
      <c r="BG21" s="53">
        <f>BE21-BF21</f>
        <v/>
      </c>
      <c r="BH21" s="54" t="n"/>
      <c r="BI21" s="49" t="n"/>
      <c r="BJ21" s="49" t="n"/>
      <c r="BK21" s="52" t="n"/>
      <c r="BL21" s="53">
        <f>BJ21-BK21</f>
        <v/>
      </c>
      <c r="BM21" s="54" t="n"/>
      <c r="BN21" s="49" t="n"/>
      <c r="BO21" s="49" t="n"/>
      <c r="BP21" s="52" t="n"/>
      <c r="BQ21" s="53">
        <f>BO21-BP21</f>
        <v/>
      </c>
      <c r="BR21" s="51">
        <f>SUM(IF(M21&lt;&gt;"",M21,IF(L21&lt;&gt;"",L21,K21)),IF(R21&lt;&gt;"",R21,IF(Q21&lt;&gt;"",Q21,P21)),IF(W21&lt;&gt;"",W21,IF(V21&lt;&gt;"",V21,U21)),IF(AB21&lt;&gt;"",AB21,IF(AA21&lt;&gt;"",AA21,Z21)),IF(AG21&lt;&gt;"",AG21,IF(AF21&lt;&gt;"",AF21,AE21)),IF(AL21&lt;&gt;"",AL21,IF(AK21&lt;&gt;"",AK21,AJ21)),IF(AQ21&lt;&gt;"",AQ21,IF(AP21&lt;&gt;"",AP21,AO21)),IF(AV21&lt;&gt;"",AV21,IF(AU21&lt;&gt;"",AU21,AT21)),IF(BA21&lt;&gt;"",BA21,IF(AZ21&lt;&gt;"",AZ21,AY21)),IF(BF21&lt;&gt;"",BF21,IF(BE21&lt;&gt;"",BE21,BD21)),IF(BK21&lt;&gt;"",BK21,IF(BJ21&lt;&gt;"",BJ21,BI21)),IF(BP21&lt;&gt;"",BP21,IF(BO21&lt;&gt;"",BO21,BN21)))</f>
        <v/>
      </c>
      <c r="BS21" s="73" t="n"/>
      <c r="BT21" s="74" t="n"/>
    </row>
    <row r="22" customFormat="1" s="87">
      <c r="A22" s="100" t="inlineStr">
        <is>
          <t>Previous Period Invoices</t>
        </is>
      </c>
      <c r="B22" s="101" t="n"/>
      <c r="C22" s="102" t="n"/>
      <c r="D22" s="102" t="n"/>
      <c r="E22" s="101" t="n"/>
      <c r="F22" s="101" t="n"/>
      <c r="G22" s="103" t="n"/>
      <c r="H22" s="101" t="n"/>
      <c r="I22" s="104" t="n"/>
      <c r="J22" s="105" t="n"/>
      <c r="K22" s="103" t="n"/>
      <c r="L22" s="103" t="n"/>
      <c r="M22" s="106" t="n"/>
      <c r="N22" s="106">
        <f>IF(OR(L21="",M21=""),"",L21-M21)</f>
        <v/>
      </c>
      <c r="O22" s="105" t="n"/>
      <c r="P22" s="103" t="n"/>
      <c r="Q22" s="103" t="n"/>
      <c r="R22" s="106" t="n"/>
      <c r="S22" s="107" t="n"/>
      <c r="T22" s="108" t="n"/>
      <c r="U22" s="103" t="n"/>
      <c r="V22" s="103" t="n"/>
      <c r="W22" s="106" t="n"/>
      <c r="X22" s="107" t="n"/>
      <c r="Y22" s="108" t="n"/>
      <c r="Z22" s="103" t="n"/>
      <c r="AA22" s="103" t="n"/>
      <c r="AB22" s="106" t="n"/>
      <c r="AC22" s="107">
        <f>IF(OR(AA21="",AB21=""),"",AA21-AB21)</f>
        <v/>
      </c>
      <c r="AD22" s="108" t="n"/>
      <c r="AE22" s="103" t="n"/>
      <c r="AF22" s="103" t="n"/>
      <c r="AG22" s="106" t="n"/>
      <c r="AH22" s="107">
        <f>IF(OR(AF21="",AG21=""),"",AF21-AG21)</f>
        <v/>
      </c>
      <c r="AI22" s="108" t="n"/>
      <c r="AJ22" s="103" t="n"/>
      <c r="AK22" s="103" t="n"/>
      <c r="AL22" s="106" t="n"/>
      <c r="AM22" s="107">
        <f>IF(OR(AK21="",AL21=""),"",AK21-AL21)</f>
        <v/>
      </c>
      <c r="AN22" s="108" t="n"/>
      <c r="AO22" s="103" t="n"/>
      <c r="AP22" s="103" t="n"/>
      <c r="AQ22" s="106" t="n"/>
      <c r="AR22" s="107">
        <f>IF(OR(AP21="",AQ21=""),"",AP21-AQ21)</f>
        <v/>
      </c>
      <c r="AS22" s="108" t="n"/>
      <c r="AT22" s="103" t="n"/>
      <c r="AU22" s="103" t="n"/>
      <c r="AV22" s="106" t="n"/>
      <c r="AW22" s="107">
        <f>IF(OR(AU21="",AV21=""),"",AU21-AV21)</f>
        <v/>
      </c>
      <c r="AX22" s="108" t="n"/>
      <c r="AY22" s="103" t="n"/>
      <c r="AZ22" s="103" t="n"/>
      <c r="BA22" s="106" t="n"/>
      <c r="BB22" s="107">
        <f>IF(OR(AZ21="",BA21=""),"",AZ21-BA21)</f>
        <v/>
      </c>
      <c r="BC22" s="108" t="n"/>
      <c r="BD22" s="103" t="n"/>
      <c r="BE22" s="103" t="n"/>
      <c r="BF22" s="106" t="n"/>
      <c r="BG22" s="107">
        <f>IF(OR(BE21="",BF21=""),"",BE21-BF21)</f>
        <v/>
      </c>
      <c r="BH22" s="108" t="n"/>
      <c r="BI22" s="103" t="n"/>
      <c r="BJ22" s="103" t="n"/>
      <c r="BK22" s="106" t="n"/>
      <c r="BL22" s="107">
        <f>IF(OR(BJ21="",BK21=""),"",BJ21-BK21)</f>
        <v/>
      </c>
      <c r="BM22" s="108" t="n"/>
      <c r="BN22" s="103" t="n"/>
      <c r="BO22" s="103" t="n"/>
      <c r="BP22" s="106" t="n"/>
      <c r="BQ22" s="107">
        <f>IF(OR(BO21="",BP21=""),"",BO21-BP21)</f>
        <v/>
      </c>
      <c r="BR22" s="105">
        <f>SUM(IF(M21&lt;&gt;"",M21,IF(L21&lt;&gt;"",L21,K21)),IF(R21&lt;&gt;"",R21,IF(Q21&lt;&gt;"",Q21,P21)),IF(W21&lt;&gt;"",W21,IF(V21&lt;&gt;"",V21,U21)),IF(AB21&lt;&gt;"",AB21,IF(AA21&lt;&gt;"",AA21,Z21)),IF(AG21&lt;&gt;"",AG21,IF(AF21&lt;&gt;"",AF21,AE21)),IF(AL21&lt;&gt;"",AL21,IF(AK21&lt;&gt;"",AK21,AJ21)),IF(AQ21&lt;&gt;"",AQ21,IF(AP21&lt;&gt;"",AP21,AO21)),IF(AV21&lt;&gt;"",AV21,IF(AU21&lt;&gt;"",AU21,AT21)),IF(BA21&lt;&gt;"",BA21,IF(AZ21&lt;&gt;"",AZ21,AY21)),IF(BF21&lt;&gt;"",BF21,IF(BE21&lt;&gt;"",BE21,BD21)),IF(BK21&lt;&gt;"",BK21,IF(BJ21&lt;&gt;"",BJ21,BI21)),IF(BP21&lt;&gt;"",BP21,IF(BO21&lt;&gt;"",BO21,BN21)))</f>
        <v/>
      </c>
      <c r="BS22" s="109" t="n"/>
      <c r="BT22" s="110" t="n"/>
    </row>
    <row r="23">
      <c r="A23" s="76" t="inlineStr">
        <is>
          <t>Contingency</t>
        </is>
      </c>
      <c r="B23" s="77" t="inlineStr">
        <is>
          <t>N/A</t>
        </is>
      </c>
      <c r="C23" s="78" t="n"/>
      <c r="D23" s="78" t="n"/>
      <c r="E23" s="77" t="n"/>
      <c r="F23" s="77" t="n"/>
      <c r="G23" s="77" t="n"/>
      <c r="H23" s="77" t="n"/>
      <c r="I23" s="79" t="n"/>
      <c r="J23" s="80" t="n"/>
      <c r="K23" s="81" t="n"/>
      <c r="L23" s="81" t="n"/>
      <c r="M23" s="82" t="n"/>
      <c r="N23" s="82">
        <f>IF(OR(L22="",M22=""),"",L22-M22)</f>
        <v/>
      </c>
      <c r="O23" s="80" t="n"/>
      <c r="P23" s="81" t="n"/>
      <c r="Q23" s="81" t="n"/>
      <c r="R23" s="82" t="n"/>
      <c r="S23" s="83">
        <f>IF(OR(Q22="",R22=""),"",Q22-R22)</f>
        <v/>
      </c>
      <c r="T23" s="84" t="n"/>
      <c r="U23" s="81" t="n"/>
      <c r="V23" s="81" t="n"/>
      <c r="W23" s="82" t="n"/>
      <c r="X23" s="83">
        <f>IF(OR(V22="",W22=""),"",V22-W22)</f>
        <v/>
      </c>
      <c r="Y23" s="84" t="n"/>
      <c r="Z23" s="81" t="n"/>
      <c r="AA23" s="81" t="n"/>
      <c r="AB23" s="82" t="n"/>
      <c r="AC23" s="83">
        <f>IF(OR(AA22="",AB22=""),"",AA22-AB22)</f>
        <v/>
      </c>
      <c r="AD23" s="84" t="n"/>
      <c r="AE23" s="81" t="n"/>
      <c r="AF23" s="81" t="n"/>
      <c r="AG23" s="82" t="n"/>
      <c r="AH23" s="83">
        <f>IF(OR(AF22="",AG22=""),"",AF22-AG22)</f>
        <v/>
      </c>
      <c r="AI23" s="84" t="n"/>
      <c r="AJ23" s="81" t="n"/>
      <c r="AK23" s="81" t="n"/>
      <c r="AL23" s="82" t="n"/>
      <c r="AM23" s="83">
        <f>IF(OR(AK22="",AL22=""),"",AK22-AL22)</f>
        <v/>
      </c>
      <c r="AN23" s="84" t="n"/>
      <c r="AO23" s="81" t="n"/>
      <c r="AP23" s="81" t="n"/>
      <c r="AQ23" s="82" t="n"/>
      <c r="AR23" s="83">
        <f>IF(OR(AP22="",AQ22=""),"",AP22-AQ22)</f>
        <v/>
      </c>
      <c r="AS23" s="84" t="n"/>
      <c r="AT23" s="81" t="n"/>
      <c r="AU23" s="81" t="n"/>
      <c r="AV23" s="82" t="n"/>
      <c r="AW23" s="83">
        <f>IF(OR(AU22="",AV22=""),"",AU22-AV22)</f>
        <v/>
      </c>
      <c r="AX23" s="84" t="n"/>
      <c r="AY23" s="81" t="n"/>
      <c r="AZ23" s="81" t="n"/>
      <c r="BA23" s="82" t="n"/>
      <c r="BB23" s="83">
        <f>IF(OR(AZ22="",BA22=""),"",AZ22-BA22)</f>
        <v/>
      </c>
      <c r="BC23" s="84" t="n"/>
      <c r="BD23" s="81" t="n"/>
      <c r="BE23" s="81" t="n"/>
      <c r="BF23" s="82" t="n"/>
      <c r="BG23" s="83">
        <f>IF(OR(BE22="",BF22=""),"",BE22-BF22)</f>
        <v/>
      </c>
      <c r="BH23" s="84" t="n"/>
      <c r="BI23" s="81" t="n"/>
      <c r="BJ23" s="81" t="n"/>
      <c r="BK23" s="82" t="n"/>
      <c r="BL23" s="83">
        <f>IF(OR(BJ22="",BK22=""),"",BJ22-BK22)</f>
        <v/>
      </c>
      <c r="BM23" s="84" t="n"/>
      <c r="BN23" s="81" t="n"/>
      <c r="BO23" s="81" t="n"/>
      <c r="BP23" s="82" t="n"/>
      <c r="BQ23" s="83">
        <f>IF(OR(BO22="",BP22=""),"",BO22-BP22)</f>
        <v/>
      </c>
      <c r="BR23" s="80">
        <f>SUM(IF(M22&lt;&gt;"",M22,IF(L22&lt;&gt;"",L22,K22)),IF(R22&lt;&gt;"",R22,IF(Q22&lt;&gt;"",Q22,P22)),IF(W22&lt;&gt;"",W22,IF(V22&lt;&gt;"",V22,U22)),IF(AB22&lt;&gt;"",AB22,IF(AA22&lt;&gt;"",AA22,Z22)),IF(AG22&lt;&gt;"",AG22,IF(AF22&lt;&gt;"",AF22,AE22)),IF(AL22&lt;&gt;"",AL22,IF(AK22&lt;&gt;"",AK22,AJ22)),IF(AQ22&lt;&gt;"",AQ22,IF(AP22&lt;&gt;"",AP22,AO22)),IF(AV22&lt;&gt;"",AV22,IF(AU22&lt;&gt;"",AU22,AT22)),IF(BA22&lt;&gt;"",BA22,IF(AZ22&lt;&gt;"",AZ22,AY22)),IF(BF22&lt;&gt;"",BF22,IF(BE22&lt;&gt;"",BE22,BD22)),IF(BK22&lt;&gt;"",BK22,IF(BJ22&lt;&gt;"",BJ22,BI22)),IF(BP22&lt;&gt;"",BP22,IF(BO22&lt;&gt;"",BO22,BN22)))</f>
        <v/>
      </c>
      <c r="BS23" s="85" t="n"/>
      <c r="BT23" s="86" t="n"/>
    </row>
    <row r="24" ht="15.75" customHeight="1" thickBot="1">
      <c r="A24" s="88" t="n"/>
      <c r="B24" s="89" t="n"/>
      <c r="C24" s="90" t="n"/>
      <c r="D24" s="90" t="n"/>
      <c r="E24" s="89" t="n"/>
      <c r="F24" s="89" t="n"/>
      <c r="G24" s="89" t="n"/>
      <c r="H24" s="89" t="n"/>
      <c r="I24" s="91" t="n"/>
      <c r="J24" s="92" t="n"/>
      <c r="K24" s="93" t="n"/>
      <c r="L24" s="93" t="n"/>
      <c r="M24" s="52" t="n"/>
      <c r="N24" s="52">
        <f>IF(OR(L23="",M23=""),"",L23-M23)</f>
        <v/>
      </c>
      <c r="O24" s="92" t="n"/>
      <c r="P24" s="93" t="n"/>
      <c r="Q24" s="93" t="n"/>
      <c r="R24" s="52" t="n"/>
      <c r="S24" s="53">
        <f>IF(OR(Q23="",R23=""),"",Q23-R23)</f>
        <v/>
      </c>
      <c r="T24" s="58" t="n"/>
      <c r="U24" s="93" t="n"/>
      <c r="V24" s="93" t="n"/>
      <c r="W24" s="52" t="n"/>
      <c r="X24" s="53">
        <f>IF(OR(V23="",W23=""),"",V23-W23)</f>
        <v/>
      </c>
      <c r="Y24" s="58" t="n"/>
      <c r="Z24" s="93" t="n"/>
      <c r="AA24" s="93" t="n"/>
      <c r="AB24" s="52" t="n"/>
      <c r="AC24" s="53">
        <f>IF(OR(AA23="",AB23=""),"",AA23-AB23)</f>
        <v/>
      </c>
      <c r="AD24" s="58" t="n"/>
      <c r="AE24" s="93" t="n"/>
      <c r="AF24" s="93" t="n"/>
      <c r="AG24" s="52" t="n"/>
      <c r="AH24" s="53">
        <f>IF(OR(AF23="",AG23=""),"",AF23-AG23)</f>
        <v/>
      </c>
      <c r="AI24" s="58" t="n"/>
      <c r="AJ24" s="93" t="n"/>
      <c r="AK24" s="93" t="n"/>
      <c r="AL24" s="52" t="n"/>
      <c r="AM24" s="53">
        <f>IF(OR(AK23="",AL23=""),"",AK23-AL23)</f>
        <v/>
      </c>
      <c r="AN24" s="58" t="n"/>
      <c r="AO24" s="93" t="n"/>
      <c r="AP24" s="93" t="n"/>
      <c r="AQ24" s="52" t="n"/>
      <c r="AR24" s="53">
        <f>IF(OR(AP23="",AQ23=""),"",AP23-AQ23)</f>
        <v/>
      </c>
      <c r="AS24" s="58" t="n"/>
      <c r="AT24" s="93" t="n"/>
      <c r="AU24" s="93" t="n"/>
      <c r="AV24" s="52" t="n"/>
      <c r="AW24" s="53">
        <f>IF(OR(AU23="",AV23=""),"",AU23-AV23)</f>
        <v/>
      </c>
      <c r="AX24" s="58" t="n"/>
      <c r="AY24" s="93" t="n"/>
      <c r="AZ24" s="93" t="n"/>
      <c r="BA24" s="52" t="n"/>
      <c r="BB24" s="53">
        <f>IF(OR(AZ23="",BA23=""),"",AZ23-BA23)</f>
        <v/>
      </c>
      <c r="BC24" s="58" t="n"/>
      <c r="BD24" s="93" t="n"/>
      <c r="BE24" s="93" t="n"/>
      <c r="BF24" s="52" t="n"/>
      <c r="BG24" s="53">
        <f>IF(OR(BE23="",BF23=""),"",BE23-BF23)</f>
        <v/>
      </c>
      <c r="BH24" s="58" t="n"/>
      <c r="BI24" s="93" t="n"/>
      <c r="BJ24" s="93" t="n"/>
      <c r="BK24" s="52" t="n"/>
      <c r="BL24" s="53">
        <f>IF(OR(BJ23="",BK23=""),"",BJ23-BK23)</f>
        <v/>
      </c>
      <c r="BM24" s="58" t="n"/>
      <c r="BN24" s="93" t="n"/>
      <c r="BO24" s="93" t="n"/>
      <c r="BP24" s="52" t="n"/>
      <c r="BQ24" s="53">
        <f>IF(OR(BO23="",BP23=""),"",BO23-BP23)</f>
        <v/>
      </c>
      <c r="BR24" s="51">
        <f>SUM(IF(M23&lt;&gt;"",M23,IF(L23&lt;&gt;"",L23,K23)),IF(R23&lt;&gt;"",R23,IF(Q23&lt;&gt;"",Q23,P23)),IF(W23&lt;&gt;"",W23,IF(V23&lt;&gt;"",V23,U23)),IF(AB23&lt;&gt;"",AB23,IF(AA23&lt;&gt;"",AA23,Z23)),IF(AG23&lt;&gt;"",AG23,IF(AF23&lt;&gt;"",AF23,AE23)),IF(AL23&lt;&gt;"",AL23,IF(AK23&lt;&gt;"",AK23,AJ23)),IF(AQ23&lt;&gt;"",AQ23,IF(AP23&lt;&gt;"",AP23,AO23)),IF(AV23&lt;&gt;"",AV23,IF(AU23&lt;&gt;"",AU23,AT23)),IF(BA23&lt;&gt;"",BA23,IF(AZ23&lt;&gt;"",AZ23,AY23)),IF(BF23&lt;&gt;"",BF23,IF(BE23&lt;&gt;"",BE23,BD23)),IF(BK23&lt;&gt;"",BK23,IF(BJ23&lt;&gt;"",BJ23,BI23)),IF(BP23&lt;&gt;"",BP23,IF(BO23&lt;&gt;"",BO23,BN23)))</f>
        <v/>
      </c>
      <c r="BS24" s="94" t="n"/>
      <c r="BT24" s="95" t="n"/>
    </row>
    <row r="25">
      <c r="A25" s="59" t="inlineStr">
        <is>
          <t>Contingency</t>
        </is>
      </c>
      <c r="B25" s="60" t="inlineStr">
        <is>
          <t>N/A</t>
        </is>
      </c>
      <c r="C25" s="96" t="n"/>
      <c r="D25" s="96" t="n"/>
      <c r="E25" s="60" t="inlineStr">
        <is>
          <t>N/A</t>
        </is>
      </c>
      <c r="F25" s="60" t="n"/>
      <c r="G25" s="60" t="n"/>
      <c r="H25" s="60" t="n"/>
      <c r="I25" s="61" t="n"/>
      <c r="J25" s="66" t="n"/>
      <c r="K25" s="62" t="n"/>
      <c r="L25" s="62" t="n"/>
      <c r="M25" s="63">
        <f>IF((MONTH(TODAY()) + 2)&lt;=1,($BS$13-$BR$13)/(12-(MONTH(TODAY()) + 1)),0)</f>
        <v/>
      </c>
      <c r="N25" s="97">
        <f>IF(OR(L24="",M24=""),"",L24-M24)</f>
        <v/>
      </c>
      <c r="O25" s="66" t="n"/>
      <c r="P25" s="62" t="n"/>
      <c r="Q25" s="62" t="n"/>
      <c r="R25" s="63">
        <f>IF((MONTH(TODAY()) + 2)&lt;=2,($BS$13-$BR$13)/(12-(MONTH(TODAY()) + 1)),0)</f>
        <v/>
      </c>
      <c r="S25" s="64" t="n"/>
      <c r="T25" s="65" t="n"/>
      <c r="U25" s="62" t="n"/>
      <c r="V25" s="62" t="n"/>
      <c r="W25" s="63">
        <f>IF((MONTH(TODAY()) + 2)&lt;=3,($BS$13-$BR$13)/(12-(MONTH(TODAY()) + 1)),0)</f>
        <v/>
      </c>
      <c r="X25" s="64" t="n"/>
      <c r="Y25" s="65" t="n"/>
      <c r="Z25" s="62" t="n"/>
      <c r="AA25" s="62" t="n"/>
      <c r="AB25" s="63">
        <f>IF((MONTH(TODAY()) + 2)&lt;=4,($BS$13-$BR$13)/(12-(MONTH(TODAY()) + 1)),0)</f>
        <v/>
      </c>
      <c r="AC25" s="64" t="n"/>
      <c r="AD25" s="65" t="n"/>
      <c r="AE25" s="62" t="n"/>
      <c r="AF25" s="62" t="n"/>
      <c r="AG25" s="63">
        <f>IF((MONTH(TODAY()) + 2)&lt;=5,($BS$13-$BR$13)/(12-(MONTH(TODAY()) + 1)),0)</f>
        <v/>
      </c>
      <c r="AH25" s="64" t="n"/>
      <c r="AI25" s="65" t="n"/>
      <c r="AJ25" s="62" t="n"/>
      <c r="AK25" s="62" t="n"/>
      <c r="AL25" s="63">
        <f>IF((MONTH(TODAY()) + 2)&lt;=6,($BS$13-$BR$13)/(12-(MONTH(TODAY()) + 1)),0)</f>
        <v/>
      </c>
      <c r="AM25" s="64" t="n"/>
      <c r="AN25" s="65" t="n"/>
      <c r="AO25" s="62" t="n"/>
      <c r="AP25" s="62" t="n"/>
      <c r="AQ25" s="63">
        <f>IF((MONTH(TODAY()) + 2)&lt;=7,($BS$13-$BR$13)/(12-(MONTH(TODAY()) + 1)),0)</f>
        <v/>
      </c>
      <c r="AR25" s="64" t="n"/>
      <c r="AS25" s="65" t="n"/>
      <c r="AT25" s="62" t="n"/>
      <c r="AU25" s="62" t="n"/>
      <c r="AV25" s="63">
        <f>IF((MONTH(TODAY()) + 2)&lt;=8,($BS$13-$BR$13)/(12-(MONTH(TODAY()) + 1)),0)</f>
        <v/>
      </c>
      <c r="AW25" s="64" t="n"/>
      <c r="AX25" s="65" t="n"/>
      <c r="AY25" s="62" t="n"/>
      <c r="AZ25" s="62" t="n"/>
      <c r="BA25" s="63">
        <f>IF((MONTH(TODAY()) + 2)&lt;=9,($BS$13-$BR$13)/(12-(MONTH(TODAY()) + 1)),0)</f>
        <v/>
      </c>
      <c r="BB25" s="64" t="n"/>
      <c r="BC25" s="65" t="n"/>
      <c r="BD25" s="62" t="n"/>
      <c r="BE25" s="62" t="n"/>
      <c r="BF25" s="63">
        <f>IF((MONTH(TODAY()) + 2)&lt;=10,($BS$13-$BR$13)/(12-(MONTH(TODAY()) + 1)),0)</f>
        <v/>
      </c>
      <c r="BG25" s="64" t="n"/>
      <c r="BH25" s="65" t="n"/>
      <c r="BI25" s="62" t="n"/>
      <c r="BJ25" s="62" t="n"/>
      <c r="BK25" s="63">
        <f>IF((MONTH(TODAY()) + 2)&lt;=11,($BS$13-$BR$13)/(12-(MONTH(TODAY()) + 1)),IF(MONTH(TODAY())=11,($BS$13-$BR$13)/2,0))</f>
        <v/>
      </c>
      <c r="BL25" s="64" t="n"/>
      <c r="BM25" s="65" t="n"/>
      <c r="BN25" s="62" t="n"/>
      <c r="BO25" s="62" t="n"/>
      <c r="BP25" s="63">
        <f>IF((MONTH(TODAY()) + 2)&lt;12,($BS$13-$BR$13)/(12-(MONTH(TODAY())+ 1)),IF(MONTH(TODAY())=11,($BS$13-$BR$13)/2,IF(OR(MONTH(TODAY())=10,MONTH(TODAY())=12),($BS$13-$BR$13),0)))</f>
        <v/>
      </c>
      <c r="BQ25" s="64" t="n"/>
      <c r="BR25" s="66">
        <f>SUM(IF(M24&lt;&gt;"",M24,IF(L24&lt;&gt;"",L24,K24)),IF(R24&lt;&gt;"",R24,IF(Q24&lt;&gt;"",Q24,P24)),IF(W24&lt;&gt;"",W24,IF(V24&lt;&gt;"",V24,U24)),IF(AB24&lt;&gt;"",AB24,IF(AA24&lt;&gt;"",AA24,Z24)),IF(AG24&lt;&gt;"",AG24,IF(AF24&lt;&gt;"",AF24,AE24)),IF(AL24&lt;&gt;"",AL24,IF(AK24&lt;&gt;"",AK24,AJ24)),IF(AQ24&lt;&gt;"",AQ24,IF(AP24&lt;&gt;"",AP24,AO24)),IF(AV24&lt;&gt;"",AV24,IF(AU24&lt;&gt;"",AU24,AT24)),IF(BA24&lt;&gt;"",BA24,IF(AZ24&lt;&gt;"",AZ24,AY24)),IF(BF24&lt;&gt;"",BF24,IF(BE24&lt;&gt;"",BE24,BD24)),IF(BK24&lt;&gt;"",BK24,IF(BJ24&lt;&gt;"",BJ24,BI24)),IF(BP24&lt;&gt;"",BP24,IF(BO24&lt;&gt;"",BO24,BN24)))</f>
        <v/>
      </c>
      <c r="BS25" s="98" t="n"/>
      <c r="BT25" s="99" t="n"/>
    </row>
    <row r="26">
      <c r="A26" t="inlineStr">
        <is>
          <t>EXPENSE END</t>
        </is>
      </c>
      <c r="W26" s="19" t="n"/>
    </row>
  </sheetData>
  <mergeCells count="39">
    <mergeCell ref="AD12:AH12"/>
    <mergeCell ref="AI13:AM13"/>
    <mergeCell ref="BM12:BQ12"/>
    <mergeCell ref="BC11:BG11"/>
    <mergeCell ref="J13:N13"/>
    <mergeCell ref="BM11:BQ11"/>
    <mergeCell ref="BH11:BL11"/>
    <mergeCell ref="AD13:AH13"/>
    <mergeCell ref="Y11:AC11"/>
    <mergeCell ref="BH12:BL12"/>
    <mergeCell ref="AS12:AW12"/>
    <mergeCell ref="AX11:BB11"/>
    <mergeCell ref="AI11:AM11"/>
    <mergeCell ref="BM13:BQ13"/>
    <mergeCell ref="H11:I11"/>
    <mergeCell ref="T12:X12"/>
    <mergeCell ref="AX13:BB13"/>
    <mergeCell ref="BC12:BG12"/>
    <mergeCell ref="J11:N11"/>
    <mergeCell ref="AN12:AR12"/>
    <mergeCell ref="AS11:AW11"/>
    <mergeCell ref="T11:X11"/>
    <mergeCell ref="AD11:AH11"/>
    <mergeCell ref="AX12:BB12"/>
    <mergeCell ref="AN11:AR11"/>
    <mergeCell ref="Y13:AC13"/>
    <mergeCell ref="H13:I13"/>
    <mergeCell ref="Y12:AC12"/>
    <mergeCell ref="BH13:BL13"/>
    <mergeCell ref="O12:S12"/>
    <mergeCell ref="H12:I12"/>
    <mergeCell ref="BC13:BG13"/>
    <mergeCell ref="AS13:AW13"/>
    <mergeCell ref="T13:X13"/>
    <mergeCell ref="AI12:AM12"/>
    <mergeCell ref="J12:N12"/>
    <mergeCell ref="O11:S11"/>
    <mergeCell ref="O13:S13"/>
    <mergeCell ref="AN13:AR13"/>
  </mergeCells>
  <conditionalFormatting sqref="M15:M23 R15:R23 W15:W23 AB15:AB23 AG15:AG23 AL15:AL23 AQ15:AQ23 AV15:AV23 BA15:BA23 BF15:BF23 BK15:BK23 BP15:BP23">
    <cfRule type="expression" priority="8" dxfId="6">
      <formula>IF(AND(L15&gt;0,M15=0),TRUE,FALSE)</formula>
    </cfRule>
  </conditionalFormatting>
  <conditionalFormatting sqref="R15:T23 X15:Y23 AC15:AD23 AH15:AI23 AM15:AN23 AR15:AS23 AW15:AX23 BB15:BC23 BG15:BH23 BL15:BM23 BP10 BQ15:BQ23">
    <cfRule type="expression" priority="9" dxfId="6">
      <formula>IF(AND(Q10&lt;&gt;"",R10="",TODAY()&gt;DATE(YEAR(TODAY()),MONTH(DATEVALUE("1-"&amp;LEFT(#REF!,3)&amp;"-1900")),20)),TRUE,FALSE)</formula>
    </cfRule>
  </conditionalFormatting>
  <conditionalFormatting sqref="BR15">
    <cfRule type="cellIs" priority="6" operator="greaterThan" dxfId="0">
      <formula>90%*$G$15</formula>
    </cfRule>
  </conditionalFormatting>
  <conditionalFormatting sqref="BR16">
    <cfRule type="cellIs" priority="5" operator="greaterThan" dxfId="0">
      <formula>90%*$G$16</formula>
    </cfRule>
  </conditionalFormatting>
  <conditionalFormatting sqref="BR17">
    <cfRule type="cellIs" priority="4" operator="greaterThan" dxfId="0">
      <formula>90%*$G$17</formula>
    </cfRule>
  </conditionalFormatting>
  <conditionalFormatting sqref="BR18">
    <cfRule type="cellIs" priority="3" operator="greaterThan" dxfId="0">
      <formula>90%*$G$18</formula>
    </cfRule>
  </conditionalFormatting>
  <conditionalFormatting sqref="BR19">
    <cfRule type="cellIs" priority="2" operator="greaterThan" dxfId="0">
      <formula>90%*$G$19</formula>
    </cfRule>
  </conditionalFormatting>
  <conditionalFormatting sqref="BS11:BS12">
    <cfRule type="expression" priority="7" dxfId="0">
      <formula>IF(BS11&lt;0,TRUE,FALSE)</formula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Ali, Michael</dc:creator>
  <dcterms:created xsi:type="dcterms:W3CDTF">2024-04-15T21:07:03Z</dcterms:created>
  <dcterms:modified xsi:type="dcterms:W3CDTF">2026-01-28T20:07:39Z</dcterms:modified>
  <cp:lastModifiedBy>Hovey, Owen (Contractor)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4791b42f-c435-42ca-9531-75a3f42aae3d_Enabled" fmtid="{D5CDD505-2E9C-101B-9397-08002B2CF9AE}" pid="2">
    <vt:lpwstr>true</vt:lpwstr>
  </property>
  <property name="MSIP_Label_4791b42f-c435-42ca-9531-75a3f42aae3d_SetDate" fmtid="{D5CDD505-2E9C-101B-9397-08002B2CF9AE}" pid="3">
    <vt:lpwstr>2024-04-15T21:09:09Z</vt:lpwstr>
  </property>
  <property name="MSIP_Label_4791b42f-c435-42ca-9531-75a3f42aae3d_Method" fmtid="{D5CDD505-2E9C-101B-9397-08002B2CF9AE}" pid="4">
    <vt:lpwstr>Privileged</vt:lpwstr>
  </property>
  <property name="MSIP_Label_4791b42f-c435-42ca-9531-75a3f42aae3d_Name" fmtid="{D5CDD505-2E9C-101B-9397-08002B2CF9AE}" pid="5">
    <vt:lpwstr>4791b42f-c435-42ca-9531-75a3f42aae3d</vt:lpwstr>
  </property>
  <property name="MSIP_Label_4791b42f-c435-42ca-9531-75a3f42aae3d_SiteId" fmtid="{D5CDD505-2E9C-101B-9397-08002B2CF9AE}" pid="6">
    <vt:lpwstr>7a916015-20ae-4ad1-9170-eefd915e9272</vt:lpwstr>
  </property>
  <property name="MSIP_Label_4791b42f-c435-42ca-9531-75a3f42aae3d_ActionId" fmtid="{D5CDD505-2E9C-101B-9397-08002B2CF9AE}" pid="7">
    <vt:lpwstr>a5adbada-ee90-4aa5-b622-c8c00884043c</vt:lpwstr>
  </property>
  <property name="MSIP_Label_4791b42f-c435-42ca-9531-75a3f42aae3d_ContentBits" fmtid="{D5CDD505-2E9C-101B-9397-08002B2CF9AE}" pid="8">
    <vt:lpwstr>0</vt:lpwstr>
  </property>
  <property name="ContentTypeId" fmtid="{D5CDD505-2E9C-101B-9397-08002B2CF9AE}" pid="9">
    <vt:lpwstr>0x0101002B3B1E9AF76D8540A21B723585178CF2</vt:lpwstr>
  </property>
</Properties>
</file>