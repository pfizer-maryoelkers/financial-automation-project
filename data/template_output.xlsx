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fizer-my.sharepoint.com/personal/hoveyo_pfizer_com/Documents/financial-automation-project/data/"/>
    </mc:Choice>
  </mc:AlternateContent>
  <xr:revisionPtr revIDLastSave="13" documentId="11_62D044EBE908D790F21FCBFA54670B665EA485C3" xr6:coauthVersionLast="47" xr6:coauthVersionMax="47" xr10:uidLastSave="{AFE125CF-4105-441A-A503-EDDF4ABF670E}"/>
  <bookViews>
    <workbookView xWindow="-120" yWindow="-120" windowWidth="23280" windowHeight="12480" tabRatio="590" xr2:uid="{00000000-000D-0000-FFFF-FFFF00000000}"/>
  </bookViews>
  <sheets>
    <sheet name="Template" sheetId="1" r:id="rId1"/>
    <sheet name="Forecast Source Data" sheetId="2" r:id="rId2"/>
    <sheet name="Transactions Source Data" sheetId="3" r:id="rId3"/>
  </sheets>
  <definedNames>
    <definedName name="_xlnm._FilterDatabase" localSheetId="1" hidden="1">'Forecast Source Data'!$A$1:$AM$12</definedName>
    <definedName name="_xlnm._FilterDatabase" localSheetId="2" hidden="1">'Transactions Source Data'!$A$1:$AA$106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2" i="2" l="1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Q12" i="2"/>
  <c r="P12" i="2"/>
  <c r="O12" i="2"/>
  <c r="BR26" i="1"/>
  <c r="R26" i="1"/>
  <c r="N26" i="1"/>
  <c r="M26" i="1"/>
  <c r="BR25" i="1"/>
  <c r="BQ25" i="1"/>
  <c r="BL25" i="1"/>
  <c r="BG25" i="1"/>
  <c r="BB25" i="1"/>
  <c r="AW25" i="1"/>
  <c r="AR25" i="1"/>
  <c r="AM25" i="1"/>
  <c r="AH25" i="1"/>
  <c r="AC25" i="1"/>
  <c r="X25" i="1"/>
  <c r="S25" i="1"/>
  <c r="N25" i="1"/>
  <c r="BR24" i="1"/>
  <c r="BQ24" i="1"/>
  <c r="BL24" i="1"/>
  <c r="BG24" i="1"/>
  <c r="BB24" i="1"/>
  <c r="AW24" i="1"/>
  <c r="AR24" i="1"/>
  <c r="AM24" i="1"/>
  <c r="AH24" i="1"/>
  <c r="AC24" i="1"/>
  <c r="X24" i="1"/>
  <c r="S24" i="1"/>
  <c r="N24" i="1"/>
  <c r="BR23" i="1"/>
  <c r="BQ23" i="1"/>
  <c r="BL23" i="1"/>
  <c r="BG23" i="1"/>
  <c r="BB23" i="1"/>
  <c r="AW23" i="1"/>
  <c r="AR23" i="1"/>
  <c r="AM23" i="1"/>
  <c r="AH23" i="1"/>
  <c r="AC23" i="1"/>
  <c r="N23" i="1"/>
  <c r="BR21" i="1"/>
  <c r="BQ21" i="1"/>
  <c r="BL21" i="1"/>
  <c r="BG21" i="1"/>
  <c r="BB21" i="1"/>
  <c r="AW21" i="1"/>
  <c r="AR21" i="1"/>
  <c r="AM21" i="1"/>
  <c r="AH21" i="1"/>
  <c r="AC21" i="1"/>
  <c r="X21" i="1"/>
  <c r="S21" i="1"/>
  <c r="N21" i="1"/>
  <c r="BR20" i="1"/>
  <c r="BQ20" i="1"/>
  <c r="BL20" i="1"/>
  <c r="BG20" i="1"/>
  <c r="BB20" i="1"/>
  <c r="AW20" i="1"/>
  <c r="AR20" i="1"/>
  <c r="AM20" i="1"/>
  <c r="AH20" i="1"/>
  <c r="AC20" i="1"/>
  <c r="X20" i="1"/>
  <c r="S20" i="1"/>
  <c r="N20" i="1"/>
  <c r="BR19" i="1"/>
  <c r="BQ19" i="1"/>
  <c r="BL19" i="1"/>
  <c r="BG19" i="1"/>
  <c r="BB19" i="1"/>
  <c r="AW19" i="1"/>
  <c r="AR19" i="1"/>
  <c r="AM19" i="1"/>
  <c r="AH19" i="1"/>
  <c r="AC19" i="1"/>
  <c r="X19" i="1"/>
  <c r="S19" i="1"/>
  <c r="N19" i="1"/>
  <c r="BR18" i="1"/>
  <c r="BQ18" i="1"/>
  <c r="BL18" i="1"/>
  <c r="BG18" i="1"/>
  <c r="BB18" i="1"/>
  <c r="AW18" i="1"/>
  <c r="AR18" i="1"/>
  <c r="AM18" i="1"/>
  <c r="AH18" i="1"/>
  <c r="AC18" i="1"/>
  <c r="X18" i="1"/>
  <c r="S18" i="1"/>
  <c r="N18" i="1"/>
  <c r="BR17" i="1"/>
  <c r="BQ17" i="1"/>
  <c r="BL17" i="1"/>
  <c r="BG17" i="1"/>
  <c r="BC11" i="1" s="1" a="1"/>
  <c r="BC11" i="1" s="1"/>
  <c r="BB17" i="1"/>
  <c r="AW17" i="1"/>
  <c r="AR17" i="1"/>
  <c r="AM17" i="1"/>
  <c r="AI11" i="1" s="1" a="1"/>
  <c r="AI11" i="1" s="1"/>
  <c r="AH17" i="1"/>
  <c r="AC17" i="1"/>
  <c r="X17" i="1"/>
  <c r="S17" i="1"/>
  <c r="O11" i="1" s="1" a="1"/>
  <c r="O11" i="1" s="1"/>
  <c r="N17" i="1"/>
  <c r="BR16" i="1"/>
  <c r="BQ16" i="1"/>
  <c r="BL16" i="1"/>
  <c r="BG16" i="1"/>
  <c r="BB16" i="1"/>
  <c r="AW16" i="1"/>
  <c r="AR16" i="1"/>
  <c r="AM16" i="1"/>
  <c r="AH16" i="1"/>
  <c r="AC16" i="1"/>
  <c r="X16" i="1"/>
  <c r="S16" i="1"/>
  <c r="N16" i="1"/>
  <c r="BR15" i="1"/>
  <c r="BQ15" i="1"/>
  <c r="BM11" i="1" s="1" a="1"/>
  <c r="BM11" i="1" s="1"/>
  <c r="BL15" i="1"/>
  <c r="BG15" i="1"/>
  <c r="BB15" i="1"/>
  <c r="AW15" i="1"/>
  <c r="AS11" i="1" s="1" a="1"/>
  <c r="AS11" i="1" s="1"/>
  <c r="AR15" i="1"/>
  <c r="AM15" i="1"/>
  <c r="AH15" i="1"/>
  <c r="AC15" i="1"/>
  <c r="Y11" i="1" s="1" a="1"/>
  <c r="Y11" i="1" s="1"/>
  <c r="X15" i="1"/>
  <c r="S15" i="1"/>
  <c r="N15" i="1"/>
  <c r="BR13" i="1"/>
  <c r="BF26" i="1" s="1"/>
  <c r="BM12" i="1" a="1"/>
  <c r="BM12" i="1"/>
  <c r="BH12" i="1" a="1"/>
  <c r="BH12" i="1"/>
  <c r="BC12" i="1" a="1"/>
  <c r="BC12" i="1"/>
  <c r="AX12" i="1" a="1"/>
  <c r="AX12" i="1"/>
  <c r="AS12" i="1" a="1"/>
  <c r="AS12" i="1"/>
  <c r="AN12" i="1" a="1"/>
  <c r="AN12" i="1"/>
  <c r="F11" i="1" s="1"/>
  <c r="F12" i="1" s="1"/>
  <c r="AI12" i="1" a="1"/>
  <c r="AI12" i="1"/>
  <c r="AD12" i="1" a="1"/>
  <c r="AD12" i="1"/>
  <c r="Y12" i="1" a="1"/>
  <c r="Y12" i="1"/>
  <c r="T12" i="1" a="1"/>
  <c r="T12" i="1"/>
  <c r="O12" i="1" a="1"/>
  <c r="O12" i="1"/>
  <c r="J12" i="1" a="1"/>
  <c r="J12" i="1"/>
  <c r="B11" i="1" s="1"/>
  <c r="B12" i="1" s="1"/>
  <c r="BH11" i="1" a="1"/>
  <c r="BH11" i="1" s="1"/>
  <c r="AX11" i="1" a="1"/>
  <c r="AX11" i="1" s="1"/>
  <c r="AN11" i="1" a="1"/>
  <c r="AN11" i="1" s="1"/>
  <c r="AD11" i="1" a="1"/>
  <c r="AD11" i="1" s="1"/>
  <c r="T11" i="1" a="1"/>
  <c r="T11" i="1" s="1"/>
  <c r="J11" i="1" a="1"/>
  <c r="J11" i="1" s="1"/>
  <c r="E6" i="1"/>
  <c r="F3" i="1"/>
  <c r="G11" i="1" l="1"/>
  <c r="G12" i="1" s="1"/>
  <c r="E11" i="1"/>
  <c r="E12" i="1" s="1"/>
  <c r="BK26" i="1"/>
  <c r="B9" i="1"/>
  <c r="B10" i="1" s="1"/>
  <c r="AB26" i="1"/>
  <c r="AV26" i="1"/>
  <c r="BP26" i="1"/>
  <c r="AQ26" i="1"/>
  <c r="AG26" i="1"/>
  <c r="BA26" i="1"/>
  <c r="W26" i="1"/>
  <c r="BS11" i="1"/>
  <c r="AL26" i="1"/>
</calcChain>
</file>

<file path=xl/sharedStrings.xml><?xml version="1.0" encoding="utf-8"?>
<sst xmlns="http://schemas.openxmlformats.org/spreadsheetml/2006/main" count="1500" uniqueCount="258">
  <si>
    <t xml:space="preserve">Overall Capital </t>
  </si>
  <si>
    <t>N/A</t>
  </si>
  <si>
    <t>Overall Expense</t>
  </si>
  <si>
    <t>WBS code</t>
  </si>
  <si>
    <t xml:space="preserve">P3 ID </t>
  </si>
  <si>
    <t>[Put P3 ID here]</t>
  </si>
  <si>
    <t>Type of Spend</t>
  </si>
  <si>
    <t>Total Variance Expense</t>
  </si>
  <si>
    <t>S1</t>
  </si>
  <si>
    <t>S2</t>
  </si>
  <si>
    <t>Total</t>
  </si>
  <si>
    <t>Variance Percentage</t>
  </si>
  <si>
    <t>Budget</t>
  </si>
  <si>
    <t>Contingency:</t>
  </si>
  <si>
    <t>Total Actuals To Date</t>
  </si>
  <si>
    <t>Actuals</t>
  </si>
  <si>
    <t xml:space="preserve">P3 Actuals: </t>
  </si>
  <si>
    <t>Total:</t>
  </si>
  <si>
    <t xml:space="preserve">Remaining Spend </t>
  </si>
  <si>
    <t>Variance</t>
  </si>
  <si>
    <t xml:space="preserve">Forecast Spreadsheet Actuals: </t>
  </si>
  <si>
    <t>EXPENSE</t>
  </si>
  <si>
    <t xml:space="preserve">Month: </t>
  </si>
  <si>
    <t>Contact for PO/ER</t>
  </si>
  <si>
    <t>PO Number/
ER Number</t>
  </si>
  <si>
    <t>PO Start Date</t>
  </si>
  <si>
    <t>PO end date</t>
  </si>
  <si>
    <t>Vendor Name</t>
  </si>
  <si>
    <t>G/L Account</t>
  </si>
  <si>
    <t>Gross PO Value  (USD)</t>
  </si>
  <si>
    <t>Requisition 
Title</t>
  </si>
  <si>
    <t>PO Status</t>
  </si>
  <si>
    <t>Accrual Reversal Dec</t>
  </si>
  <si>
    <t>Forecast Jan</t>
  </si>
  <si>
    <t>Accrual Jan</t>
  </si>
  <si>
    <t>Actual   Jan</t>
  </si>
  <si>
    <t>Variance (Actuals/Accruals</t>
  </si>
  <si>
    <t>Accrual Reversal Jan</t>
  </si>
  <si>
    <t>Forecast Feb</t>
  </si>
  <si>
    <t>Accrual Feb</t>
  </si>
  <si>
    <t>Actual   Feb</t>
  </si>
  <si>
    <t>Accrual Reversal Feb</t>
  </si>
  <si>
    <t>Forecast March</t>
  </si>
  <si>
    <t>Accrual March</t>
  </si>
  <si>
    <t>Actual March</t>
  </si>
  <si>
    <t>Accrual Reversal Mar</t>
  </si>
  <si>
    <t>Forecast April</t>
  </si>
  <si>
    <t>Accrual April</t>
  </si>
  <si>
    <t>Actual April</t>
  </si>
  <si>
    <t>Accrual Reversal Apr</t>
  </si>
  <si>
    <t>Forecast May</t>
  </si>
  <si>
    <t>Accrual May</t>
  </si>
  <si>
    <t>Accrual Reversal May</t>
  </si>
  <si>
    <t>Forecast June</t>
  </si>
  <si>
    <t>Accrual   June</t>
  </si>
  <si>
    <t>Actual June</t>
  </si>
  <si>
    <t>Accrual Reversal Jun</t>
  </si>
  <si>
    <t>Forecast July</t>
  </si>
  <si>
    <t>Accrual July</t>
  </si>
  <si>
    <t>Actual  July</t>
  </si>
  <si>
    <t>Accrual Reversal Jul</t>
  </si>
  <si>
    <t>Forecast Aug</t>
  </si>
  <si>
    <t>Accrual Aug</t>
  </si>
  <si>
    <t>Actual Aug</t>
  </si>
  <si>
    <t>Accrual Reversal Aug</t>
  </si>
  <si>
    <t>Forecast Sept</t>
  </si>
  <si>
    <t>Accrual Sept</t>
  </si>
  <si>
    <t>Actual Sept</t>
  </si>
  <si>
    <t>Accrual Reversal Sep</t>
  </si>
  <si>
    <t>Forecast Oct</t>
  </si>
  <si>
    <t>Accrual Oct</t>
  </si>
  <si>
    <t xml:space="preserve">Actual Oct  </t>
  </si>
  <si>
    <t>Accrual Reversal Oct</t>
  </si>
  <si>
    <t>Forecast Nov</t>
  </si>
  <si>
    <t>Accrual Nov</t>
  </si>
  <si>
    <t>Actual Nov</t>
  </si>
  <si>
    <t>Accrual Reversal Nov</t>
  </si>
  <si>
    <t>Forecast Dec</t>
  </si>
  <si>
    <t xml:space="preserve">Accrual Dec </t>
  </si>
  <si>
    <t>Actual Dec</t>
  </si>
  <si>
    <t>Total 2023</t>
  </si>
  <si>
    <t>CPA Budget &lt;YEAR&gt;</t>
  </si>
  <si>
    <t>Comments</t>
  </si>
  <si>
    <t>9500879389</t>
  </si>
  <si>
    <t>9500887310</t>
  </si>
  <si>
    <t>9501014470</t>
  </si>
  <si>
    <t>9500882917</t>
  </si>
  <si>
    <t>9500921816</t>
  </si>
  <si>
    <t>9501014469</t>
  </si>
  <si>
    <t>Previous Period Invoices</t>
  </si>
  <si>
    <t>Contingency</t>
  </si>
  <si>
    <t>EXPENSE END</t>
  </si>
  <si>
    <t>PO #</t>
  </si>
  <si>
    <t>Pfizer requested PO</t>
  </si>
  <si>
    <t>IBM PMA</t>
  </si>
  <si>
    <t>PO Owner</t>
  </si>
  <si>
    <t>Work Code</t>
  </si>
  <si>
    <t>Project Name</t>
  </si>
  <si>
    <t>Project Start Date</t>
  </si>
  <si>
    <t>Project End Date</t>
  </si>
  <si>
    <t>Resource Talent Id</t>
  </si>
  <si>
    <t>Resource Name</t>
  </si>
  <si>
    <t>Location</t>
  </si>
  <si>
    <t>Resource Status</t>
  </si>
  <si>
    <t>Bill Rate</t>
  </si>
  <si>
    <t>Forecast Month Hours</t>
  </si>
  <si>
    <t>Forecast Fee $</t>
  </si>
  <si>
    <t>Forecast Expenses $</t>
  </si>
  <si>
    <t>Forecast Total $</t>
  </si>
  <si>
    <t>Actual Month Hours</t>
  </si>
  <si>
    <t>Actual Expenses $</t>
  </si>
  <si>
    <t>Actual Total $</t>
  </si>
  <si>
    <t>Monthly Hours Variance</t>
  </si>
  <si>
    <t>Hours Billed Flag</t>
  </si>
  <si>
    <t>Forecast Accuracy</t>
  </si>
  <si>
    <t>Expense%</t>
  </si>
  <si>
    <t>Total Forecast Hours 2025</t>
  </si>
  <si>
    <t>Jan 2025 - FTotal</t>
  </si>
  <si>
    <t>Feb 2025 - FTotal</t>
  </si>
  <si>
    <t>March 2025 - FTotal</t>
  </si>
  <si>
    <t>April 2025 - FTotal</t>
  </si>
  <si>
    <t>May 2025 - FTotal</t>
  </si>
  <si>
    <t>June 2025 - FTotal</t>
  </si>
  <si>
    <t>July 2025 - FTotal</t>
  </si>
  <si>
    <t>Aug 2025 - FTotal</t>
  </si>
  <si>
    <t>Sep 2025 - FTotal</t>
  </si>
  <si>
    <t>Oct 2025 - FTotal</t>
  </si>
  <si>
    <t>Nov 2025 - FTotal</t>
  </si>
  <si>
    <t>Dec 2025 - FTotal</t>
  </si>
  <si>
    <t>2025 Forecast total Fee</t>
  </si>
  <si>
    <t>Ashu</t>
  </si>
  <si>
    <t>Hari Aitha</t>
  </si>
  <si>
    <t>W3N7Z</t>
  </si>
  <si>
    <t>Pfizer Digital – LOG COVID19 and Rocket Support 2025</t>
  </si>
  <si>
    <t>06725T</t>
  </si>
  <si>
    <t>Amrutha Bhammidimukula</t>
  </si>
  <si>
    <t>C-WDUK</t>
  </si>
  <si>
    <t>Valeria Claverino</t>
  </si>
  <si>
    <t>Immanual Thomas</t>
  </si>
  <si>
    <t>W296Z</t>
  </si>
  <si>
    <t>Pfizer Digital – GLNS Support S1 2025</t>
  </si>
  <si>
    <t>003A51</t>
  </si>
  <si>
    <t>Arun Kumaravelu</t>
  </si>
  <si>
    <t>0220B5</t>
  </si>
  <si>
    <t>Sesha Sai Sruthi Kocherla</t>
  </si>
  <si>
    <t>C-VM9K</t>
  </si>
  <si>
    <t>Rafael Sampaio</t>
  </si>
  <si>
    <t>C-RY4V</t>
  </si>
  <si>
    <t>Srinivas Jakkidi</t>
  </si>
  <si>
    <t>YAAAPA</t>
  </si>
  <si>
    <t>Pfizer Digital - LOG S2 2025</t>
  </si>
  <si>
    <t>Jagadeesha Karigowda</t>
  </si>
  <si>
    <t>C-L8UW</t>
  </si>
  <si>
    <t>Steven Bennett</t>
  </si>
  <si>
    <t>C-P3K2</t>
  </si>
  <si>
    <t>Srinivas Vadiguri</t>
  </si>
  <si>
    <t>3D8885</t>
  </si>
  <si>
    <t>Jonathan E Pugh</t>
  </si>
  <si>
    <t>PO Total</t>
  </si>
  <si>
    <t>PO Number</t>
  </si>
  <si>
    <t>Accounting Period</t>
  </si>
  <si>
    <t>AP Voucher Number</t>
  </si>
  <si>
    <t>WBS Element</t>
  </si>
  <si>
    <t>GL Line Description</t>
  </si>
  <si>
    <t>Description</t>
  </si>
  <si>
    <t>GL MAR Corp Amount</t>
  </si>
  <si>
    <t>GL Local Amount</t>
  </si>
  <si>
    <t>GL BER Corp Amount</t>
  </si>
  <si>
    <t>GL Transaction Amount</t>
  </si>
  <si>
    <t>Type</t>
  </si>
  <si>
    <t>Fiscal Year</t>
  </si>
  <si>
    <t>Month</t>
  </si>
  <si>
    <t>Planful Date</t>
  </si>
  <si>
    <t>GL Transaction Number</t>
  </si>
  <si>
    <t>Document Type</t>
  </si>
  <si>
    <t>Value Type</t>
  </si>
  <si>
    <t>GL Invoice Number</t>
  </si>
  <si>
    <t>GL Invoice Date</t>
  </si>
  <si>
    <t>GL Posting Date</t>
  </si>
  <si>
    <t>Ledger Currency</t>
  </si>
  <si>
    <t>Local Currency</t>
  </si>
  <si>
    <t>Transaction Currency</t>
  </si>
  <si>
    <t>Account*</t>
  </si>
  <si>
    <t>Expense Account Code</t>
  </si>
  <si>
    <t>Major Code</t>
  </si>
  <si>
    <t>IBM WW ORDERING AND US INVOICING</t>
  </si>
  <si>
    <t>IT-FBT0397-OG-US-00</t>
  </si>
  <si>
    <t>IBM 2025 S1 - IO SUPPORT</t>
  </si>
  <si>
    <t>Actual</t>
  </si>
  <si>
    <t>RE</t>
  </si>
  <si>
    <t>C25W938901</t>
  </si>
  <si>
    <t>USD</t>
  </si>
  <si>
    <t>US Dollar</t>
  </si>
  <si>
    <t>Contractors</t>
  </si>
  <si>
    <t>IT-FBT0545-OG-US-00</t>
  </si>
  <si>
    <t>IBM - 2025 S1 COVID APPLICATIONS SUPPORT</t>
  </si>
  <si>
    <t>C25W291701</t>
  </si>
  <si>
    <t>Not assigned</t>
  </si>
  <si>
    <t>PO- 9500879389 IBM CORP</t>
  </si>
  <si>
    <t>Accrual</t>
  </si>
  <si>
    <t>ZY</t>
  </si>
  <si>
    <t>AP2-25 2WM</t>
  </si>
  <si>
    <t>PO- 9500882917 IBM CORP</t>
  </si>
  <si>
    <t>IT-FBT0790-OG-US-00</t>
  </si>
  <si>
    <t>AP3-25 2WM</t>
  </si>
  <si>
    <t>IT-MGS0006-OG-US-00</t>
  </si>
  <si>
    <t>PO- 9500887310 SAGE OPERATIONAL SERVICES LLC</t>
  </si>
  <si>
    <t>Managed Services</t>
  </si>
  <si>
    <t>Reversal</t>
  </si>
  <si>
    <t>#</t>
  </si>
  <si>
    <t>OPEX -T3 ADJ</t>
  </si>
  <si>
    <t>IT-FBT0544-OG-US-00</t>
  </si>
  <si>
    <t>THIS IS FOR IBM CONSULTANTS TO PROVIDE O</t>
  </si>
  <si>
    <t>C25BN3N03</t>
  </si>
  <si>
    <t>C25291703</t>
  </si>
  <si>
    <t>C25938903</t>
  </si>
  <si>
    <t>PO- 9500921816 IBM CORP</t>
  </si>
  <si>
    <t>AP4-25 2WM</t>
  </si>
  <si>
    <t>C25938902</t>
  </si>
  <si>
    <t>RC03-9500879389-FIXING WBS CODE</t>
  </si>
  <si>
    <t>Undefined</t>
  </si>
  <si>
    <t>ZO</t>
  </si>
  <si>
    <t>AP03 2025 WDAC -</t>
  </si>
  <si>
    <t>IT-FBT0784-OG-US-00</t>
  </si>
  <si>
    <t>RC05-9500879389-FIXING INCORRECT AMOUNT ON RECLASS</t>
  </si>
  <si>
    <t>AP05 2025 WDAC -</t>
  </si>
  <si>
    <t>C25BTFK04</t>
  </si>
  <si>
    <t>C25291704</t>
  </si>
  <si>
    <t>C25938904</t>
  </si>
  <si>
    <t>AP5-25 2WM</t>
  </si>
  <si>
    <t>EPS203003 SP&amp;R PROVISIONING</t>
  </si>
  <si>
    <t>AP06 2025 WDAC 2</t>
  </si>
  <si>
    <t>C25BYPQ04</t>
  </si>
  <si>
    <t>C25BYPQ05</t>
  </si>
  <si>
    <t>C25291702</t>
  </si>
  <si>
    <t>C258291704</t>
  </si>
  <si>
    <t>C25291705</t>
  </si>
  <si>
    <t>C25938905</t>
  </si>
  <si>
    <t>AP6-25 2WM</t>
  </si>
  <si>
    <t>SAGE OPERATIONAL SERVICES LLC</t>
  </si>
  <si>
    <t>SP&amp;R NEXTGEN PLATFORM PHASE II</t>
  </si>
  <si>
    <t>DIGITAL LT RECLASS-P324-0014639-NEXTGEN PLATFORM P</t>
  </si>
  <si>
    <t>AP07 2025 WDAC 2</t>
  </si>
  <si>
    <t>C25CCN808</t>
  </si>
  <si>
    <t>C25291707</t>
  </si>
  <si>
    <t>T3 OPEX</t>
  </si>
  <si>
    <t>OPEX T3 ADJ</t>
  </si>
  <si>
    <t>PO - 9500882917 - IBM CORP</t>
  </si>
  <si>
    <t>T2 2WM</t>
  </si>
  <si>
    <t>PO - 9500879389 - IBM CORP</t>
  </si>
  <si>
    <t>C25B7CX07</t>
  </si>
  <si>
    <t>C25938907</t>
  </si>
  <si>
    <t>2WM OPEX</t>
  </si>
  <si>
    <t>C25B2WS06</t>
  </si>
  <si>
    <t>C25291706</t>
  </si>
  <si>
    <t>C25938906</t>
  </si>
  <si>
    <t>AP09 2025 WDAC 2</t>
  </si>
  <si>
    <t>PO - 9500887310 - SAGE OPERATIONAL SERVICES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</si>
</sst>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[$-409]dd\-mmm\-yy;@"/>
    <numFmt numFmtId="165" formatCode="&quot;$&quot;#,##0"/>
    <numFmt numFmtId="166" formatCode="mmmm\-yyyy"/>
    <numFmt numFmtId="167" formatCode="yyyy\-mm\-dd\ h:mm:ss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4F4D4A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color rgb="FF4F4D4A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4" fillId="0" borderId="0"/>
    <xf numFmtId="44" fontId="1" fillId="0" borderId="0"/>
    <xf numFmtId="0" fontId="8" fillId="0" borderId="0"/>
  </cellStyleXfs>
  <cellXfs count="14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5" fillId="2" borderId="4" xfId="0" applyFont="1" applyFill="1" applyBorder="1"/>
    <xf numFmtId="0" fontId="0" fillId="2" borderId="0" xfId="0" applyFill="1" applyAlignment="1">
      <alignment wrapText="1"/>
    </xf>
    <xf numFmtId="4" fontId="6" fillId="2" borderId="0" xfId="0" applyNumberFormat="1" applyFont="1" applyFill="1"/>
    <xf numFmtId="0" fontId="5" fillId="2" borderId="0" xfId="0" applyFont="1" applyFill="1"/>
    <xf numFmtId="2" fontId="0" fillId="0" borderId="0" xfId="0" applyNumberFormat="1"/>
    <xf numFmtId="0" fontId="0" fillId="2" borderId="0" xfId="0" applyFill="1"/>
    <xf numFmtId="0" fontId="0" fillId="2" borderId="4" xfId="0" applyFill="1" applyBorder="1"/>
    <xf numFmtId="0" fontId="4" fillId="2" borderId="0" xfId="1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14" fontId="0" fillId="0" borderId="0" xfId="0" applyNumberFormat="1"/>
    <xf numFmtId="0" fontId="3" fillId="2" borderId="9" xfId="0" applyFont="1" applyFill="1" applyBorder="1"/>
    <xf numFmtId="4" fontId="0" fillId="2" borderId="10" xfId="0" applyNumberFormat="1" applyFill="1" applyBorder="1"/>
    <xf numFmtId="3" fontId="0" fillId="0" borderId="0" xfId="0" applyNumberFormat="1"/>
    <xf numFmtId="0" fontId="3" fillId="2" borderId="11" xfId="0" applyFont="1" applyFill="1" applyBorder="1"/>
    <xf numFmtId="0" fontId="0" fillId="4" borderId="0" xfId="0" applyFill="1"/>
    <xf numFmtId="3" fontId="0" fillId="3" borderId="0" xfId="0" applyNumberFormat="1" applyFill="1" applyAlignment="1">
      <alignment horizontal="left"/>
    </xf>
    <xf numFmtId="0" fontId="3" fillId="0" borderId="0" xfId="0" applyFont="1"/>
    <xf numFmtId="3" fontId="7" fillId="4" borderId="0" xfId="0" applyNumberFormat="1" applyFont="1" applyFill="1" applyAlignment="1">
      <alignment horizontal="left"/>
    </xf>
    <xf numFmtId="3" fontId="7" fillId="0" borderId="0" xfId="0" applyNumberFormat="1" applyFont="1"/>
    <xf numFmtId="0" fontId="9" fillId="2" borderId="16" xfId="3" applyFont="1" applyFill="1" applyBorder="1" applyAlignment="1">
      <alignment horizontal="left" wrapText="1"/>
    </xf>
    <xf numFmtId="1" fontId="10" fillId="2" borderId="17" xfId="3" applyNumberFormat="1" applyFont="1" applyFill="1" applyBorder="1" applyAlignment="1">
      <alignment horizontal="center" wrapText="1"/>
    </xf>
    <xf numFmtId="164" fontId="10" fillId="2" borderId="17" xfId="3" applyNumberFormat="1" applyFont="1" applyFill="1" applyBorder="1" applyAlignment="1">
      <alignment horizontal="center" wrapText="1"/>
    </xf>
    <xf numFmtId="0" fontId="10" fillId="2" borderId="17" xfId="3" applyFont="1" applyFill="1" applyBorder="1" applyAlignment="1">
      <alignment horizontal="center" wrapText="1"/>
    </xf>
    <xf numFmtId="165" fontId="9" fillId="2" borderId="17" xfId="3" applyNumberFormat="1" applyFont="1" applyFill="1" applyBorder="1" applyAlignment="1">
      <alignment horizontal="center" wrapText="1"/>
    </xf>
    <xf numFmtId="0" fontId="3" fillId="2" borderId="2" xfId="0" applyFont="1" applyFill="1" applyBorder="1" applyAlignment="1">
      <alignment wrapText="1"/>
    </xf>
    <xf numFmtId="0" fontId="9" fillId="2" borderId="18" xfId="3" applyFont="1" applyFill="1" applyBorder="1" applyAlignment="1">
      <alignment wrapText="1"/>
    </xf>
    <xf numFmtId="165" fontId="9" fillId="2" borderId="19" xfId="3" applyNumberFormat="1" applyFont="1" applyFill="1" applyBorder="1" applyAlignment="1">
      <alignment horizontal="center" wrapText="1"/>
    </xf>
    <xf numFmtId="165" fontId="9" fillId="2" borderId="20" xfId="3" applyNumberFormat="1" applyFont="1" applyFill="1" applyBorder="1" applyAlignment="1">
      <alignment horizontal="center" wrapText="1"/>
    </xf>
    <xf numFmtId="165" fontId="9" fillId="2" borderId="21" xfId="3" applyNumberFormat="1" applyFont="1" applyFill="1" applyBorder="1" applyAlignment="1">
      <alignment horizontal="center" wrapText="1"/>
    </xf>
    <xf numFmtId="165" fontId="9" fillId="2" borderId="2" xfId="3" applyNumberFormat="1" applyFont="1" applyFill="1" applyBorder="1" applyAlignment="1">
      <alignment horizontal="center" wrapText="1"/>
    </xf>
    <xf numFmtId="165" fontId="9" fillId="2" borderId="22" xfId="3" applyNumberFormat="1" applyFont="1" applyFill="1" applyBorder="1" applyAlignment="1">
      <alignment horizontal="center" wrapText="1"/>
    </xf>
    <xf numFmtId="0" fontId="9" fillId="2" borderId="23" xfId="3" applyFont="1" applyFill="1" applyBorder="1" applyAlignment="1">
      <alignment wrapText="1"/>
    </xf>
    <xf numFmtId="0" fontId="0" fillId="0" borderId="9" xfId="0" applyBorder="1"/>
    <xf numFmtId="0" fontId="0" fillId="0" borderId="24" xfId="0" applyBorder="1"/>
    <xf numFmtId="3" fontId="0" fillId="0" borderId="24" xfId="0" applyNumberFormat="1" applyBorder="1"/>
    <xf numFmtId="0" fontId="0" fillId="0" borderId="25" xfId="0" applyBorder="1"/>
    <xf numFmtId="3" fontId="0" fillId="0" borderId="9" xfId="0" applyNumberFormat="1" applyBorder="1"/>
    <xf numFmtId="3" fontId="0" fillId="0" borderId="25" xfId="0" applyNumberFormat="1" applyBorder="1"/>
    <xf numFmtId="3" fontId="0" fillId="0" borderId="10" xfId="0" applyNumberFormat="1" applyBorder="1"/>
    <xf numFmtId="3" fontId="0" fillId="0" borderId="27" xfId="0" applyNumberFormat="1" applyBorder="1"/>
    <xf numFmtId="0" fontId="0" fillId="0" borderId="28" xfId="0" applyBorder="1"/>
    <xf numFmtId="0" fontId="0" fillId="0" borderId="29" xfId="0" applyBorder="1"/>
    <xf numFmtId="3" fontId="0" fillId="0" borderId="29" xfId="0" applyNumberFormat="1" applyBorder="1"/>
    <xf numFmtId="0" fontId="0" fillId="0" borderId="30" xfId="0" applyBorder="1"/>
    <xf numFmtId="3" fontId="0" fillId="0" borderId="28" xfId="0" applyNumberFormat="1" applyBorder="1"/>
    <xf numFmtId="3" fontId="0" fillId="0" borderId="30" xfId="0" applyNumberFormat="1" applyBorder="1"/>
    <xf numFmtId="3" fontId="0" fillId="0" borderId="32" xfId="0" applyNumberFormat="1" applyBorder="1"/>
    <xf numFmtId="3" fontId="0" fillId="0" borderId="33" xfId="0" applyNumberFormat="1" applyBorder="1"/>
    <xf numFmtId="3" fontId="0" fillId="0" borderId="34" xfId="0" applyNumberFormat="1" applyBorder="1"/>
    <xf numFmtId="3" fontId="0" fillId="0" borderId="35" xfId="0" applyNumberFormat="1" applyBorder="1"/>
    <xf numFmtId="3" fontId="0" fillId="0" borderId="36" xfId="0" applyNumberFormat="1" applyBorder="1"/>
    <xf numFmtId="3" fontId="0" fillId="0" borderId="40" xfId="0" applyNumberFormat="1" applyBorder="1"/>
    <xf numFmtId="0" fontId="0" fillId="0" borderId="11" xfId="0" applyBorder="1"/>
    <xf numFmtId="0" fontId="0" fillId="0" borderId="41" xfId="0" applyBorder="1"/>
    <xf numFmtId="0" fontId="0" fillId="0" borderId="42" xfId="0" applyBorder="1"/>
    <xf numFmtId="3" fontId="0" fillId="0" borderId="41" xfId="0" applyNumberFormat="1" applyBorder="1"/>
    <xf numFmtId="3" fontId="0" fillId="0" borderId="42" xfId="0" applyNumberFormat="1" applyBorder="1"/>
    <xf numFmtId="3" fontId="0" fillId="0" borderId="12" xfId="0" applyNumberFormat="1" applyBorder="1"/>
    <xf numFmtId="3" fontId="0" fillId="0" borderId="43" xfId="0" applyNumberFormat="1" applyBorder="1"/>
    <xf numFmtId="3" fontId="0" fillId="0" borderId="11" xfId="0" applyNumberFormat="1" applyBorder="1"/>
    <xf numFmtId="0" fontId="0" fillId="3" borderId="0" xfId="0" applyFill="1"/>
    <xf numFmtId="165" fontId="9" fillId="2" borderId="45" xfId="3" applyNumberFormat="1" applyFont="1" applyFill="1" applyBorder="1" applyAlignment="1">
      <alignment horizontal="center" wrapText="1"/>
    </xf>
    <xf numFmtId="14" fontId="0" fillId="0" borderId="24" xfId="0" applyNumberFormat="1" applyBorder="1"/>
    <xf numFmtId="3" fontId="0" fillId="2" borderId="26" xfId="0" applyNumberFormat="1" applyFill="1" applyBorder="1"/>
    <xf numFmtId="0" fontId="0" fillId="0" borderId="10" xfId="0" applyBorder="1"/>
    <xf numFmtId="14" fontId="0" fillId="0" borderId="29" xfId="0" applyNumberFormat="1" applyBorder="1"/>
    <xf numFmtId="3" fontId="0" fillId="2" borderId="31" xfId="0" applyNumberFormat="1" applyFill="1" applyBorder="1"/>
    <xf numFmtId="0" fontId="0" fillId="0" borderId="32" xfId="0" applyBorder="1"/>
    <xf numFmtId="0" fontId="0" fillId="0" borderId="46" xfId="0" applyBorder="1"/>
    <xf numFmtId="0" fontId="0" fillId="5" borderId="28" xfId="0" applyFill="1" applyBorder="1"/>
    <xf numFmtId="0" fontId="0" fillId="5" borderId="29" xfId="0" applyFill="1" applyBorder="1"/>
    <xf numFmtId="14" fontId="0" fillId="5" borderId="29" xfId="0" applyNumberFormat="1" applyFill="1" applyBorder="1"/>
    <xf numFmtId="0" fontId="0" fillId="5" borderId="30" xfId="0" applyFill="1" applyBorder="1"/>
    <xf numFmtId="3" fontId="0" fillId="5" borderId="28" xfId="0" applyNumberFormat="1" applyFill="1" applyBorder="1"/>
    <xf numFmtId="3" fontId="0" fillId="5" borderId="29" xfId="0" applyNumberFormat="1" applyFill="1" applyBorder="1"/>
    <xf numFmtId="3" fontId="0" fillId="5" borderId="30" xfId="0" applyNumberFormat="1" applyFill="1" applyBorder="1"/>
    <xf numFmtId="3" fontId="0" fillId="5" borderId="32" xfId="0" applyNumberFormat="1" applyFill="1" applyBorder="1"/>
    <xf numFmtId="3" fontId="0" fillId="5" borderId="33" xfId="0" applyNumberFormat="1" applyFill="1" applyBorder="1"/>
    <xf numFmtId="3" fontId="0" fillId="5" borderId="31" xfId="0" applyNumberFormat="1" applyFill="1" applyBorder="1"/>
    <xf numFmtId="0" fontId="0" fillId="5" borderId="32" xfId="0" applyFill="1" applyBorder="1"/>
    <xf numFmtId="0" fontId="0" fillId="5" borderId="0" xfId="0" applyFill="1"/>
    <xf numFmtId="0" fontId="0" fillId="0" borderId="47" xfId="0" applyBorder="1"/>
    <xf numFmtId="0" fontId="0" fillId="0" borderId="48" xfId="0" applyBorder="1"/>
    <xf numFmtId="14" fontId="0" fillId="0" borderId="48" xfId="0" applyNumberFormat="1" applyBorder="1"/>
    <xf numFmtId="0" fontId="0" fillId="0" borderId="38" xfId="0" applyBorder="1"/>
    <xf numFmtId="3" fontId="0" fillId="0" borderId="47" xfId="0" applyNumberFormat="1" applyBorder="1"/>
    <xf numFmtId="3" fontId="0" fillId="0" borderId="48" xfId="0" applyNumberFormat="1" applyBorder="1"/>
    <xf numFmtId="3" fontId="0" fillId="2" borderId="37" xfId="0" applyNumberFormat="1" applyFill="1" applyBorder="1"/>
    <xf numFmtId="0" fontId="0" fillId="0" borderId="39" xfId="0" applyBorder="1"/>
    <xf numFmtId="14" fontId="0" fillId="0" borderId="41" xfId="0" applyNumberFormat="1" applyBorder="1"/>
    <xf numFmtId="3" fontId="0" fillId="0" borderId="49" xfId="0" applyNumberFormat="1" applyBorder="1"/>
    <xf numFmtId="3" fontId="0" fillId="2" borderId="44" xfId="0" applyNumberFormat="1" applyFill="1" applyBorder="1"/>
    <xf numFmtId="0" fontId="0" fillId="0" borderId="12" xfId="0" applyBorder="1"/>
    <xf numFmtId="0" fontId="0" fillId="3" borderId="28" xfId="0" applyFill="1" applyBorder="1"/>
    <xf numFmtId="0" fontId="0" fillId="3" borderId="29" xfId="0" applyFill="1" applyBorder="1"/>
    <xf numFmtId="14" fontId="0" fillId="3" borderId="29" xfId="0" applyNumberFormat="1" applyFill="1" applyBorder="1"/>
    <xf numFmtId="3" fontId="0" fillId="3" borderId="29" xfId="0" applyNumberFormat="1" applyFill="1" applyBorder="1"/>
    <xf numFmtId="0" fontId="0" fillId="3" borderId="30" xfId="0" applyFill="1" applyBorder="1"/>
    <xf numFmtId="3" fontId="0" fillId="3" borderId="28" xfId="0" applyNumberFormat="1" applyFill="1" applyBorder="1"/>
    <xf numFmtId="3" fontId="0" fillId="3" borderId="30" xfId="0" applyNumberFormat="1" applyFill="1" applyBorder="1"/>
    <xf numFmtId="3" fontId="0" fillId="3" borderId="32" xfId="0" applyNumberFormat="1" applyFill="1" applyBorder="1"/>
    <xf numFmtId="3" fontId="0" fillId="3" borderId="33" xfId="0" applyNumberFormat="1" applyFill="1" applyBorder="1"/>
    <xf numFmtId="3" fontId="0" fillId="3" borderId="31" xfId="0" applyNumberFormat="1" applyFill="1" applyBorder="1"/>
    <xf numFmtId="0" fontId="0" fillId="3" borderId="32" xfId="0" applyFill="1" applyBorder="1"/>
    <xf numFmtId="165" fontId="3" fillId="2" borderId="7" xfId="0" applyNumberFormat="1" applyFont="1" applyFill="1" applyBorder="1" applyAlignment="1">
      <alignment horizontal="center"/>
    </xf>
    <xf numFmtId="165" fontId="0" fillId="2" borderId="7" xfId="0" applyNumberFormat="1" applyFill="1" applyBorder="1" applyAlignment="1">
      <alignment horizontal="right"/>
    </xf>
    <xf numFmtId="0" fontId="3" fillId="2" borderId="0" xfId="0" applyFont="1" applyFill="1"/>
    <xf numFmtId="4" fontId="6" fillId="2" borderId="1" xfId="0" applyNumberFormat="1" applyFont="1" applyFill="1" applyBorder="1"/>
    <xf numFmtId="3" fontId="6" fillId="2" borderId="0" xfId="0" applyNumberFormat="1" applyFont="1" applyFill="1" applyAlignment="1">
      <alignment horizontal="center"/>
    </xf>
    <xf numFmtId="3" fontId="6" fillId="2" borderId="5" xfId="0" applyNumberFormat="1" applyFont="1" applyFill="1" applyBorder="1" applyAlignment="1">
      <alignment horizontal="center"/>
    </xf>
    <xf numFmtId="3" fontId="6" fillId="2" borderId="7" xfId="0" applyNumberFormat="1" applyFont="1" applyFill="1" applyBorder="1" applyAlignment="1">
      <alignment horizontal="center"/>
    </xf>
    <xf numFmtId="3" fontId="6" fillId="2" borderId="8" xfId="0" applyNumberFormat="1" applyFont="1" applyFill="1" applyBorder="1" applyAlignment="1">
      <alignment horizontal="center"/>
    </xf>
    <xf numFmtId="4" fontId="0" fillId="2" borderId="12" xfId="0" applyNumberFormat="1" applyFill="1" applyBorder="1"/>
    <xf numFmtId="4" fontId="11" fillId="2" borderId="2" xfId="0" applyNumberFormat="1" applyFont="1" applyFill="1" applyBorder="1" applyAlignment="1">
      <alignment horizontal="center"/>
    </xf>
    <xf numFmtId="4" fontId="11" fillId="2" borderId="3" xfId="0" applyNumberFormat="1" applyFont="1" applyFill="1" applyBorder="1" applyAlignment="1">
      <alignment horizontal="center"/>
    </xf>
    <xf numFmtId="4" fontId="11" fillId="2" borderId="4" xfId="0" applyNumberFormat="1" applyFont="1" applyFill="1" applyBorder="1"/>
    <xf numFmtId="4" fontId="11" fillId="2" borderId="6" xfId="0" applyNumberFormat="1" applyFont="1" applyFill="1" applyBorder="1"/>
    <xf numFmtId="0" fontId="3" fillId="2" borderId="34" xfId="0" applyFont="1" applyFill="1" applyBorder="1"/>
    <xf numFmtId="4" fontId="0" fillId="2" borderId="50" xfId="0" applyNumberFormat="1" applyFill="1" applyBorder="1"/>
    <xf numFmtId="0" fontId="3" fillId="2" borderId="28" xfId="0" applyFont="1" applyFill="1" applyBorder="1"/>
    <xf numFmtId="10" fontId="0" fillId="2" borderId="32" xfId="0" applyNumberFormat="1" applyFill="1" applyBorder="1"/>
    <xf numFmtId="3" fontId="2" fillId="2" borderId="5" xfId="0" applyNumberFormat="1" applyFont="1" applyFill="1" applyBorder="1"/>
    <xf numFmtId="3" fontId="0" fillId="2" borderId="5" xfId="0" applyNumberFormat="1" applyFill="1" applyBorder="1"/>
    <xf numFmtId="167" fontId="0" fillId="0" borderId="0" xfId="0" applyNumberFormat="1"/>
    <xf numFmtId="3" fontId="3" fillId="2" borderId="51" xfId="0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/>
    <xf numFmtId="166" fontId="3" fillId="2" borderId="51" xfId="0" applyNumberFormat="1" applyFont="1" applyFill="1" applyBorder="1" applyAlignment="1">
      <alignment horizontal="center"/>
    </xf>
    <xf numFmtId="166" fontId="3" fillId="2" borderId="13" xfId="0" applyNumberFormat="1" applyFont="1" applyFill="1" applyBorder="1" applyAlignment="1">
      <alignment horizontal="center"/>
    </xf>
    <xf numFmtId="0" fontId="7" fillId="0" borderId="5" xfId="0" applyFont="1" applyBorder="1" applyAlignment="1">
      <alignment horizontal="right"/>
    </xf>
    <xf numFmtId="0" fontId="0" fillId="0" borderId="5" xfId="0" applyBorder="1"/>
    <xf numFmtId="0" fontId="3" fillId="0" borderId="8" xfId="0" applyFont="1" applyBorder="1" applyAlignment="1">
      <alignment horizontal="right"/>
    </xf>
    <xf numFmtId="0" fontId="0" fillId="0" borderId="8" xfId="0" applyBorder="1"/>
    <xf numFmtId="0" fontId="3" fillId="0" borderId="5" xfId="0" applyFont="1" applyBorder="1" applyAlignment="1">
      <alignment horizontal="right"/>
    </xf>
  </cellXfs>
  <cellStyles count="4">
    <cellStyle name="Currency 2" xfId="2" xr:uid="{00000000-0005-0000-0000-000002000000}"/>
    <cellStyle name="Hyperlink 2" xfId="1" xr:uid="{00000000-0005-0000-0000-000001000000}"/>
    <cellStyle name="Normal" xfId="0" builtinId="0"/>
    <cellStyle name="Normal 2 2" xfId="3" xr:uid="{00000000-0005-0000-0000-000003000000}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U27"/>
  <sheetViews>
    <sheetView showGridLines="0" tabSelected="1" zoomScale="80" zoomScaleNormal="80" workbookViewId="0">
      <selection activeCell="V15" sqref="V15"/>
    </sheetView>
  </sheetViews>
  <sheetFormatPr defaultRowHeight="15" x14ac:dyDescent="0.25"/>
  <cols>
    <col min="1" max="1" width="24" customWidth="1"/>
    <col min="2" max="2" width="25" customWidth="1"/>
    <col min="3" max="3" width="12.28515625" customWidth="1"/>
    <col min="4" max="4" width="11.5703125" customWidth="1"/>
    <col min="5" max="5" width="14.28515625" customWidth="1"/>
    <col min="6" max="6" width="10.85546875" customWidth="1"/>
    <col min="7" max="7" width="13.42578125" customWidth="1"/>
    <col min="8" max="8" width="37.140625" customWidth="1"/>
    <col min="9" max="9" width="12.42578125" customWidth="1"/>
    <col min="10" max="69" width="8.85546875" customWidth="1"/>
    <col min="70" max="70" width="10.85546875" customWidth="1"/>
    <col min="71" max="71" width="15.5703125" customWidth="1"/>
    <col min="72" max="72" width="16.7109375" customWidth="1"/>
  </cols>
  <sheetData>
    <row r="2" spans="1:73" x14ac:dyDescent="0.25">
      <c r="A2" s="1"/>
      <c r="B2" s="2"/>
      <c r="C2" s="2"/>
      <c r="D2" s="2"/>
      <c r="E2" s="2"/>
      <c r="F2" s="3"/>
    </row>
    <row r="3" spans="1:73" x14ac:dyDescent="0.25">
      <c r="A3" s="4" t="s">
        <v>0</v>
      </c>
      <c r="B3" s="5"/>
      <c r="C3" s="6"/>
      <c r="D3" s="7" t="s">
        <v>1</v>
      </c>
      <c r="E3" s="7">
        <v>2024</v>
      </c>
      <c r="F3" s="128">
        <f>C3</f>
        <v>0</v>
      </c>
      <c r="O3" s="8"/>
      <c r="P3" s="8"/>
      <c r="Q3" s="8"/>
    </row>
    <row r="4" spans="1:73" x14ac:dyDescent="0.25">
      <c r="A4" s="4" t="s">
        <v>2</v>
      </c>
      <c r="B4" s="9" t="s">
        <v>3</v>
      </c>
      <c r="C4" s="6">
        <v>0</v>
      </c>
      <c r="D4" s="7">
        <v>2351818</v>
      </c>
      <c r="E4" s="7">
        <v>2024</v>
      </c>
      <c r="F4" s="128">
        <v>0</v>
      </c>
    </row>
    <row r="5" spans="1:73" x14ac:dyDescent="0.25">
      <c r="A5" s="10" t="s">
        <v>4</v>
      </c>
      <c r="B5" s="11"/>
      <c r="C5" s="9"/>
      <c r="D5" s="9"/>
      <c r="E5" s="9"/>
      <c r="F5" s="129"/>
    </row>
    <row r="6" spans="1:73" x14ac:dyDescent="0.25">
      <c r="A6" s="10" t="s">
        <v>5</v>
      </c>
      <c r="B6" s="6" t="s">
        <v>6</v>
      </c>
      <c r="C6" s="9"/>
      <c r="D6" s="9"/>
      <c r="E6" s="113" t="str">
        <f>IF(SUMIFS(BR:BR,A:A,"Contingency")&gt;0,"Contingency is "&amp;TEXT(SUMIFS(BR:BR,A:A,"Contingency"),"$#,##"),IF(SUMIFS(BR:BR,A:A,"Contingency")&lt;0,"Overspent by "&amp;TEXT(SUMIFS(BR:BR,A:A,"Contingency"),"$#,##"),"No contingency"))</f>
        <v>No contingency</v>
      </c>
      <c r="F6" s="12"/>
    </row>
    <row r="7" spans="1:73" x14ac:dyDescent="0.25">
      <c r="A7" s="13"/>
      <c r="B7" s="112"/>
      <c r="C7" s="111"/>
      <c r="D7" s="111"/>
      <c r="E7" s="14"/>
      <c r="F7" s="15"/>
      <c r="O7" s="16"/>
      <c r="P7" s="16"/>
      <c r="Q7" s="16"/>
    </row>
    <row r="8" spans="1:73" ht="15.75" customHeight="1" thickBot="1" x14ac:dyDescent="0.3"/>
    <row r="9" spans="1:73" x14ac:dyDescent="0.25">
      <c r="A9" s="17" t="s">
        <v>7</v>
      </c>
      <c r="B9" s="18">
        <f>C4-BR13</f>
        <v>-800145.72</v>
      </c>
      <c r="D9" s="114"/>
      <c r="E9" s="120" t="s">
        <v>8</v>
      </c>
      <c r="F9" s="120" t="s">
        <v>9</v>
      </c>
      <c r="G9" s="121" t="s">
        <v>10</v>
      </c>
    </row>
    <row r="10" spans="1:73" ht="15.75" customHeight="1" thickBot="1" x14ac:dyDescent="0.3">
      <c r="A10" s="126" t="s">
        <v>11</v>
      </c>
      <c r="B10" s="127" t="e">
        <f>B9/C4</f>
        <v>#DIV/0!</v>
      </c>
      <c r="D10" s="122" t="s">
        <v>12</v>
      </c>
      <c r="E10" s="115"/>
      <c r="F10" s="115"/>
      <c r="G10" s="116"/>
      <c r="BS10" s="67" t="s">
        <v>13</v>
      </c>
    </row>
    <row r="11" spans="1:73" ht="16.5" customHeight="1" thickBot="1" x14ac:dyDescent="0.3">
      <c r="A11" s="124" t="s">
        <v>14</v>
      </c>
      <c r="B11" s="125">
        <f ca="1">SUMIFS(J12:BQ12,J13:BQ13,"&lt;="&amp;TODAY())</f>
        <v>800145.72</v>
      </c>
      <c r="D11" s="122" t="s">
        <v>15</v>
      </c>
      <c r="E11" s="115">
        <f>SUM(J11:X11,Y12:AM12)</f>
        <v>713253.90999999992</v>
      </c>
      <c r="F11" s="115">
        <f>SUM(AN12:BQ12)</f>
        <v>95717.72</v>
      </c>
      <c r="G11" s="116">
        <f>SUM(J11:X11,Y12:BQ12)</f>
        <v>808971.62999999989</v>
      </c>
      <c r="H11" s="136" t="s">
        <v>16</v>
      </c>
      <c r="I11" s="137"/>
      <c r="J11" s="131">
        <f t="array" ref="J11">SUM(M15:M25)+SUM(_xlfn._xlws.FILTER(L15:L25,M15:M25=""))+SUM(_xlfn._xlws.FILTER(K15:K25,(L15:L25="")*(M15:M25="")))+SUMIFS(N15:N25,M15:M25,"&lt;&gt;"&amp;"",$L$15:$L$25,"&lt;&gt;"&amp;"")+SUM(J15:J25)</f>
        <v>0</v>
      </c>
      <c r="K11" s="132"/>
      <c r="L11" s="132"/>
      <c r="M11" s="132"/>
      <c r="N11" s="133"/>
      <c r="O11" s="131">
        <f t="array" ref="O11">SUM(R15:R25)+SUM(_xlfn._xlws.FILTER(Q15:Q25,R15:R25=""))+SUM(_xlfn._xlws.FILTER(P15:P25,(Q15:Q25="")*(R15:R25="")))+SUMIFS(S15:S25,R15:R25,"&lt;&gt;"&amp;"",$L$15:$L$25,"&lt;&gt;"&amp;"")+SUM(O15:O25)</f>
        <v>81595.28</v>
      </c>
      <c r="P11" s="132"/>
      <c r="Q11" s="132"/>
      <c r="R11" s="132"/>
      <c r="S11" s="133"/>
      <c r="T11" s="131">
        <f t="array" ref="T11">SUM(W15:W25)+SUM(_xlfn._xlws.FILTER(V15:V25,W15:W25=""))+SUM(_xlfn._xlws.FILTER(U15:U25,(V15:V25="")*(W15:W25="")))+SUMIFS(X15:X25,W15:W25,"&lt;&gt;"&amp;"",$L$15:$L$25,"&lt;&gt;"&amp;"")+SUM(T15:T25)</f>
        <v>154370.12999999998</v>
      </c>
      <c r="U11" s="132"/>
      <c r="V11" s="132"/>
      <c r="W11" s="132"/>
      <c r="X11" s="133"/>
      <c r="Y11" s="131">
        <f t="array" ref="Y11">SUM(AB15:AB25)+SUM(_xlfn._xlws.FILTER(AA15:AA25,AB15:AB25=""))+SUM(_xlfn._xlws.FILTER(Z15:Z25,(AA15:AA25="")*(AB15:AB25="")))+SUMIFS(AC15:AC25,AB15:AB25,"&lt;&gt;"&amp;"",$L$15:$L$25,"&lt;&gt;"&amp;"")+SUM(Y15:Y25)</f>
        <v>-154452.38</v>
      </c>
      <c r="Z11" s="132"/>
      <c r="AA11" s="132"/>
      <c r="AB11" s="132"/>
      <c r="AC11" s="133"/>
      <c r="AD11" s="131">
        <f t="array" ref="AD11">SUM(AG15:AG25)+SUM(_xlfn._xlws.FILTER(AF15:AF25,AG15:AG25=""))+SUM(_xlfn._xlws.FILTER(AE15:AE25,(AF15:AF25="")*(AG15:AG25="")))+SUMIFS(AH15:AH25,AG15:AG25,"&lt;&gt;"&amp;"",$L$15:$L$25,"&lt;&gt;"&amp;"")+SUM(AD15:AD25)</f>
        <v>-88040.880000000063</v>
      </c>
      <c r="AE11" s="132"/>
      <c r="AF11" s="132"/>
      <c r="AG11" s="132"/>
      <c r="AH11" s="133"/>
      <c r="AI11" s="131">
        <f t="array" ref="AI11">SUM(AL15:AL25)+SUM(_xlfn._xlws.FILTER(AK15:AK25,AL15:AL25=""))+SUM(_xlfn._xlws.FILTER(AJ15:AJ25,(AK15:AK25="")*(AL15:AL25="")))+SUMIFS(AM15:AM25,AL15:AL25,"&lt;&gt;"&amp;"",$L$15:$L$25,"&lt;&gt;"&amp;"")+SUM(AI15:AI25)</f>
        <v>-12825.280000000028</v>
      </c>
      <c r="AJ11" s="132"/>
      <c r="AK11" s="132"/>
      <c r="AL11" s="132"/>
      <c r="AM11" s="133"/>
      <c r="AN11" s="131">
        <f t="array" ref="AN11">SUM(AQ15:AQ25)+SUM(_xlfn._xlws.FILTER(AP15:AP25,AQ15:AQ25=""))+SUM(_xlfn._xlws.FILTER(AO15:AO25,(AP15:AP25="")*(AQ15:AQ25="")))+SUMIFS(AR15:AR25,AQ15:AQ25,"&lt;&gt;"&amp;"",$L$15:$L$25,"&lt;&gt;"&amp;"")+SUM(AN15:AN25)</f>
        <v>10561.930000000022</v>
      </c>
      <c r="AO11" s="132"/>
      <c r="AP11" s="132"/>
      <c r="AQ11" s="132"/>
      <c r="AR11" s="133"/>
      <c r="AS11" s="131">
        <f t="array" ref="AS11">SUM(AV15:AV25)+SUM(_xlfn._xlws.FILTER(AU15:AU25,AV15:AV25=""))+SUM(_xlfn._xlws.FILTER(AT15:AT25,(AU15:AU25="")*(AV15:AV25="")))+SUMIFS(AW15:AW25,AV15:AV25,"&lt;&gt;"&amp;"",$L$15:$L$25,"&lt;&gt;"&amp;"")+SUM(AS15:AS25)</f>
        <v>-133523.93</v>
      </c>
      <c r="AT11" s="132"/>
      <c r="AU11" s="132"/>
      <c r="AV11" s="132"/>
      <c r="AW11" s="133"/>
      <c r="AX11" s="131">
        <f t="array" ref="AX11">SUM(BA15:BA25)+SUM(_xlfn._xlws.FILTER(AZ15:AZ25,BA15:BA25=""))+SUM(_xlfn._xlws.FILTER(AY15:AY25,(AZ15:AZ25="")*(BA15:BA25="")))+SUMIFS(BB15:BB25,BA15:BA25,"&lt;&gt;"&amp;"",$L$15:$L$25,"&lt;&gt;"&amp;"")+SUM(AX15:AX25)</f>
        <v>10624</v>
      </c>
      <c r="AY11" s="132"/>
      <c r="AZ11" s="132"/>
      <c r="BA11" s="132"/>
      <c r="BB11" s="133"/>
      <c r="BC11" s="131">
        <f t="array" ref="BC11">SUM(BF15:BF25)+SUM(_xlfn._xlws.FILTER(BE15:BE25,BF15:BF25=""))+SUM(_xlfn._xlws.FILTER(BD15:BD25,(BE15:BE25="")*(BF15:BF25="")))+SUMIFS(BG15:BG25,BF15:BF25,"&lt;&gt;"&amp;"",$L$15:$L$25,"&lt;&gt;"&amp;"")+SUM(BC15:BC25)</f>
        <v>0</v>
      </c>
      <c r="BD11" s="132"/>
      <c r="BE11" s="132"/>
      <c r="BF11" s="132"/>
      <c r="BG11" s="133"/>
      <c r="BH11" s="131">
        <f t="array" ref="BH11">SUM(BK15:BK25)+SUM(_xlfn._xlws.FILTER(BJ15:BJ25,BK15:BK25=""))+SUM(_xlfn._xlws.FILTER(BI15:BI25,(BJ15:BJ25="")*(BK15:BK25="")))+SUMIFS(BL15:BL25,BK15:BK25,"&lt;&gt;"&amp;"",$L$15:$L$25,"&lt;&gt;"&amp;"")+SUM(BH15:BH25)</f>
        <v>0</v>
      </c>
      <c r="BI11" s="132"/>
      <c r="BJ11" s="132"/>
      <c r="BK11" s="132"/>
      <c r="BL11" s="133"/>
      <c r="BM11" s="131">
        <f t="array" ref="BM11">SUM(BP15:BP25)+SUM(_xlfn._xlws.FILTER(BO15:BO25,BP15:BP25=""))+SUM(_xlfn._xlws.FILTER(BN15:BN25,(BO15:BO25="")*(BP15:BP25="")))+SUMIFS(BQ15:BQ25,BP15:BP25,"&lt;&gt;"&amp;"",$L$15:$L$25,"&lt;&gt;"&amp;"")+SUM(BM15:BM25)</f>
        <v>0</v>
      </c>
      <c r="BN11" s="132"/>
      <c r="BO11" s="132"/>
      <c r="BP11" s="132"/>
      <c r="BQ11" s="133"/>
      <c r="BR11" s="21" t="s">
        <v>17</v>
      </c>
      <c r="BS11" s="22">
        <f>BS13-BR13</f>
        <v>-800145.72</v>
      </c>
    </row>
    <row r="12" spans="1:73" ht="15.75" customHeight="1" thickBot="1" x14ac:dyDescent="0.3">
      <c r="A12" s="20" t="s">
        <v>18</v>
      </c>
      <c r="B12" s="119">
        <f ca="1">C4-B11</f>
        <v>-800145.72</v>
      </c>
      <c r="D12" s="123" t="s">
        <v>19</v>
      </c>
      <c r="E12" s="117">
        <f>E11-E10</f>
        <v>713253.90999999992</v>
      </c>
      <c r="F12" s="117">
        <f>F11-F10</f>
        <v>95717.72</v>
      </c>
      <c r="G12" s="118">
        <f>G11-G10</f>
        <v>808971.62999999989</v>
      </c>
      <c r="H12" s="140" t="s">
        <v>20</v>
      </c>
      <c r="I12" s="137"/>
      <c r="J12" s="131">
        <f t="array" ref="J12">SUM(M15:M25)+SUM(_xlfn._xlws.FILTER(L15:L25,M15:M25=""))+SUM(_xlfn._xlws.FILTER(K15:K25,(L15:L25="")*(M15:M25="")))</f>
        <v>47862.5</v>
      </c>
      <c r="K12" s="132"/>
      <c r="L12" s="132"/>
      <c r="M12" s="132"/>
      <c r="N12" s="133"/>
      <c r="O12" s="131">
        <f t="array" ref="O12">SUM(R15:R25)+SUM(_xlfn._xlws.FILTER(Q15:Q25,R15:R25=""))+SUM(_xlfn._xlws.FILTER(P15:P25,(Q15:Q25="")*(R15:R25="")))</f>
        <v>17100</v>
      </c>
      <c r="P12" s="132"/>
      <c r="Q12" s="132"/>
      <c r="R12" s="132"/>
      <c r="S12" s="133"/>
      <c r="T12" s="131">
        <f t="array" ref="T12">SUM(W15:W25)+SUM(_xlfn._xlws.FILTER(V15:V25,W15:W25=""))+SUM(_xlfn._xlws.FILTER(U15:U25,(V15:V25="")*(W15:W25="")))</f>
        <v>162177</v>
      </c>
      <c r="U12" s="132"/>
      <c r="V12" s="132"/>
      <c r="W12" s="132"/>
      <c r="X12" s="133"/>
      <c r="Y12" s="131">
        <f t="array" ref="Y12">SUM(AB15:AB25)+SUM(_xlfn._xlws.FILTER(AA15:AA25,AB15:AB25=""))+SUM(_xlfn._xlws.FILTER(Z15:Z25,(AA15:AA25="")*(AB15:AB25="")))</f>
        <v>174087.5</v>
      </c>
      <c r="Z12" s="132"/>
      <c r="AA12" s="132"/>
      <c r="AB12" s="132"/>
      <c r="AC12" s="133"/>
      <c r="AD12" s="131">
        <f t="array" ref="AD12">SUM(AG15:AG25)+SUM(_xlfn._xlws.FILTER(AF15:AF25,AG15:AG25=""))+SUM(_xlfn._xlws.FILTER(AE15:AE25,(AF15:AF25="")*(AG15:AG25="")))</f>
        <v>164242.5</v>
      </c>
      <c r="AE12" s="132"/>
      <c r="AF12" s="132"/>
      <c r="AG12" s="132"/>
      <c r="AH12" s="133"/>
      <c r="AI12" s="131">
        <f t="array" ref="AI12">SUM(AL15:AL25)+SUM(_xlfn._xlws.FILTER(AK15:AK25,AL15:AL25=""))+SUM(_xlfn._xlws.FILTER(AJ15:AJ25,(AK15:AK25="")*(AL15:AL25="")))</f>
        <v>138958.5</v>
      </c>
      <c r="AJ12" s="132"/>
      <c r="AK12" s="132"/>
      <c r="AL12" s="132"/>
      <c r="AM12" s="133"/>
      <c r="AN12" s="131">
        <f t="array" ref="AN12">SUM(AQ15:AQ25)+SUM(_xlfn._xlws.FILTER(AP15:AP25,AQ15:AQ25=""))+SUM(_xlfn._xlws.FILTER(AO15:AO25,(AP15:AP25="")*(AQ15:AQ25="")))</f>
        <v>40810.199999999997</v>
      </c>
      <c r="AO12" s="132"/>
      <c r="AP12" s="132"/>
      <c r="AQ12" s="132"/>
      <c r="AR12" s="133"/>
      <c r="AS12" s="131">
        <f t="array" ref="AS12">SUM(AV15:AV25)+SUM(_xlfn._xlws.FILTER(AU15:AU25,AV15:AV25=""))+SUM(_xlfn._xlws.FILTER(AT15:AT25,(AU15:AU25="")*(AV15:AV25="")))</f>
        <v>54907.519999999997</v>
      </c>
      <c r="AT12" s="132"/>
      <c r="AU12" s="132"/>
      <c r="AV12" s="132"/>
      <c r="AW12" s="133"/>
      <c r="AX12" s="131">
        <f t="array" ref="AX12">SUM(BA15:BA25)+SUM(_xlfn._xlws.FILTER(AZ15:AZ25,BA15:BA25=""))+SUM(_xlfn._xlws.FILTER(AY15:AY25,(AZ15:AZ25="")*(BA15:BA25="")))</f>
        <v>0</v>
      </c>
      <c r="AY12" s="132"/>
      <c r="AZ12" s="132"/>
      <c r="BA12" s="132"/>
      <c r="BB12" s="133"/>
      <c r="BC12" s="131">
        <f t="array" ref="BC12">SUM(BF15:BF25)+SUM(_xlfn._xlws.FILTER(BE15:BE25,BF15:BF25=""))+SUM(_xlfn._xlws.FILTER(BD15:BD25,(BE15:BE25="")*(BF15:BF25="")))</f>
        <v>0</v>
      </c>
      <c r="BD12" s="132"/>
      <c r="BE12" s="132"/>
      <c r="BF12" s="132"/>
      <c r="BG12" s="133"/>
      <c r="BH12" s="131">
        <f t="array" ref="BH12">SUM(BK15:BK25)+SUM(_xlfn._xlws.FILTER(BJ15:BJ25,BK15:BK25=""))+SUM(_xlfn._xlws.FILTER(BI15:BI25,(BJ15:BJ25="")*(BK15:BK25="")))</f>
        <v>0</v>
      </c>
      <c r="BI12" s="132"/>
      <c r="BJ12" s="132"/>
      <c r="BK12" s="132"/>
      <c r="BL12" s="133"/>
      <c r="BM12" s="131">
        <f t="array" ref="BM12">SUM(BP15:BP25)+SUM(_xlfn._xlws.FILTER(BO15:BO25,BP15:BP25=""))+SUM(_xlfn._xlws.FILTER(BN15:BN25,(BO15:BO25="")*(BP15:BP25="")))</f>
        <v>0</v>
      </c>
      <c r="BN12" s="132"/>
      <c r="BO12" s="132"/>
      <c r="BP12" s="132"/>
      <c r="BQ12" s="133"/>
      <c r="BR12" s="21"/>
      <c r="BS12" s="22"/>
    </row>
    <row r="13" spans="1:73" ht="16.5" customHeight="1" thickBot="1" x14ac:dyDescent="0.3">
      <c r="A13" s="23" t="s">
        <v>21</v>
      </c>
      <c r="H13" s="138" t="s">
        <v>22</v>
      </c>
      <c r="I13" s="139"/>
      <c r="J13" s="135">
        <v>45322</v>
      </c>
      <c r="K13" s="132"/>
      <c r="L13" s="132"/>
      <c r="M13" s="132"/>
      <c r="N13" s="132"/>
      <c r="O13" s="134">
        <v>45351</v>
      </c>
      <c r="P13" s="132"/>
      <c r="Q13" s="132"/>
      <c r="R13" s="132"/>
      <c r="S13" s="133"/>
      <c r="T13" s="134">
        <v>45382</v>
      </c>
      <c r="U13" s="132"/>
      <c r="V13" s="132"/>
      <c r="W13" s="132"/>
      <c r="X13" s="133"/>
      <c r="Y13" s="134">
        <v>45412</v>
      </c>
      <c r="Z13" s="132"/>
      <c r="AA13" s="132"/>
      <c r="AB13" s="132"/>
      <c r="AC13" s="133"/>
      <c r="AD13" s="134">
        <v>45443</v>
      </c>
      <c r="AE13" s="132"/>
      <c r="AF13" s="132"/>
      <c r="AG13" s="132"/>
      <c r="AH13" s="133"/>
      <c r="AI13" s="134">
        <v>45473</v>
      </c>
      <c r="AJ13" s="132"/>
      <c r="AK13" s="132"/>
      <c r="AL13" s="132"/>
      <c r="AM13" s="133"/>
      <c r="AN13" s="134">
        <v>45504</v>
      </c>
      <c r="AO13" s="132"/>
      <c r="AP13" s="132"/>
      <c r="AQ13" s="132"/>
      <c r="AR13" s="133"/>
      <c r="AS13" s="134">
        <v>45535</v>
      </c>
      <c r="AT13" s="132"/>
      <c r="AU13" s="132"/>
      <c r="AV13" s="132"/>
      <c r="AW13" s="133"/>
      <c r="AX13" s="134">
        <v>45565</v>
      </c>
      <c r="AY13" s="132"/>
      <c r="AZ13" s="132"/>
      <c r="BA13" s="132"/>
      <c r="BB13" s="133"/>
      <c r="BC13" s="134">
        <v>45596</v>
      </c>
      <c r="BD13" s="132"/>
      <c r="BE13" s="132"/>
      <c r="BF13" s="132"/>
      <c r="BG13" s="133"/>
      <c r="BH13" s="134">
        <v>45626</v>
      </c>
      <c r="BI13" s="132"/>
      <c r="BJ13" s="132"/>
      <c r="BK13" s="132"/>
      <c r="BL13" s="133"/>
      <c r="BM13" s="134">
        <v>45657</v>
      </c>
      <c r="BN13" s="132"/>
      <c r="BO13" s="132"/>
      <c r="BP13" s="132"/>
      <c r="BQ13" s="133"/>
      <c r="BR13" s="24">
        <f>SUM(BR15:BR24)</f>
        <v>800145.72</v>
      </c>
      <c r="BS13" s="25"/>
      <c r="BU13" s="19"/>
    </row>
    <row r="14" spans="1:73" ht="60.75" customHeight="1" thickBot="1" x14ac:dyDescent="0.3">
      <c r="A14" s="26" t="s">
        <v>23</v>
      </c>
      <c r="B14" s="27" t="s">
        <v>24</v>
      </c>
      <c r="C14" s="27" t="s">
        <v>25</v>
      </c>
      <c r="D14" s="28" t="s">
        <v>26</v>
      </c>
      <c r="E14" s="29" t="s">
        <v>27</v>
      </c>
      <c r="F14" s="27" t="s">
        <v>28</v>
      </c>
      <c r="G14" s="30" t="s">
        <v>29</v>
      </c>
      <c r="H14" s="31" t="s">
        <v>30</v>
      </c>
      <c r="I14" s="32" t="s">
        <v>31</v>
      </c>
      <c r="J14" s="33" t="s">
        <v>32</v>
      </c>
      <c r="K14" s="34" t="s">
        <v>33</v>
      </c>
      <c r="L14" s="34" t="s">
        <v>34</v>
      </c>
      <c r="M14" s="34" t="s">
        <v>35</v>
      </c>
      <c r="N14" s="36" t="s">
        <v>36</v>
      </c>
      <c r="O14" s="33" t="s">
        <v>37</v>
      </c>
      <c r="P14" s="34" t="s">
        <v>38</v>
      </c>
      <c r="Q14" s="34" t="s">
        <v>39</v>
      </c>
      <c r="R14" s="68" t="s">
        <v>40</v>
      </c>
      <c r="S14" s="35" t="s">
        <v>36</v>
      </c>
      <c r="T14" s="33" t="s">
        <v>41</v>
      </c>
      <c r="U14" s="34" t="s">
        <v>42</v>
      </c>
      <c r="V14" s="34" t="s">
        <v>43</v>
      </c>
      <c r="W14" s="68" t="s">
        <v>44</v>
      </c>
      <c r="X14" s="35" t="s">
        <v>36</v>
      </c>
      <c r="Y14" s="33" t="s">
        <v>45</v>
      </c>
      <c r="Z14" s="34" t="s">
        <v>46</v>
      </c>
      <c r="AA14" s="34" t="s">
        <v>47</v>
      </c>
      <c r="AB14" s="68" t="s">
        <v>48</v>
      </c>
      <c r="AC14" s="35" t="s">
        <v>36</v>
      </c>
      <c r="AD14" s="33" t="s">
        <v>49</v>
      </c>
      <c r="AE14" s="34" t="s">
        <v>50</v>
      </c>
      <c r="AF14" s="34" t="s">
        <v>51</v>
      </c>
      <c r="AG14" s="68" t="s">
        <v>51</v>
      </c>
      <c r="AH14" s="35" t="s">
        <v>36</v>
      </c>
      <c r="AI14" s="33" t="s">
        <v>52</v>
      </c>
      <c r="AJ14" s="34" t="s">
        <v>53</v>
      </c>
      <c r="AK14" s="34" t="s">
        <v>54</v>
      </c>
      <c r="AL14" s="68" t="s">
        <v>55</v>
      </c>
      <c r="AM14" s="35" t="s">
        <v>36</v>
      </c>
      <c r="AN14" s="33" t="s">
        <v>56</v>
      </c>
      <c r="AO14" s="34" t="s">
        <v>57</v>
      </c>
      <c r="AP14" s="34" t="s">
        <v>58</v>
      </c>
      <c r="AQ14" s="68" t="s">
        <v>59</v>
      </c>
      <c r="AR14" s="35" t="s">
        <v>36</v>
      </c>
      <c r="AS14" s="33" t="s">
        <v>60</v>
      </c>
      <c r="AT14" s="34" t="s">
        <v>61</v>
      </c>
      <c r="AU14" s="34" t="s">
        <v>62</v>
      </c>
      <c r="AV14" s="68" t="s">
        <v>63</v>
      </c>
      <c r="AW14" s="35" t="s">
        <v>36</v>
      </c>
      <c r="AX14" s="33" t="s">
        <v>64</v>
      </c>
      <c r="AY14" s="34" t="s">
        <v>65</v>
      </c>
      <c r="AZ14" s="34" t="s">
        <v>66</v>
      </c>
      <c r="BA14" s="68" t="s">
        <v>67</v>
      </c>
      <c r="BB14" s="35" t="s">
        <v>36</v>
      </c>
      <c r="BC14" s="33" t="s">
        <v>68</v>
      </c>
      <c r="BD14" s="34" t="s">
        <v>69</v>
      </c>
      <c r="BE14" s="34" t="s">
        <v>70</v>
      </c>
      <c r="BF14" s="68" t="s">
        <v>71</v>
      </c>
      <c r="BG14" s="35" t="s">
        <v>36</v>
      </c>
      <c r="BH14" s="33" t="s">
        <v>72</v>
      </c>
      <c r="BI14" s="34" t="s">
        <v>73</v>
      </c>
      <c r="BJ14" s="34" t="s">
        <v>74</v>
      </c>
      <c r="BK14" s="68" t="s">
        <v>75</v>
      </c>
      <c r="BL14" s="35" t="s">
        <v>36</v>
      </c>
      <c r="BM14" s="33" t="s">
        <v>76</v>
      </c>
      <c r="BN14" s="34" t="s">
        <v>77</v>
      </c>
      <c r="BO14" s="34" t="s">
        <v>78</v>
      </c>
      <c r="BP14" s="68" t="s">
        <v>79</v>
      </c>
      <c r="BQ14" s="35" t="s">
        <v>36</v>
      </c>
      <c r="BR14" s="37" t="s">
        <v>80</v>
      </c>
      <c r="BS14" s="30" t="s">
        <v>81</v>
      </c>
      <c r="BT14" s="38" t="s">
        <v>82</v>
      </c>
    </row>
    <row r="15" spans="1:73" x14ac:dyDescent="0.25">
      <c r="A15" s="39"/>
      <c r="B15" s="40" t="s">
        <v>83</v>
      </c>
      <c r="C15" s="69"/>
      <c r="D15" s="69"/>
      <c r="E15" s="40"/>
      <c r="F15" s="40"/>
      <c r="G15" s="41"/>
      <c r="H15" s="40"/>
      <c r="I15" s="42"/>
      <c r="J15" s="43">
        <v>0</v>
      </c>
      <c r="K15" s="41">
        <v>14535</v>
      </c>
      <c r="L15" s="41">
        <v>0</v>
      </c>
      <c r="M15" s="44">
        <v>13822.5</v>
      </c>
      <c r="N15" s="44">
        <f t="shared" ref="N15:N21" si="0">L15-M15</f>
        <v>-13822.5</v>
      </c>
      <c r="O15" s="43">
        <v>0</v>
      </c>
      <c r="P15" s="41">
        <v>17100</v>
      </c>
      <c r="Q15" s="41">
        <v>19385.28</v>
      </c>
      <c r="R15" s="44">
        <v>17100</v>
      </c>
      <c r="S15" s="45">
        <f t="shared" ref="S15:S21" si="1">Q15-R15</f>
        <v>2285.2799999999988</v>
      </c>
      <c r="T15" s="46">
        <v>-19385.28</v>
      </c>
      <c r="U15" s="41">
        <v>21375</v>
      </c>
      <c r="V15" s="41">
        <v>22813.72</v>
      </c>
      <c r="W15" s="44">
        <v>20425</v>
      </c>
      <c r="X15" s="53">
        <f t="shared" ref="X15:X21" si="2">V15-W15</f>
        <v>2388.7200000000012</v>
      </c>
      <c r="Y15" s="46">
        <v>-22813.72</v>
      </c>
      <c r="Z15" s="41">
        <v>15390</v>
      </c>
      <c r="AA15" s="41">
        <v>19294.5</v>
      </c>
      <c r="AB15" s="44">
        <v>15247.5</v>
      </c>
      <c r="AC15" s="53">
        <f t="shared" ref="AC15:AC21" si="3">AA15-AB15</f>
        <v>4047</v>
      </c>
      <c r="AD15" s="46">
        <v>-19294.5</v>
      </c>
      <c r="AE15" s="41">
        <v>17100</v>
      </c>
      <c r="AF15" s="41">
        <v>20952.78</v>
      </c>
      <c r="AG15" s="44">
        <v>11162.5</v>
      </c>
      <c r="AH15" s="53">
        <f t="shared" ref="AH15:AH21" si="4">AF15-AG15</f>
        <v>9790.2799999999988</v>
      </c>
      <c r="AI15" s="46">
        <v>-20952.78</v>
      </c>
      <c r="AJ15" s="41">
        <v>21375</v>
      </c>
      <c r="AK15" s="41">
        <v>30922.5</v>
      </c>
      <c r="AL15" s="44">
        <v>16862.5</v>
      </c>
      <c r="AM15" s="53">
        <f t="shared" ref="AM15:AM21" si="5">AK15-AL15</f>
        <v>14060</v>
      </c>
      <c r="AN15" s="46">
        <v>-30922.5</v>
      </c>
      <c r="AO15" s="41">
        <v>855</v>
      </c>
      <c r="AP15" s="41">
        <v>14060</v>
      </c>
      <c r="AQ15" s="44">
        <v>427.5</v>
      </c>
      <c r="AR15" s="53">
        <f t="shared" ref="AR15:AR21" si="6">AP15-AQ15</f>
        <v>13632.5</v>
      </c>
      <c r="AS15" s="46">
        <v>-14060</v>
      </c>
      <c r="AT15" s="41">
        <v>0</v>
      </c>
      <c r="AU15" s="41">
        <v>13632.5</v>
      </c>
      <c r="AV15" s="44">
        <v>0</v>
      </c>
      <c r="AW15" s="53">
        <f t="shared" ref="AW15:AW21" si="7">AU15-AV15</f>
        <v>13632.5</v>
      </c>
      <c r="AX15" s="46">
        <v>-13632.5</v>
      </c>
      <c r="AY15" s="41">
        <v>0</v>
      </c>
      <c r="AZ15" s="41">
        <v>13632.5</v>
      </c>
      <c r="BA15" s="44">
        <v>0</v>
      </c>
      <c r="BB15" s="53">
        <f t="shared" ref="BB15:BB21" si="8">AZ15-BA15</f>
        <v>13632.5</v>
      </c>
      <c r="BC15" s="46">
        <v>0</v>
      </c>
      <c r="BD15" s="41">
        <v>0</v>
      </c>
      <c r="BE15" s="41">
        <v>0</v>
      </c>
      <c r="BF15" s="44">
        <v>0</v>
      </c>
      <c r="BG15" s="53">
        <f t="shared" ref="BG15:BG21" si="9">BE15-BF15</f>
        <v>0</v>
      </c>
      <c r="BH15" s="46">
        <v>0</v>
      </c>
      <c r="BI15" s="41">
        <v>0</v>
      </c>
      <c r="BJ15" s="41">
        <v>0</v>
      </c>
      <c r="BK15" s="44">
        <v>0</v>
      </c>
      <c r="BL15" s="53">
        <f t="shared" ref="BL15:BL21" si="10">BJ15-BK15</f>
        <v>0</v>
      </c>
      <c r="BM15" s="46">
        <v>0</v>
      </c>
      <c r="BN15" s="41">
        <v>0</v>
      </c>
      <c r="BO15" s="41">
        <v>0</v>
      </c>
      <c r="BP15" s="44">
        <v>0</v>
      </c>
      <c r="BQ15" s="53">
        <f t="shared" ref="BQ15:BQ21" si="11">BO15-BP15</f>
        <v>0</v>
      </c>
      <c r="BR15" s="43">
        <f t="shared" ref="BR15:BR21" si="12">SUM(IF(M15&lt;&gt;"",M15,IF(L15&lt;&gt;"",L15,K15)),IF(R15&lt;&gt;"",R15,IF(Q15&lt;&gt;"",Q15,P15)),IF(W15&lt;&gt;"",W15,IF(V15&lt;&gt;"",V15,U15)),IF(AB15&lt;&gt;"",AB15,IF(AA15&lt;&gt;"",AA15,Z15)),IF(AG15&lt;&gt;"",AG15,IF(AF15&lt;&gt;"",AF15,AE15)),IF(AL15&lt;&gt;"",AL15,IF(AK15&lt;&gt;"",AK15,AJ15)),IF(AQ15&lt;&gt;"",AQ15,IF(AP15&lt;&gt;"",AP15,AO15)),IF(AV15&lt;&gt;"",AV15,IF(AU15&lt;&gt;"",AU15,AT15)),IF(BA15&lt;&gt;"",BA15,IF(AZ15&lt;&gt;"",AZ15,AY15)),IF(BF15&lt;&gt;"",BF15,IF(BE15&lt;&gt;"",BE15,BD15)),IF(BK15&lt;&gt;"",BK15,IF(BJ15&lt;&gt;"",BJ15,BI15)),IF(BP15&lt;&gt;"",BP15,IF(BO15&lt;&gt;"",BO15,BN15)))</f>
        <v>95047.5</v>
      </c>
      <c r="BS15" s="70"/>
      <c r="BT15" s="71"/>
    </row>
    <row r="16" spans="1:73" x14ac:dyDescent="0.25">
      <c r="A16" s="47"/>
      <c r="B16" s="48" t="s">
        <v>84</v>
      </c>
      <c r="C16" s="72"/>
      <c r="D16" s="72"/>
      <c r="E16" s="72"/>
      <c r="F16" s="48"/>
      <c r="G16" s="49"/>
      <c r="H16" s="48"/>
      <c r="I16" s="50"/>
      <c r="J16" s="51"/>
      <c r="K16" s="49"/>
      <c r="L16" s="49"/>
      <c r="M16" s="52"/>
      <c r="N16" s="52">
        <f t="shared" si="0"/>
        <v>0</v>
      </c>
      <c r="O16" s="51">
        <v>0</v>
      </c>
      <c r="P16" s="49">
        <v>0</v>
      </c>
      <c r="Q16" s="49">
        <v>46348.31</v>
      </c>
      <c r="R16" s="52">
        <v>0</v>
      </c>
      <c r="S16" s="53">
        <f t="shared" si="1"/>
        <v>46348.31</v>
      </c>
      <c r="T16" s="54">
        <v>-46348.31</v>
      </c>
      <c r="U16" s="49">
        <v>0</v>
      </c>
      <c r="V16" s="49">
        <v>75000</v>
      </c>
      <c r="W16" s="52">
        <v>0</v>
      </c>
      <c r="X16" s="53">
        <f t="shared" si="2"/>
        <v>75000</v>
      </c>
      <c r="Y16" s="54">
        <v>-131233.16</v>
      </c>
      <c r="Z16" s="49">
        <v>0</v>
      </c>
      <c r="AA16" s="49">
        <v>122899.16</v>
      </c>
      <c r="AB16" s="49">
        <v>99000</v>
      </c>
      <c r="AC16" s="53">
        <f t="shared" si="3"/>
        <v>23899.160000000003</v>
      </c>
      <c r="AD16" s="54">
        <v>-122899.16</v>
      </c>
      <c r="AE16" s="49">
        <v>0</v>
      </c>
      <c r="AF16" s="49">
        <v>82233.16</v>
      </c>
      <c r="AG16" s="49">
        <v>0</v>
      </c>
      <c r="AH16" s="53">
        <f t="shared" si="4"/>
        <v>82233.16</v>
      </c>
      <c r="AI16" s="54">
        <v>-26000</v>
      </c>
      <c r="AJ16" s="49">
        <v>0</v>
      </c>
      <c r="AK16" s="49">
        <v>0</v>
      </c>
      <c r="AL16" s="49">
        <v>24333</v>
      </c>
      <c r="AM16" s="53">
        <f t="shared" si="5"/>
        <v>-24333</v>
      </c>
      <c r="AN16" s="54"/>
      <c r="AO16" s="49"/>
      <c r="AP16" s="49"/>
      <c r="AQ16" s="49"/>
      <c r="AR16" s="53">
        <f t="shared" si="6"/>
        <v>0</v>
      </c>
      <c r="AS16" s="54"/>
      <c r="AT16" s="49"/>
      <c r="AU16" s="49"/>
      <c r="AV16" s="49"/>
      <c r="AW16" s="53">
        <f t="shared" si="7"/>
        <v>0</v>
      </c>
      <c r="AX16" s="54">
        <v>0</v>
      </c>
      <c r="AY16" s="49">
        <v>0</v>
      </c>
      <c r="AZ16" s="49">
        <v>4497.1899999999996</v>
      </c>
      <c r="BA16" s="49">
        <v>0</v>
      </c>
      <c r="BB16" s="53">
        <f t="shared" si="8"/>
        <v>4497.1899999999996</v>
      </c>
      <c r="BC16" s="54"/>
      <c r="BD16" s="49"/>
      <c r="BE16" s="49"/>
      <c r="BF16" s="49"/>
      <c r="BG16" s="53">
        <f t="shared" si="9"/>
        <v>0</v>
      </c>
      <c r="BH16" s="54"/>
      <c r="BI16" s="49"/>
      <c r="BJ16" s="49"/>
      <c r="BK16" s="49"/>
      <c r="BL16" s="53">
        <f t="shared" si="10"/>
        <v>0</v>
      </c>
      <c r="BM16" s="54"/>
      <c r="BN16" s="49"/>
      <c r="BO16" s="49"/>
      <c r="BP16" s="49"/>
      <c r="BQ16" s="53">
        <f t="shared" si="11"/>
        <v>0</v>
      </c>
      <c r="BR16" s="51">
        <f t="shared" si="12"/>
        <v>123333</v>
      </c>
      <c r="BS16" s="73"/>
      <c r="BT16" s="74"/>
    </row>
    <row r="17" spans="1:72" x14ac:dyDescent="0.25">
      <c r="A17" s="47"/>
      <c r="B17" s="48" t="s">
        <v>85</v>
      </c>
      <c r="C17" s="72"/>
      <c r="D17" s="72"/>
      <c r="E17" s="48"/>
      <c r="F17" s="48"/>
      <c r="G17" s="49"/>
      <c r="H17" s="48"/>
      <c r="I17" s="50"/>
      <c r="J17" s="55">
        <v>0</v>
      </c>
      <c r="K17" s="56">
        <v>0</v>
      </c>
      <c r="L17" s="56">
        <v>0</v>
      </c>
      <c r="M17" s="52">
        <v>0</v>
      </c>
      <c r="N17" s="52">
        <f t="shared" si="0"/>
        <v>0</v>
      </c>
      <c r="O17" s="55">
        <v>0</v>
      </c>
      <c r="P17" s="49">
        <v>0</v>
      </c>
      <c r="Q17" s="49">
        <v>0</v>
      </c>
      <c r="R17" s="52">
        <v>0</v>
      </c>
      <c r="S17" s="53">
        <f t="shared" si="1"/>
        <v>0</v>
      </c>
      <c r="T17" s="54">
        <v>0</v>
      </c>
      <c r="U17" s="49">
        <v>0</v>
      </c>
      <c r="V17" s="49">
        <v>0</v>
      </c>
      <c r="W17" s="57">
        <v>0</v>
      </c>
      <c r="X17" s="53">
        <f t="shared" si="2"/>
        <v>0</v>
      </c>
      <c r="Y17" s="54">
        <v>0</v>
      </c>
      <c r="Z17" s="56">
        <v>0</v>
      </c>
      <c r="AA17" s="56">
        <v>0</v>
      </c>
      <c r="AB17" s="57">
        <v>0</v>
      </c>
      <c r="AC17" s="53">
        <f t="shared" si="3"/>
        <v>0</v>
      </c>
      <c r="AD17" s="54">
        <v>0</v>
      </c>
      <c r="AE17" s="56">
        <v>0</v>
      </c>
      <c r="AF17" s="56">
        <v>0</v>
      </c>
      <c r="AG17" s="57">
        <v>0</v>
      </c>
      <c r="AH17" s="53">
        <f t="shared" si="4"/>
        <v>0</v>
      </c>
      <c r="AI17" s="54">
        <v>0</v>
      </c>
      <c r="AJ17" s="56">
        <v>0</v>
      </c>
      <c r="AK17" s="56">
        <v>0</v>
      </c>
      <c r="AL17" s="57">
        <v>0</v>
      </c>
      <c r="AM17" s="53">
        <f t="shared" si="5"/>
        <v>0</v>
      </c>
      <c r="AN17" s="54">
        <v>0</v>
      </c>
      <c r="AO17" s="56">
        <v>70183</v>
      </c>
      <c r="AP17" s="56">
        <v>0</v>
      </c>
      <c r="AQ17" s="57">
        <v>0</v>
      </c>
      <c r="AR17" s="53">
        <f t="shared" si="6"/>
        <v>0</v>
      </c>
      <c r="AS17" s="54">
        <v>0</v>
      </c>
      <c r="AT17" s="56">
        <v>73470</v>
      </c>
      <c r="AU17" s="56">
        <v>0</v>
      </c>
      <c r="AV17" s="57">
        <v>0</v>
      </c>
      <c r="AW17" s="53">
        <f t="shared" si="7"/>
        <v>0</v>
      </c>
      <c r="AX17" s="54">
        <v>0</v>
      </c>
      <c r="AY17" s="56">
        <v>92187.5</v>
      </c>
      <c r="AZ17" s="56">
        <v>0</v>
      </c>
      <c r="BA17" s="57">
        <v>0</v>
      </c>
      <c r="BB17" s="53">
        <f t="shared" si="8"/>
        <v>0</v>
      </c>
      <c r="BC17" s="54">
        <v>0</v>
      </c>
      <c r="BD17" s="56">
        <v>72187.5</v>
      </c>
      <c r="BE17" s="56">
        <v>0</v>
      </c>
      <c r="BF17" s="57">
        <v>0</v>
      </c>
      <c r="BG17" s="53">
        <f t="shared" si="9"/>
        <v>0</v>
      </c>
      <c r="BH17" s="54">
        <v>0</v>
      </c>
      <c r="BI17" s="56">
        <v>73470</v>
      </c>
      <c r="BJ17" s="56">
        <v>0</v>
      </c>
      <c r="BK17" s="57">
        <v>0</v>
      </c>
      <c r="BL17" s="53">
        <f t="shared" si="10"/>
        <v>0</v>
      </c>
      <c r="BM17" s="54">
        <v>0</v>
      </c>
      <c r="BN17" s="56">
        <v>107926.5</v>
      </c>
      <c r="BO17" s="56">
        <v>0</v>
      </c>
      <c r="BP17" s="57">
        <v>0</v>
      </c>
      <c r="BQ17" s="53">
        <f t="shared" si="11"/>
        <v>0</v>
      </c>
      <c r="BR17" s="51">
        <f t="shared" si="12"/>
        <v>0</v>
      </c>
      <c r="BS17" s="73"/>
      <c r="BT17" s="74"/>
    </row>
    <row r="18" spans="1:72" x14ac:dyDescent="0.25">
      <c r="A18" s="47"/>
      <c r="B18" s="48" t="s">
        <v>86</v>
      </c>
      <c r="C18" s="72"/>
      <c r="D18" s="72"/>
      <c r="E18" s="48"/>
      <c r="F18" s="48"/>
      <c r="G18" s="49"/>
      <c r="H18" s="48"/>
      <c r="I18" s="50"/>
      <c r="J18" s="51">
        <v>0</v>
      </c>
      <c r="K18" s="49">
        <v>38400</v>
      </c>
      <c r="L18" s="49">
        <v>0</v>
      </c>
      <c r="M18" s="52">
        <v>34040</v>
      </c>
      <c r="N18" s="52">
        <f t="shared" si="0"/>
        <v>-34040</v>
      </c>
      <c r="O18" s="51">
        <v>0</v>
      </c>
      <c r="P18" s="49">
        <v>45600</v>
      </c>
      <c r="Q18" s="49">
        <v>62210</v>
      </c>
      <c r="R18" s="52">
        <v>0</v>
      </c>
      <c r="S18" s="53">
        <f t="shared" si="1"/>
        <v>62210</v>
      </c>
      <c r="T18" s="54">
        <v>-78320</v>
      </c>
      <c r="U18" s="49">
        <v>60000</v>
      </c>
      <c r="V18" s="49">
        <v>121710</v>
      </c>
      <c r="W18" s="52">
        <v>58648</v>
      </c>
      <c r="X18" s="53">
        <f t="shared" si="2"/>
        <v>63062</v>
      </c>
      <c r="Y18" s="54">
        <v>-140172</v>
      </c>
      <c r="Z18" s="49">
        <v>48000</v>
      </c>
      <c r="AA18" s="49">
        <v>128172</v>
      </c>
      <c r="AB18" s="52">
        <v>20960</v>
      </c>
      <c r="AC18" s="53">
        <f t="shared" si="3"/>
        <v>107212</v>
      </c>
      <c r="AD18" s="54">
        <v>-130564</v>
      </c>
      <c r="AE18" s="49">
        <v>48000</v>
      </c>
      <c r="AF18" s="49">
        <v>158564</v>
      </c>
      <c r="AG18" s="52">
        <v>102760</v>
      </c>
      <c r="AH18" s="53">
        <f t="shared" si="4"/>
        <v>55804</v>
      </c>
      <c r="AI18" s="54">
        <v>-140102</v>
      </c>
      <c r="AJ18" s="49">
        <v>57600</v>
      </c>
      <c r="AK18" s="49">
        <v>117094</v>
      </c>
      <c r="AL18" s="52">
        <v>38368</v>
      </c>
      <c r="AM18" s="53">
        <f t="shared" si="5"/>
        <v>78726</v>
      </c>
      <c r="AN18" s="54">
        <v>-98592</v>
      </c>
      <c r="AO18" s="49">
        <v>2400</v>
      </c>
      <c r="AP18" s="49">
        <v>60224</v>
      </c>
      <c r="AQ18" s="52">
        <v>0</v>
      </c>
      <c r="AR18" s="53">
        <f t="shared" si="6"/>
        <v>60224</v>
      </c>
      <c r="AS18" s="54">
        <v>-60224</v>
      </c>
      <c r="AT18" s="49">
        <v>0</v>
      </c>
      <c r="AU18" s="49">
        <v>0</v>
      </c>
      <c r="AV18" s="52">
        <v>2400</v>
      </c>
      <c r="AW18" s="53">
        <f t="shared" si="7"/>
        <v>-2400</v>
      </c>
      <c r="AX18" s="54">
        <v>0</v>
      </c>
      <c r="AY18" s="49">
        <v>0</v>
      </c>
      <c r="AZ18" s="49">
        <v>57824</v>
      </c>
      <c r="BA18" s="52">
        <v>0</v>
      </c>
      <c r="BB18" s="53">
        <f t="shared" si="8"/>
        <v>57824</v>
      </c>
      <c r="BC18" s="54">
        <v>0</v>
      </c>
      <c r="BD18" s="49">
        <v>0</v>
      </c>
      <c r="BE18" s="49">
        <v>0</v>
      </c>
      <c r="BF18" s="52">
        <v>0</v>
      </c>
      <c r="BG18" s="53">
        <f t="shared" si="9"/>
        <v>0</v>
      </c>
      <c r="BH18" s="54">
        <v>0</v>
      </c>
      <c r="BI18" s="49">
        <v>0</v>
      </c>
      <c r="BJ18" s="49">
        <v>0</v>
      </c>
      <c r="BK18" s="52">
        <v>0</v>
      </c>
      <c r="BL18" s="53">
        <f t="shared" si="10"/>
        <v>0</v>
      </c>
      <c r="BM18" s="54">
        <v>0</v>
      </c>
      <c r="BN18" s="49">
        <v>0</v>
      </c>
      <c r="BO18" s="49">
        <v>0</v>
      </c>
      <c r="BP18" s="52">
        <v>0</v>
      </c>
      <c r="BQ18" s="53">
        <f t="shared" si="11"/>
        <v>0</v>
      </c>
      <c r="BR18" s="51">
        <f t="shared" si="12"/>
        <v>257176</v>
      </c>
      <c r="BS18" s="73"/>
      <c r="BT18" s="74"/>
    </row>
    <row r="19" spans="1:72" x14ac:dyDescent="0.25">
      <c r="A19" s="75"/>
      <c r="B19" t="s">
        <v>87</v>
      </c>
      <c r="C19" s="72"/>
      <c r="D19" s="72"/>
      <c r="E19" s="48"/>
      <c r="F19" s="48"/>
      <c r="G19" s="49"/>
      <c r="H19" s="48"/>
      <c r="I19" s="50"/>
      <c r="J19" s="51">
        <v>0</v>
      </c>
      <c r="K19" s="49">
        <v>16640</v>
      </c>
      <c r="L19" s="49">
        <v>0</v>
      </c>
      <c r="M19" s="52">
        <v>0</v>
      </c>
      <c r="N19" s="52">
        <f t="shared" si="0"/>
        <v>0</v>
      </c>
      <c r="O19" s="51">
        <v>0</v>
      </c>
      <c r="P19" s="49">
        <v>29990</v>
      </c>
      <c r="Q19" s="49">
        <v>0</v>
      </c>
      <c r="R19" s="52">
        <v>0</v>
      </c>
      <c r="S19" s="53">
        <f t="shared" si="1"/>
        <v>0</v>
      </c>
      <c r="T19" s="54">
        <v>0</v>
      </c>
      <c r="U19" s="49">
        <v>53800</v>
      </c>
      <c r="V19" s="49">
        <v>153900</v>
      </c>
      <c r="W19" s="52">
        <v>83104</v>
      </c>
      <c r="X19" s="53">
        <f t="shared" si="2"/>
        <v>70796</v>
      </c>
      <c r="Y19" s="54">
        <v>-221467.43</v>
      </c>
      <c r="Z19" s="49">
        <v>47200</v>
      </c>
      <c r="AA19" s="49">
        <v>114767.43</v>
      </c>
      <c r="AB19" s="49">
        <v>38880</v>
      </c>
      <c r="AC19" s="53">
        <f t="shared" si="3"/>
        <v>75887.429999999993</v>
      </c>
      <c r="AD19" s="54">
        <v>-185608.7</v>
      </c>
      <c r="AE19" s="49">
        <v>47200</v>
      </c>
      <c r="AF19" s="49">
        <v>190808.7</v>
      </c>
      <c r="AG19" s="49">
        <v>50320</v>
      </c>
      <c r="AH19" s="53">
        <f t="shared" si="4"/>
        <v>140488.70000000001</v>
      </c>
      <c r="AI19" s="54">
        <v>-201074.85</v>
      </c>
      <c r="AJ19" s="49">
        <v>54280</v>
      </c>
      <c r="AK19" s="49">
        <v>202954.85</v>
      </c>
      <c r="AL19" s="49">
        <v>59395</v>
      </c>
      <c r="AM19" s="53">
        <f t="shared" si="5"/>
        <v>143559.85</v>
      </c>
      <c r="AN19" s="54">
        <v>-132113.57999999999</v>
      </c>
      <c r="AO19" s="49">
        <v>44840</v>
      </c>
      <c r="AP19" s="49">
        <v>197906.01</v>
      </c>
      <c r="AQ19" s="49">
        <v>40382.699999999997</v>
      </c>
      <c r="AR19" s="53">
        <f t="shared" si="6"/>
        <v>157523.31</v>
      </c>
      <c r="AS19" s="54">
        <v>-199916</v>
      </c>
      <c r="AT19" s="49">
        <v>47200</v>
      </c>
      <c r="AU19" s="49">
        <v>127043.57</v>
      </c>
      <c r="AV19" s="49">
        <v>52507.519999999997</v>
      </c>
      <c r="AW19" s="53">
        <f t="shared" si="7"/>
        <v>74536.050000000017</v>
      </c>
      <c r="AX19" s="54">
        <v>-127043.57</v>
      </c>
      <c r="AY19" s="49">
        <v>56640</v>
      </c>
      <c r="AZ19" s="49">
        <v>79843.570000000007</v>
      </c>
      <c r="BA19" s="49">
        <v>0</v>
      </c>
      <c r="BB19" s="53">
        <f t="shared" si="8"/>
        <v>79843.570000000007</v>
      </c>
      <c r="BC19" s="54">
        <v>0</v>
      </c>
      <c r="BD19" s="49">
        <v>47200</v>
      </c>
      <c r="BE19" s="49">
        <v>0</v>
      </c>
      <c r="BF19" s="49">
        <v>0</v>
      </c>
      <c r="BG19" s="53">
        <f t="shared" si="9"/>
        <v>0</v>
      </c>
      <c r="BH19" s="54">
        <v>0</v>
      </c>
      <c r="BI19" s="49">
        <v>44840</v>
      </c>
      <c r="BJ19" s="49">
        <v>0</v>
      </c>
      <c r="BK19" s="49">
        <v>0</v>
      </c>
      <c r="BL19" s="53">
        <f t="shared" si="10"/>
        <v>0</v>
      </c>
      <c r="BM19" s="54">
        <v>0</v>
      </c>
      <c r="BN19" s="49">
        <v>55600</v>
      </c>
      <c r="BO19" s="49">
        <v>0</v>
      </c>
      <c r="BP19" s="49">
        <v>0</v>
      </c>
      <c r="BQ19" s="53">
        <f t="shared" si="11"/>
        <v>0</v>
      </c>
      <c r="BR19" s="51">
        <f t="shared" si="12"/>
        <v>324589.22000000003</v>
      </c>
      <c r="BS19" s="73"/>
      <c r="BT19" s="74"/>
    </row>
    <row r="20" spans="1:72" x14ac:dyDescent="0.25">
      <c r="A20" s="47"/>
      <c r="B20" s="48" t="s">
        <v>88</v>
      </c>
      <c r="C20" s="72"/>
      <c r="D20" s="72"/>
      <c r="E20" s="48"/>
      <c r="F20" s="48"/>
      <c r="G20" s="49"/>
      <c r="H20" s="48"/>
      <c r="I20" s="50"/>
      <c r="J20" s="51">
        <v>0</v>
      </c>
      <c r="K20" s="49">
        <v>0</v>
      </c>
      <c r="L20" s="49">
        <v>0</v>
      </c>
      <c r="M20" s="52">
        <v>0</v>
      </c>
      <c r="N20" s="52">
        <f t="shared" si="0"/>
        <v>0</v>
      </c>
      <c r="O20" s="51">
        <v>0</v>
      </c>
      <c r="P20" s="49">
        <v>0</v>
      </c>
      <c r="Q20" s="49">
        <v>0</v>
      </c>
      <c r="R20" s="52">
        <v>0</v>
      </c>
      <c r="S20" s="53">
        <f t="shared" si="1"/>
        <v>0</v>
      </c>
      <c r="T20" s="54">
        <v>0</v>
      </c>
      <c r="U20" s="49">
        <v>0</v>
      </c>
      <c r="V20" s="49">
        <v>0</v>
      </c>
      <c r="W20" s="52">
        <v>0</v>
      </c>
      <c r="X20" s="53">
        <f t="shared" si="2"/>
        <v>0</v>
      </c>
      <c r="Y20" s="54">
        <v>0</v>
      </c>
      <c r="Z20" s="49">
        <v>0</v>
      </c>
      <c r="AA20" s="49">
        <v>0</v>
      </c>
      <c r="AB20" s="52">
        <v>0</v>
      </c>
      <c r="AC20" s="53">
        <f t="shared" si="3"/>
        <v>0</v>
      </c>
      <c r="AD20" s="54">
        <v>0</v>
      </c>
      <c r="AE20" s="49">
        <v>0</v>
      </c>
      <c r="AF20" s="49">
        <v>0</v>
      </c>
      <c r="AG20" s="52">
        <v>0</v>
      </c>
      <c r="AH20" s="53">
        <f t="shared" si="4"/>
        <v>0</v>
      </c>
      <c r="AI20" s="54">
        <v>0</v>
      </c>
      <c r="AJ20" s="49">
        <v>0</v>
      </c>
      <c r="AK20" s="49">
        <v>0</v>
      </c>
      <c r="AL20" s="52">
        <v>0</v>
      </c>
      <c r="AM20" s="53">
        <f t="shared" si="5"/>
        <v>0</v>
      </c>
      <c r="AN20" s="54">
        <v>0</v>
      </c>
      <c r="AO20" s="49">
        <v>36000</v>
      </c>
      <c r="AP20" s="49">
        <v>0</v>
      </c>
      <c r="AQ20" s="52">
        <v>0</v>
      </c>
      <c r="AR20" s="53">
        <f t="shared" si="6"/>
        <v>0</v>
      </c>
      <c r="AS20" s="54">
        <v>0</v>
      </c>
      <c r="AT20" s="49">
        <v>40000</v>
      </c>
      <c r="AU20" s="49">
        <v>0</v>
      </c>
      <c r="AV20" s="52">
        <v>0</v>
      </c>
      <c r="AW20" s="53">
        <f t="shared" si="7"/>
        <v>0</v>
      </c>
      <c r="AX20" s="54">
        <v>0</v>
      </c>
      <c r="AY20" s="49">
        <v>50000</v>
      </c>
      <c r="AZ20" s="49">
        <v>0</v>
      </c>
      <c r="BA20" s="52">
        <v>0</v>
      </c>
      <c r="BB20" s="53">
        <f t="shared" si="8"/>
        <v>0</v>
      </c>
      <c r="BC20" s="54">
        <v>0</v>
      </c>
      <c r="BD20" s="49">
        <v>40000</v>
      </c>
      <c r="BE20" s="49">
        <v>0</v>
      </c>
      <c r="BF20" s="52">
        <v>0</v>
      </c>
      <c r="BG20" s="53">
        <f t="shared" si="9"/>
        <v>0</v>
      </c>
      <c r="BH20" s="54">
        <v>0</v>
      </c>
      <c r="BI20" s="49">
        <v>40000</v>
      </c>
      <c r="BJ20" s="49">
        <v>0</v>
      </c>
      <c r="BK20" s="52">
        <v>0</v>
      </c>
      <c r="BL20" s="53">
        <f t="shared" si="10"/>
        <v>0</v>
      </c>
      <c r="BM20" s="54">
        <v>0</v>
      </c>
      <c r="BN20" s="49">
        <v>48000</v>
      </c>
      <c r="BO20" s="49">
        <v>0</v>
      </c>
      <c r="BP20" s="52">
        <v>0</v>
      </c>
      <c r="BQ20" s="53">
        <f t="shared" si="11"/>
        <v>0</v>
      </c>
      <c r="BR20" s="51">
        <f t="shared" si="12"/>
        <v>0</v>
      </c>
      <c r="BS20" s="73"/>
      <c r="BT20" s="74"/>
    </row>
    <row r="21" spans="1:72" x14ac:dyDescent="0.25">
      <c r="A21" s="47"/>
      <c r="B21" s="48"/>
      <c r="C21" s="72"/>
      <c r="D21" s="72"/>
      <c r="E21" s="48"/>
      <c r="F21" s="48"/>
      <c r="G21" s="49"/>
      <c r="H21" s="48"/>
      <c r="I21" s="50"/>
      <c r="J21" s="51"/>
      <c r="K21" s="49"/>
      <c r="L21" s="49"/>
      <c r="M21" s="52"/>
      <c r="N21" s="52">
        <f t="shared" si="0"/>
        <v>0</v>
      </c>
      <c r="O21" s="51"/>
      <c r="P21" s="49"/>
      <c r="Q21" s="49"/>
      <c r="R21" s="52"/>
      <c r="S21" s="53">
        <f t="shared" si="1"/>
        <v>0</v>
      </c>
      <c r="T21" s="54"/>
      <c r="U21" s="49"/>
      <c r="V21" s="49"/>
      <c r="W21" s="52"/>
      <c r="X21" s="53">
        <f t="shared" si="2"/>
        <v>0</v>
      </c>
      <c r="Y21" s="54"/>
      <c r="Z21" s="49"/>
      <c r="AA21" s="49"/>
      <c r="AB21" s="52"/>
      <c r="AC21" s="53">
        <f t="shared" si="3"/>
        <v>0</v>
      </c>
      <c r="AD21" s="54"/>
      <c r="AE21" s="49"/>
      <c r="AF21" s="49"/>
      <c r="AG21" s="52"/>
      <c r="AH21" s="53">
        <f t="shared" si="4"/>
        <v>0</v>
      </c>
      <c r="AI21" s="54"/>
      <c r="AJ21" s="49"/>
      <c r="AK21" s="49"/>
      <c r="AL21" s="52"/>
      <c r="AM21" s="53">
        <f t="shared" si="5"/>
        <v>0</v>
      </c>
      <c r="AN21" s="54"/>
      <c r="AO21" s="49"/>
      <c r="AP21" s="49"/>
      <c r="AQ21" s="52"/>
      <c r="AR21" s="53">
        <f t="shared" si="6"/>
        <v>0</v>
      </c>
      <c r="AS21" s="54"/>
      <c r="AT21" s="49"/>
      <c r="AU21" s="49"/>
      <c r="AV21" s="52"/>
      <c r="AW21" s="53">
        <f t="shared" si="7"/>
        <v>0</v>
      </c>
      <c r="AX21" s="54"/>
      <c r="AY21" s="49"/>
      <c r="AZ21" s="49"/>
      <c r="BA21" s="52"/>
      <c r="BB21" s="53">
        <f t="shared" si="8"/>
        <v>0</v>
      </c>
      <c r="BC21" s="54"/>
      <c r="BD21" s="49"/>
      <c r="BE21" s="49"/>
      <c r="BF21" s="52"/>
      <c r="BG21" s="53">
        <f t="shared" si="9"/>
        <v>0</v>
      </c>
      <c r="BH21" s="54"/>
      <c r="BI21" s="49"/>
      <c r="BJ21" s="49"/>
      <c r="BK21" s="52"/>
      <c r="BL21" s="53">
        <f t="shared" si="10"/>
        <v>0</v>
      </c>
      <c r="BM21" s="54"/>
      <c r="BN21" s="49"/>
      <c r="BO21" s="49"/>
      <c r="BP21" s="52"/>
      <c r="BQ21" s="53">
        <f t="shared" si="11"/>
        <v>0</v>
      </c>
      <c r="BR21" s="51">
        <f t="shared" si="12"/>
        <v>0</v>
      </c>
      <c r="BS21" s="73"/>
      <c r="BT21" s="74"/>
    </row>
    <row r="22" spans="1:72" s="67" customFormat="1" x14ac:dyDescent="0.25">
      <c r="A22" s="47"/>
      <c r="B22" s="48"/>
      <c r="C22" s="72"/>
      <c r="D22" s="72"/>
      <c r="E22" s="48"/>
      <c r="F22" s="48"/>
      <c r="G22" s="49"/>
      <c r="H22" s="48"/>
      <c r="I22" s="50"/>
      <c r="J22" s="51"/>
      <c r="K22" s="49"/>
      <c r="L22" s="49"/>
      <c r="M22" s="52"/>
      <c r="N22" s="52"/>
      <c r="O22" s="51"/>
      <c r="P22" s="49"/>
      <c r="Q22" s="49"/>
      <c r="R22" s="52"/>
      <c r="S22" s="53"/>
      <c r="T22" s="54"/>
      <c r="U22" s="49"/>
      <c r="V22" s="49"/>
      <c r="W22" s="52"/>
      <c r="X22" s="53"/>
      <c r="Y22" s="54"/>
      <c r="Z22" s="49"/>
      <c r="AA22" s="49"/>
      <c r="AB22" s="52"/>
      <c r="AC22" s="53"/>
      <c r="AD22" s="54"/>
      <c r="AE22" s="49"/>
      <c r="AF22" s="49"/>
      <c r="AG22" s="52"/>
      <c r="AH22" s="53"/>
      <c r="AI22" s="54"/>
      <c r="AJ22" s="49"/>
      <c r="AK22" s="49"/>
      <c r="AL22" s="52"/>
      <c r="AM22" s="53"/>
      <c r="AN22" s="54"/>
      <c r="AO22" s="49"/>
      <c r="AP22" s="49"/>
      <c r="AQ22" s="52"/>
      <c r="AR22" s="53"/>
      <c r="AS22" s="54"/>
      <c r="AT22" s="49"/>
      <c r="AU22" s="49"/>
      <c r="AV22" s="52"/>
      <c r="AW22" s="53"/>
      <c r="AX22" s="54"/>
      <c r="AY22" s="49"/>
      <c r="AZ22" s="49"/>
      <c r="BA22" s="52"/>
      <c r="BB22" s="53"/>
      <c r="BC22" s="54"/>
      <c r="BD22" s="49"/>
      <c r="BE22" s="49"/>
      <c r="BF22" s="52"/>
      <c r="BG22" s="53"/>
      <c r="BH22" s="54"/>
      <c r="BI22" s="49"/>
      <c r="BJ22" s="49"/>
      <c r="BK22" s="52"/>
      <c r="BL22" s="53"/>
      <c r="BM22" s="54"/>
      <c r="BN22" s="49"/>
      <c r="BO22" s="49"/>
      <c r="BP22" s="52"/>
      <c r="BQ22" s="53"/>
      <c r="BR22" s="51"/>
      <c r="BS22" s="73"/>
      <c r="BT22" s="74"/>
    </row>
    <row r="23" spans="1:72" s="87" customFormat="1" x14ac:dyDescent="0.25">
      <c r="A23" s="100" t="s">
        <v>89</v>
      </c>
      <c r="B23" s="101"/>
      <c r="C23" s="102"/>
      <c r="D23" s="102"/>
      <c r="E23" s="101"/>
      <c r="F23" s="101"/>
      <c r="G23" s="103"/>
      <c r="H23" s="101"/>
      <c r="I23" s="104"/>
      <c r="J23" s="105"/>
      <c r="K23" s="103"/>
      <c r="L23" s="103"/>
      <c r="M23" s="106"/>
      <c r="N23" s="106" t="str">
        <f>IF(OR(L22="",M22=""),"",L22-M22)</f>
        <v/>
      </c>
      <c r="O23" s="105"/>
      <c r="P23" s="103"/>
      <c r="Q23" s="103"/>
      <c r="R23" s="106"/>
      <c r="S23" s="107"/>
      <c r="T23" s="108"/>
      <c r="U23" s="103"/>
      <c r="V23" s="103"/>
      <c r="W23" s="106"/>
      <c r="X23" s="107"/>
      <c r="Y23" s="108"/>
      <c r="Z23" s="103"/>
      <c r="AA23" s="103"/>
      <c r="AB23" s="106"/>
      <c r="AC23" s="107" t="str">
        <f>IF(OR(AA22="",AB22=""),"",AA22-AB22)</f>
        <v/>
      </c>
      <c r="AD23" s="108"/>
      <c r="AE23" s="103"/>
      <c r="AF23" s="103"/>
      <c r="AG23" s="106"/>
      <c r="AH23" s="107" t="str">
        <f>IF(OR(AF22="",AG22=""),"",AF22-AG22)</f>
        <v/>
      </c>
      <c r="AI23" s="108"/>
      <c r="AJ23" s="103"/>
      <c r="AK23" s="103"/>
      <c r="AL23" s="106"/>
      <c r="AM23" s="107" t="str">
        <f>IF(OR(AK22="",AL22=""),"",AK22-AL22)</f>
        <v/>
      </c>
      <c r="AN23" s="108"/>
      <c r="AO23" s="103"/>
      <c r="AP23" s="103"/>
      <c r="AQ23" s="106"/>
      <c r="AR23" s="107" t="str">
        <f>IF(OR(AP22="",AQ22=""),"",AP22-AQ22)</f>
        <v/>
      </c>
      <c r="AS23" s="108"/>
      <c r="AT23" s="103"/>
      <c r="AU23" s="103"/>
      <c r="AV23" s="106"/>
      <c r="AW23" s="107" t="str">
        <f>IF(OR(AU22="",AV22=""),"",AU22-AV22)</f>
        <v/>
      </c>
      <c r="AX23" s="108"/>
      <c r="AY23" s="103"/>
      <c r="AZ23" s="103"/>
      <c r="BA23" s="106"/>
      <c r="BB23" s="107" t="str">
        <f>IF(OR(AZ22="",BA22=""),"",AZ22-BA22)</f>
        <v/>
      </c>
      <c r="BC23" s="108"/>
      <c r="BD23" s="103"/>
      <c r="BE23" s="103"/>
      <c r="BF23" s="106"/>
      <c r="BG23" s="107" t="str">
        <f>IF(OR(BE22="",BF22=""),"",BE22-BF22)</f>
        <v/>
      </c>
      <c r="BH23" s="108"/>
      <c r="BI23" s="103"/>
      <c r="BJ23" s="103"/>
      <c r="BK23" s="106"/>
      <c r="BL23" s="107" t="str">
        <f>IF(OR(BJ22="",BK22=""),"",BJ22-BK22)</f>
        <v/>
      </c>
      <c r="BM23" s="108"/>
      <c r="BN23" s="103"/>
      <c r="BO23" s="103"/>
      <c r="BP23" s="106"/>
      <c r="BQ23" s="107" t="str">
        <f>IF(OR(BO22="",BP22=""),"",BO22-BP22)</f>
        <v/>
      </c>
      <c r="BR23" s="105">
        <f>SUM(IF(M22&lt;&gt;"",M22,IF(L22&lt;&gt;"",L22,K22)),IF(R22&lt;&gt;"",R22,IF(Q22&lt;&gt;"",Q22,P22)),IF(W22&lt;&gt;"",W22,IF(V22&lt;&gt;"",V22,U22)),IF(AB22&lt;&gt;"",AB22,IF(AA22&lt;&gt;"",AA22,Z22)),IF(AG22&lt;&gt;"",AG22,IF(AF22&lt;&gt;"",AF22,AE22)),IF(AL22&lt;&gt;"",AL22,IF(AK22&lt;&gt;"",AK22,AJ22)),IF(AQ22&lt;&gt;"",AQ22,IF(AP22&lt;&gt;"",AP22,AO22)),IF(AV22&lt;&gt;"",AV22,IF(AU22&lt;&gt;"",AU22,AT22)),IF(BA22&lt;&gt;"",BA22,IF(AZ22&lt;&gt;"",AZ22,AY22)),IF(BF22&lt;&gt;"",BF22,IF(BE22&lt;&gt;"",BE22,BD22)),IF(BK22&lt;&gt;"",BK22,IF(BJ22&lt;&gt;"",BJ22,BI22)),IF(BP22&lt;&gt;"",BP22,IF(BO22&lt;&gt;"",BO22,BN22)))</f>
        <v>0</v>
      </c>
      <c r="BS23" s="109"/>
      <c r="BT23" s="110"/>
    </row>
    <row r="24" spans="1:72" x14ac:dyDescent="0.25">
      <c r="A24" s="76" t="s">
        <v>90</v>
      </c>
      <c r="B24" s="77" t="s">
        <v>1</v>
      </c>
      <c r="C24" s="78"/>
      <c r="D24" s="78"/>
      <c r="E24" s="77"/>
      <c r="F24" s="77"/>
      <c r="G24" s="77"/>
      <c r="H24" s="77"/>
      <c r="I24" s="79"/>
      <c r="J24" s="80"/>
      <c r="K24" s="81"/>
      <c r="L24" s="81"/>
      <c r="M24" s="82"/>
      <c r="N24" s="82" t="str">
        <f>IF(OR(L23="",M23=""),"",L23-M23)</f>
        <v/>
      </c>
      <c r="O24" s="80"/>
      <c r="P24" s="81"/>
      <c r="Q24" s="81"/>
      <c r="R24" s="82"/>
      <c r="S24" s="83" t="str">
        <f>IF(OR(Q23="",R23=""),"",Q23-R23)</f>
        <v/>
      </c>
      <c r="T24" s="84"/>
      <c r="U24" s="81"/>
      <c r="V24" s="81"/>
      <c r="W24" s="82"/>
      <c r="X24" s="83" t="str">
        <f>IF(OR(V23="",W23=""),"",V23-W23)</f>
        <v/>
      </c>
      <c r="Y24" s="84"/>
      <c r="Z24" s="81"/>
      <c r="AA24" s="81"/>
      <c r="AB24" s="82"/>
      <c r="AC24" s="83" t="str">
        <f>IF(OR(AA23="",AB23=""),"",AA23-AB23)</f>
        <v/>
      </c>
      <c r="AD24" s="84"/>
      <c r="AE24" s="81"/>
      <c r="AF24" s="81"/>
      <c r="AG24" s="82"/>
      <c r="AH24" s="83" t="str">
        <f>IF(OR(AF23="",AG23=""),"",AF23-AG23)</f>
        <v/>
      </c>
      <c r="AI24" s="84"/>
      <c r="AJ24" s="81"/>
      <c r="AK24" s="81"/>
      <c r="AL24" s="82"/>
      <c r="AM24" s="83" t="str">
        <f>IF(OR(AK23="",AL23=""),"",AK23-AL23)</f>
        <v/>
      </c>
      <c r="AN24" s="84"/>
      <c r="AO24" s="81"/>
      <c r="AP24" s="81"/>
      <c r="AQ24" s="82"/>
      <c r="AR24" s="83" t="str">
        <f>IF(OR(AP23="",AQ23=""),"",AP23-AQ23)</f>
        <v/>
      </c>
      <c r="AS24" s="84"/>
      <c r="AT24" s="81"/>
      <c r="AU24" s="81"/>
      <c r="AV24" s="82"/>
      <c r="AW24" s="83" t="str">
        <f>IF(OR(AU23="",AV23=""),"",AU23-AV23)</f>
        <v/>
      </c>
      <c r="AX24" s="84"/>
      <c r="AY24" s="81"/>
      <c r="AZ24" s="81"/>
      <c r="BA24" s="82"/>
      <c r="BB24" s="83" t="str">
        <f>IF(OR(AZ23="",BA23=""),"",AZ23-BA23)</f>
        <v/>
      </c>
      <c r="BC24" s="84"/>
      <c r="BD24" s="81"/>
      <c r="BE24" s="81"/>
      <c r="BF24" s="82"/>
      <c r="BG24" s="83" t="str">
        <f>IF(OR(BE23="",BF23=""),"",BE23-BF23)</f>
        <v/>
      </c>
      <c r="BH24" s="84"/>
      <c r="BI24" s="81"/>
      <c r="BJ24" s="81"/>
      <c r="BK24" s="82"/>
      <c r="BL24" s="83" t="str">
        <f>IF(OR(BJ23="",BK23=""),"",BJ23-BK23)</f>
        <v/>
      </c>
      <c r="BM24" s="84"/>
      <c r="BN24" s="81"/>
      <c r="BO24" s="81"/>
      <c r="BP24" s="82"/>
      <c r="BQ24" s="83" t="str">
        <f>IF(OR(BO23="",BP23=""),"",BO23-BP23)</f>
        <v/>
      </c>
      <c r="BR24" s="80">
        <f>SUM(IF(M23&lt;&gt;"",M23,IF(L23&lt;&gt;"",L23,K23)),IF(R23&lt;&gt;"",R23,IF(Q23&lt;&gt;"",Q23,P23)),IF(W23&lt;&gt;"",W23,IF(V23&lt;&gt;"",V23,U23)),IF(AB23&lt;&gt;"",AB23,IF(AA23&lt;&gt;"",AA23,Z23)),IF(AG23&lt;&gt;"",AG23,IF(AF23&lt;&gt;"",AF23,AE23)),IF(AL23&lt;&gt;"",AL23,IF(AK23&lt;&gt;"",AK23,AJ23)),IF(AQ23&lt;&gt;"",AQ23,IF(AP23&lt;&gt;"",AP23,AO23)),IF(AV23&lt;&gt;"",AV23,IF(AU23&lt;&gt;"",AU23,AT23)),IF(BA23&lt;&gt;"",BA23,IF(AZ23&lt;&gt;"",AZ23,AY23)),IF(BF23&lt;&gt;"",BF23,IF(BE23&lt;&gt;"",BE23,BD23)),IF(BK23&lt;&gt;"",BK23,IF(BJ23&lt;&gt;"",BJ23,BI23)),IF(BP23&lt;&gt;"",BP23,IF(BO23&lt;&gt;"",BO23,BN23)))</f>
        <v>0</v>
      </c>
      <c r="BS24" s="85"/>
      <c r="BT24" s="86"/>
    </row>
    <row r="25" spans="1:72" ht="15.75" customHeight="1" thickBot="1" x14ac:dyDescent="0.3">
      <c r="A25" s="88"/>
      <c r="B25" s="89"/>
      <c r="C25" s="90"/>
      <c r="D25" s="90"/>
      <c r="E25" s="89"/>
      <c r="F25" s="89"/>
      <c r="G25" s="89"/>
      <c r="H25" s="89"/>
      <c r="I25" s="91"/>
      <c r="J25" s="92"/>
      <c r="K25" s="93"/>
      <c r="L25" s="93"/>
      <c r="M25" s="52"/>
      <c r="N25" s="52" t="str">
        <f>IF(OR(L24="",M24=""),"",L24-M24)</f>
        <v/>
      </c>
      <c r="O25" s="92"/>
      <c r="P25" s="93"/>
      <c r="Q25" s="93"/>
      <c r="R25" s="52"/>
      <c r="S25" s="53" t="str">
        <f>IF(OR(Q24="",R24=""),"",Q24-R24)</f>
        <v/>
      </c>
      <c r="T25" s="58"/>
      <c r="U25" s="93"/>
      <c r="V25" s="93"/>
      <c r="W25" s="52"/>
      <c r="X25" s="53" t="str">
        <f>IF(OR(V24="",W24=""),"",V24-W24)</f>
        <v/>
      </c>
      <c r="Y25" s="58"/>
      <c r="Z25" s="93"/>
      <c r="AA25" s="93"/>
      <c r="AB25" s="52"/>
      <c r="AC25" s="53" t="str">
        <f>IF(OR(AA24="",AB24=""),"",AA24-AB24)</f>
        <v/>
      </c>
      <c r="AD25" s="58"/>
      <c r="AE25" s="93"/>
      <c r="AF25" s="93"/>
      <c r="AG25" s="52"/>
      <c r="AH25" s="53" t="str">
        <f>IF(OR(AF24="",AG24=""),"",AF24-AG24)</f>
        <v/>
      </c>
      <c r="AI25" s="58"/>
      <c r="AJ25" s="93"/>
      <c r="AK25" s="93"/>
      <c r="AL25" s="52"/>
      <c r="AM25" s="53" t="str">
        <f>IF(OR(AK24="",AL24=""),"",AK24-AL24)</f>
        <v/>
      </c>
      <c r="AN25" s="58"/>
      <c r="AO25" s="93"/>
      <c r="AP25" s="93"/>
      <c r="AQ25" s="52"/>
      <c r="AR25" s="53" t="str">
        <f>IF(OR(AP24="",AQ24=""),"",AP24-AQ24)</f>
        <v/>
      </c>
      <c r="AS25" s="58"/>
      <c r="AT25" s="93"/>
      <c r="AU25" s="93"/>
      <c r="AV25" s="52"/>
      <c r="AW25" s="53" t="str">
        <f>IF(OR(AU24="",AV24=""),"",AU24-AV24)</f>
        <v/>
      </c>
      <c r="AX25" s="58"/>
      <c r="AY25" s="93"/>
      <c r="AZ25" s="93"/>
      <c r="BA25" s="52"/>
      <c r="BB25" s="53" t="str">
        <f>IF(OR(AZ24="",BA24=""),"",AZ24-BA24)</f>
        <v/>
      </c>
      <c r="BC25" s="58"/>
      <c r="BD25" s="93"/>
      <c r="BE25" s="93"/>
      <c r="BF25" s="52"/>
      <c r="BG25" s="53" t="str">
        <f>IF(OR(BE24="",BF24=""),"",BE24-BF24)</f>
        <v/>
      </c>
      <c r="BH25" s="58"/>
      <c r="BI25" s="93"/>
      <c r="BJ25" s="93"/>
      <c r="BK25" s="52"/>
      <c r="BL25" s="53" t="str">
        <f>IF(OR(BJ24="",BK24=""),"",BJ24-BK24)</f>
        <v/>
      </c>
      <c r="BM25" s="58"/>
      <c r="BN25" s="93"/>
      <c r="BO25" s="93"/>
      <c r="BP25" s="52"/>
      <c r="BQ25" s="53" t="str">
        <f>IF(OR(BO24="",BP24=""),"",BO24-BP24)</f>
        <v/>
      </c>
      <c r="BR25" s="51">
        <f>SUM(IF(M24&lt;&gt;"",M24,IF(L24&lt;&gt;"",L24,K24)),IF(R24&lt;&gt;"",R24,IF(Q24&lt;&gt;"",Q24,P24)),IF(W24&lt;&gt;"",W24,IF(V24&lt;&gt;"",V24,U24)),IF(AB24&lt;&gt;"",AB24,IF(AA24&lt;&gt;"",AA24,Z24)),IF(AG24&lt;&gt;"",AG24,IF(AF24&lt;&gt;"",AF24,AE24)),IF(AL24&lt;&gt;"",AL24,IF(AK24&lt;&gt;"",AK24,AJ24)),IF(AQ24&lt;&gt;"",AQ24,IF(AP24&lt;&gt;"",AP24,AO24)),IF(AV24&lt;&gt;"",AV24,IF(AU24&lt;&gt;"",AU24,AT24)),IF(BA24&lt;&gt;"",BA24,IF(AZ24&lt;&gt;"",AZ24,AY24)),IF(BF24&lt;&gt;"",BF24,IF(BE24&lt;&gt;"",BE24,BD24)),IF(BK24&lt;&gt;"",BK24,IF(BJ24&lt;&gt;"",BJ24,BI24)),IF(BP24&lt;&gt;"",BP24,IF(BO24&lt;&gt;"",BO24,BN24)))</f>
        <v>0</v>
      </c>
      <c r="BS25" s="94"/>
      <c r="BT25" s="95"/>
    </row>
    <row r="26" spans="1:72" x14ac:dyDescent="0.25">
      <c r="A26" s="59" t="s">
        <v>90</v>
      </c>
      <c r="B26" s="60" t="s">
        <v>1</v>
      </c>
      <c r="C26" s="96"/>
      <c r="D26" s="96"/>
      <c r="E26" s="60" t="s">
        <v>1</v>
      </c>
      <c r="F26" s="60"/>
      <c r="G26" s="60"/>
      <c r="H26" s="60"/>
      <c r="I26" s="61"/>
      <c r="J26" s="66"/>
      <c r="K26" s="62"/>
      <c r="L26" s="62"/>
      <c r="M26" s="63">
        <f ca="1">IF((MONTH(TODAY()) + 2)&lt;=1,($BS$13-$BR$13)/(12-(MONTH(TODAY()) + 1)),0)</f>
        <v>0</v>
      </c>
      <c r="N26" s="97" t="str">
        <f>IF(OR(L25="",M25=""),"",L25-M25)</f>
        <v/>
      </c>
      <c r="O26" s="66"/>
      <c r="P26" s="62"/>
      <c r="Q26" s="62"/>
      <c r="R26" s="63">
        <f ca="1">IF((MONTH(TODAY()) + 2)&lt;=2,($BS$13-$BR$13)/(12-(MONTH(TODAY()) + 1)),0)</f>
        <v>0</v>
      </c>
      <c r="S26" s="64"/>
      <c r="T26" s="65"/>
      <c r="U26" s="62"/>
      <c r="V26" s="62"/>
      <c r="W26" s="63">
        <f ca="1">IF((MONTH(TODAY()) + 2)&lt;=3,($BS$13-$BR$13)/(12-(MONTH(TODAY()) + 1)),0)</f>
        <v>-80014.572</v>
      </c>
      <c r="X26" s="64"/>
      <c r="Y26" s="65"/>
      <c r="Z26" s="62"/>
      <c r="AA26" s="62"/>
      <c r="AB26" s="63">
        <f ca="1">IF((MONTH(TODAY()) + 2)&lt;=4,($BS$13-$BR$13)/(12-(MONTH(TODAY()) + 1)),0)</f>
        <v>-80014.572</v>
      </c>
      <c r="AC26" s="64"/>
      <c r="AD26" s="65"/>
      <c r="AE26" s="62"/>
      <c r="AF26" s="62"/>
      <c r="AG26" s="63">
        <f ca="1">IF((MONTH(TODAY()) + 2)&lt;=5,($BS$13-$BR$13)/(12-(MONTH(TODAY()) + 1)),0)</f>
        <v>-80014.572</v>
      </c>
      <c r="AH26" s="64"/>
      <c r="AI26" s="65"/>
      <c r="AJ26" s="62"/>
      <c r="AK26" s="62"/>
      <c r="AL26" s="63">
        <f ca="1">IF((MONTH(TODAY()) + 2)&lt;=6,($BS$13-$BR$13)/(12-(MONTH(TODAY()) + 1)),0)</f>
        <v>-80014.572</v>
      </c>
      <c r="AM26" s="64"/>
      <c r="AN26" s="65"/>
      <c r="AO26" s="62"/>
      <c r="AP26" s="62"/>
      <c r="AQ26" s="63">
        <f ca="1">IF((MONTH(TODAY()) + 2)&lt;=7,($BS$13-$BR$13)/(12-(MONTH(TODAY()) + 1)),0)</f>
        <v>-80014.572</v>
      </c>
      <c r="AR26" s="64"/>
      <c r="AS26" s="65"/>
      <c r="AT26" s="62"/>
      <c r="AU26" s="62"/>
      <c r="AV26" s="63">
        <f ca="1">IF((MONTH(TODAY()) + 2)&lt;=8,($BS$13-$BR$13)/(12-(MONTH(TODAY()) + 1)),0)</f>
        <v>-80014.572</v>
      </c>
      <c r="AW26" s="64"/>
      <c r="AX26" s="65"/>
      <c r="AY26" s="62"/>
      <c r="AZ26" s="62"/>
      <c r="BA26" s="63">
        <f ca="1">IF((MONTH(TODAY()) + 2)&lt;=9,($BS$13-$BR$13)/(12-(MONTH(TODAY()) + 1)),0)</f>
        <v>-80014.572</v>
      </c>
      <c r="BB26" s="64"/>
      <c r="BC26" s="65"/>
      <c r="BD26" s="62"/>
      <c r="BE26" s="62"/>
      <c r="BF26" s="63">
        <f ca="1">IF((MONTH(TODAY()) + 2)&lt;=10,($BS$13-$BR$13)/(12-(MONTH(TODAY()) + 1)),0)</f>
        <v>-80014.572</v>
      </c>
      <c r="BG26" s="64"/>
      <c r="BH26" s="65"/>
      <c r="BI26" s="62"/>
      <c r="BJ26" s="62"/>
      <c r="BK26" s="63">
        <f ca="1">IF((MONTH(TODAY()) + 2)&lt;=11,($BS$13-$BR$13)/(12-(MONTH(TODAY()) + 1)),IF(MONTH(TODAY())=11,($BS$13-$BR$13)/2,0))</f>
        <v>-80014.572</v>
      </c>
      <c r="BL26" s="64"/>
      <c r="BM26" s="65"/>
      <c r="BN26" s="62"/>
      <c r="BO26" s="62"/>
      <c r="BP26" s="63">
        <f ca="1">IF((MONTH(TODAY()) + 2)&lt;12,($BS$13-$BR$13)/(12-(MONTH(TODAY())+ 1)),IF(MONTH(TODAY())=11,($BS$13-$BR$13)/2,IF(OR(MONTH(TODAY())=10,MONTH(TODAY())=12),($BS$13-$BR$13),0)))</f>
        <v>-80014.572</v>
      </c>
      <c r="BQ26" s="64"/>
      <c r="BR26" s="66">
        <f>SUM(IF(M25&lt;&gt;"",M25,IF(L25&lt;&gt;"",L25,K25)),IF(R25&lt;&gt;"",R25,IF(Q25&lt;&gt;"",Q25,P25)),IF(W25&lt;&gt;"",W25,IF(V25&lt;&gt;"",V25,U25)),IF(AB25&lt;&gt;"",AB25,IF(AA25&lt;&gt;"",AA25,Z25)),IF(AG25&lt;&gt;"",AG25,IF(AF25&lt;&gt;"",AF25,AE25)),IF(AL25&lt;&gt;"",AL25,IF(AK25&lt;&gt;"",AK25,AJ25)),IF(AQ25&lt;&gt;"",AQ25,IF(AP25&lt;&gt;"",AP25,AO25)),IF(AV25&lt;&gt;"",AV25,IF(AU25&lt;&gt;"",AU25,AT25)),IF(BA25&lt;&gt;"",BA25,IF(AZ25&lt;&gt;"",AZ25,AY25)),IF(BF25&lt;&gt;"",BF25,IF(BE25&lt;&gt;"",BE25,BD25)),IF(BK25&lt;&gt;"",BK25,IF(BJ25&lt;&gt;"",BJ25,BI25)),IF(BP25&lt;&gt;"",BP25,IF(BO25&lt;&gt;"",BO25,BN25)))</f>
        <v>0</v>
      </c>
      <c r="BS26" s="98"/>
      <c r="BT26" s="99"/>
    </row>
    <row r="27" spans="1:72" x14ac:dyDescent="0.25">
      <c r="A27" t="s">
        <v>91</v>
      </c>
      <c r="W27" s="19"/>
    </row>
  </sheetData>
  <mergeCells count="39">
    <mergeCell ref="H12:I12"/>
    <mergeCell ref="AS13:AW13"/>
    <mergeCell ref="BC13:BG13"/>
    <mergeCell ref="Y12:AC12"/>
    <mergeCell ref="AI12:AM12"/>
    <mergeCell ref="J12:N12"/>
    <mergeCell ref="AN13:AR13"/>
    <mergeCell ref="H11:I11"/>
    <mergeCell ref="T12:X12"/>
    <mergeCell ref="J11:N11"/>
    <mergeCell ref="BC12:BG12"/>
    <mergeCell ref="AX13:BB13"/>
    <mergeCell ref="AS11:AW11"/>
    <mergeCell ref="AN12:AR12"/>
    <mergeCell ref="T11:X11"/>
    <mergeCell ref="AD11:AH11"/>
    <mergeCell ref="AX12:BB12"/>
    <mergeCell ref="AN11:AR11"/>
    <mergeCell ref="Y13:AC13"/>
    <mergeCell ref="H13:I13"/>
    <mergeCell ref="O13:S13"/>
    <mergeCell ref="T13:X13"/>
    <mergeCell ref="O12:S12"/>
    <mergeCell ref="AD12:AH12"/>
    <mergeCell ref="AI13:AM13"/>
    <mergeCell ref="BM12:BQ12"/>
    <mergeCell ref="BC11:BG11"/>
    <mergeCell ref="J13:N13"/>
    <mergeCell ref="BM11:BQ11"/>
    <mergeCell ref="AD13:AH13"/>
    <mergeCell ref="Y11:AC11"/>
    <mergeCell ref="BH12:BL12"/>
    <mergeCell ref="AX11:BB11"/>
    <mergeCell ref="AS12:AW12"/>
    <mergeCell ref="AI11:AM11"/>
    <mergeCell ref="BM13:BQ13"/>
    <mergeCell ref="BH13:BL13"/>
    <mergeCell ref="O11:S11"/>
    <mergeCell ref="BH11:BL11"/>
  </mergeCells>
  <conditionalFormatting sqref="M15:M24 R15:R24 W15:W24 AB15:AB24 AG15:AG24 AL15:AL24 AQ15:AQ24 AV15:AV24 BA15:BA24 BF15:BF24 BK15:BK24 BP15:BP24">
    <cfRule type="expression" dxfId="7" priority="8">
      <formula>IF(AND(L15&gt;0,M15=0),TRUE,FALSE)</formula>
    </cfRule>
  </conditionalFormatting>
  <conditionalFormatting sqref="BP10 R15:T24 X15:Y24 AC15:AD24 AH15:AI24 AM15:AN24 AR15:AS24 AW15:AX24 BB15:BC24 BG15:BH24 BL15:BM24 BQ15:BQ24">
    <cfRule type="expression" dxfId="6" priority="9">
      <formula>IF(AND(Q10&lt;&gt;"",R10="",TODAY()&gt;DATE(YEAR(TODAY()),MONTH(DATEVALUE("1-"&amp;LEFT(#REF!,3)&amp;"-1900")),20)),TRUE,FALSE)</formula>
    </cfRule>
  </conditionalFormatting>
  <conditionalFormatting sqref="BR15">
    <cfRule type="cellIs" dxfId="5" priority="6" operator="greaterThan">
      <formula>90%*$G$15</formula>
    </cfRule>
  </conditionalFormatting>
  <conditionalFormatting sqref="BR16">
    <cfRule type="cellIs" dxfId="4" priority="5" operator="greaterThan">
      <formula>90%*$G$16</formula>
    </cfRule>
  </conditionalFormatting>
  <conditionalFormatting sqref="BR17">
    <cfRule type="cellIs" dxfId="3" priority="4" operator="greaterThan">
      <formula>90%*$G$17</formula>
    </cfRule>
  </conditionalFormatting>
  <conditionalFormatting sqref="BR18">
    <cfRule type="cellIs" dxfId="2" priority="3" operator="greaterThan">
      <formula>90%*$G$18</formula>
    </cfRule>
  </conditionalFormatting>
  <conditionalFormatting sqref="BR19">
    <cfRule type="cellIs" dxfId="1" priority="2" operator="greaterThan">
      <formula>90%*$G$19</formula>
    </cfRule>
  </conditionalFormatting>
  <conditionalFormatting sqref="BS11:BS12">
    <cfRule type="expression" dxfId="0" priority="7">
      <formula>IF(BS11&lt;0,TRUE,FALSE)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2"/>
  <sheetViews>
    <sheetView workbookViewId="0">
      <pane ySplit="1" topLeftCell="A2" activePane="bottomLeft" state="frozen"/>
      <selection pane="bottomLeft"/>
    </sheetView>
  </sheetViews>
  <sheetFormatPr defaultRowHeight="15" outlineLevelCol="1" x14ac:dyDescent="0.25"/>
  <cols>
    <col min="2" max="25" width="13" hidden="1" customWidth="1" outlineLevel="1"/>
    <col min="26" max="26" width="9.140625" collapsed="1"/>
  </cols>
  <sheetData>
    <row r="1" spans="1:39" x14ac:dyDescent="0.25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82</v>
      </c>
      <c r="Z1" t="s">
        <v>116</v>
      </c>
      <c r="AA1" t="s">
        <v>117</v>
      </c>
      <c r="AB1" t="s">
        <v>118</v>
      </c>
      <c r="AC1" t="s">
        <v>119</v>
      </c>
      <c r="AD1" t="s">
        <v>120</v>
      </c>
      <c r="AE1" t="s">
        <v>121</v>
      </c>
      <c r="AF1" t="s">
        <v>122</v>
      </c>
      <c r="AG1" t="s">
        <v>123</v>
      </c>
      <c r="AH1" t="s">
        <v>124</v>
      </c>
      <c r="AI1" t="s">
        <v>125</v>
      </c>
      <c r="AJ1" t="s">
        <v>126</v>
      </c>
      <c r="AK1" t="s">
        <v>127</v>
      </c>
      <c r="AL1" t="s">
        <v>128</v>
      </c>
      <c r="AM1" t="s">
        <v>129</v>
      </c>
    </row>
    <row r="2" spans="1:39" x14ac:dyDescent="0.25">
      <c r="A2" t="s">
        <v>87</v>
      </c>
      <c r="C2" t="s">
        <v>130</v>
      </c>
      <c r="D2" t="s">
        <v>131</v>
      </c>
      <c r="E2" t="s">
        <v>132</v>
      </c>
      <c r="F2" t="s">
        <v>133</v>
      </c>
      <c r="G2" s="130">
        <v>45658</v>
      </c>
      <c r="H2" s="130">
        <v>46022</v>
      </c>
      <c r="I2" t="s">
        <v>134</v>
      </c>
      <c r="J2" t="s">
        <v>135</v>
      </c>
      <c r="M2">
        <v>165</v>
      </c>
      <c r="N2">
        <v>192</v>
      </c>
      <c r="O2">
        <v>31680</v>
      </c>
      <c r="P2">
        <v>0</v>
      </c>
      <c r="Q2">
        <v>31680</v>
      </c>
      <c r="S2">
        <v>0</v>
      </c>
      <c r="T2">
        <v>0</v>
      </c>
      <c r="U2">
        <v>31680</v>
      </c>
      <c r="W2">
        <v>1</v>
      </c>
      <c r="X2">
        <v>0</v>
      </c>
      <c r="Z2">
        <v>1008</v>
      </c>
      <c r="AA2">
        <v>0</v>
      </c>
      <c r="AB2">
        <v>10230</v>
      </c>
      <c r="AC2">
        <v>33000</v>
      </c>
      <c r="AD2">
        <v>26400</v>
      </c>
      <c r="AE2">
        <v>26400</v>
      </c>
      <c r="AF2">
        <v>30360</v>
      </c>
      <c r="AG2">
        <v>25080</v>
      </c>
      <c r="AH2">
        <v>26400</v>
      </c>
      <c r="AI2">
        <v>31680</v>
      </c>
      <c r="AJ2">
        <v>26400</v>
      </c>
      <c r="AK2">
        <v>25080</v>
      </c>
      <c r="AL2">
        <v>31680</v>
      </c>
      <c r="AM2">
        <v>292710</v>
      </c>
    </row>
    <row r="3" spans="1:39" x14ac:dyDescent="0.25">
      <c r="A3" t="s">
        <v>87</v>
      </c>
      <c r="C3" t="s">
        <v>130</v>
      </c>
      <c r="D3" t="s">
        <v>131</v>
      </c>
      <c r="E3" t="s">
        <v>132</v>
      </c>
      <c r="F3" t="s">
        <v>133</v>
      </c>
      <c r="G3" s="130">
        <v>45658</v>
      </c>
      <c r="H3" s="130">
        <v>46022</v>
      </c>
      <c r="I3" t="s">
        <v>136</v>
      </c>
      <c r="J3" t="s">
        <v>137</v>
      </c>
      <c r="M3">
        <v>130</v>
      </c>
      <c r="N3">
        <v>184</v>
      </c>
      <c r="O3">
        <v>23920</v>
      </c>
      <c r="P3">
        <v>0</v>
      </c>
      <c r="Q3">
        <v>23920</v>
      </c>
      <c r="S3">
        <v>0</v>
      </c>
      <c r="T3">
        <v>0</v>
      </c>
      <c r="U3">
        <v>23920</v>
      </c>
      <c r="W3">
        <v>1</v>
      </c>
      <c r="X3">
        <v>0</v>
      </c>
      <c r="Z3">
        <v>1000</v>
      </c>
      <c r="AA3">
        <v>16640</v>
      </c>
      <c r="AB3">
        <v>19760</v>
      </c>
      <c r="AC3">
        <v>20800</v>
      </c>
      <c r="AD3">
        <v>20800</v>
      </c>
      <c r="AE3">
        <v>20800</v>
      </c>
      <c r="AF3">
        <v>23920</v>
      </c>
      <c r="AG3">
        <v>19760</v>
      </c>
      <c r="AH3">
        <v>20800</v>
      </c>
      <c r="AI3">
        <v>24960</v>
      </c>
      <c r="AJ3">
        <v>20800</v>
      </c>
      <c r="AK3">
        <v>19760</v>
      </c>
      <c r="AL3">
        <v>23920</v>
      </c>
      <c r="AM3">
        <v>252720</v>
      </c>
    </row>
    <row r="4" spans="1:39" x14ac:dyDescent="0.25">
      <c r="A4" t="s">
        <v>83</v>
      </c>
      <c r="C4" t="s">
        <v>130</v>
      </c>
      <c r="D4" t="s">
        <v>138</v>
      </c>
      <c r="E4" t="s">
        <v>139</v>
      </c>
      <c r="F4" t="s">
        <v>140</v>
      </c>
      <c r="G4" s="130">
        <v>45658</v>
      </c>
      <c r="H4" s="130">
        <v>45838</v>
      </c>
      <c r="I4" t="s">
        <v>141</v>
      </c>
      <c r="J4" t="s">
        <v>142</v>
      </c>
      <c r="M4">
        <v>47.5</v>
      </c>
      <c r="N4">
        <v>0</v>
      </c>
      <c r="O4">
        <v>0</v>
      </c>
      <c r="P4">
        <v>0</v>
      </c>
      <c r="Q4">
        <v>0</v>
      </c>
      <c r="S4">
        <v>0</v>
      </c>
      <c r="T4">
        <v>0</v>
      </c>
      <c r="U4">
        <v>0</v>
      </c>
      <c r="W4">
        <v>1</v>
      </c>
      <c r="X4">
        <v>0</v>
      </c>
      <c r="Z4">
        <v>9</v>
      </c>
      <c r="AA4">
        <v>7267.5</v>
      </c>
      <c r="AB4">
        <v>8550</v>
      </c>
      <c r="AC4">
        <v>10687.5</v>
      </c>
      <c r="AD4">
        <v>7695</v>
      </c>
      <c r="AE4">
        <v>8550</v>
      </c>
      <c r="AF4">
        <v>10687.5</v>
      </c>
      <c r="AG4">
        <v>427.5</v>
      </c>
      <c r="AH4">
        <v>0</v>
      </c>
      <c r="AI4">
        <v>0</v>
      </c>
      <c r="AJ4">
        <v>0</v>
      </c>
      <c r="AK4">
        <v>0</v>
      </c>
      <c r="AL4">
        <v>0</v>
      </c>
      <c r="AM4">
        <v>53865</v>
      </c>
    </row>
    <row r="5" spans="1:39" x14ac:dyDescent="0.25">
      <c r="A5" t="s">
        <v>83</v>
      </c>
      <c r="C5" t="s">
        <v>130</v>
      </c>
      <c r="D5" t="s">
        <v>138</v>
      </c>
      <c r="E5" t="s">
        <v>139</v>
      </c>
      <c r="F5" t="s">
        <v>140</v>
      </c>
      <c r="G5" s="130">
        <v>45658</v>
      </c>
      <c r="H5" s="130">
        <v>45838</v>
      </c>
      <c r="I5" t="s">
        <v>143</v>
      </c>
      <c r="J5" t="s">
        <v>144</v>
      </c>
      <c r="M5">
        <v>47.5</v>
      </c>
      <c r="N5">
        <v>0</v>
      </c>
      <c r="O5">
        <v>0</v>
      </c>
      <c r="P5">
        <v>0</v>
      </c>
      <c r="Q5">
        <v>0</v>
      </c>
      <c r="S5">
        <v>0</v>
      </c>
      <c r="T5">
        <v>0</v>
      </c>
      <c r="U5">
        <v>0</v>
      </c>
      <c r="W5">
        <v>1</v>
      </c>
      <c r="X5">
        <v>0</v>
      </c>
      <c r="Z5">
        <v>9</v>
      </c>
      <c r="AA5">
        <v>7267.5</v>
      </c>
      <c r="AB5">
        <v>8550</v>
      </c>
      <c r="AC5">
        <v>10687.5</v>
      </c>
      <c r="AD5">
        <v>7695</v>
      </c>
      <c r="AE5">
        <v>8550</v>
      </c>
      <c r="AF5">
        <v>10687.5</v>
      </c>
      <c r="AG5">
        <v>427.5</v>
      </c>
      <c r="AH5">
        <v>0</v>
      </c>
      <c r="AI5">
        <v>0</v>
      </c>
      <c r="AJ5">
        <v>0</v>
      </c>
      <c r="AK5">
        <v>0</v>
      </c>
      <c r="AL5">
        <v>0</v>
      </c>
      <c r="AM5">
        <v>53865</v>
      </c>
    </row>
    <row r="6" spans="1:39" x14ac:dyDescent="0.25">
      <c r="A6" t="s">
        <v>86</v>
      </c>
      <c r="C6" t="s">
        <v>130</v>
      </c>
      <c r="D6" t="s">
        <v>138</v>
      </c>
      <c r="E6" t="s">
        <v>139</v>
      </c>
      <c r="F6" t="s">
        <v>140</v>
      </c>
      <c r="G6" s="130">
        <v>45658</v>
      </c>
      <c r="H6" s="130">
        <v>45838</v>
      </c>
      <c r="I6" t="s">
        <v>145</v>
      </c>
      <c r="J6" t="s">
        <v>146</v>
      </c>
      <c r="M6">
        <v>131</v>
      </c>
      <c r="N6">
        <v>0</v>
      </c>
      <c r="O6">
        <v>0</v>
      </c>
      <c r="P6">
        <v>0</v>
      </c>
      <c r="Q6">
        <v>0</v>
      </c>
      <c r="S6">
        <v>0</v>
      </c>
      <c r="T6">
        <v>0</v>
      </c>
      <c r="U6">
        <v>0</v>
      </c>
      <c r="W6">
        <v>1</v>
      </c>
      <c r="X6">
        <v>0</v>
      </c>
      <c r="Z6">
        <v>8</v>
      </c>
      <c r="AA6">
        <v>16768</v>
      </c>
      <c r="AB6">
        <v>19912</v>
      </c>
      <c r="AC6">
        <v>26200</v>
      </c>
      <c r="AD6">
        <v>20960</v>
      </c>
      <c r="AE6">
        <v>20960</v>
      </c>
      <c r="AF6">
        <v>25152</v>
      </c>
      <c r="AG6">
        <v>1048</v>
      </c>
      <c r="AH6">
        <v>0</v>
      </c>
      <c r="AI6">
        <v>0</v>
      </c>
      <c r="AJ6">
        <v>0</v>
      </c>
      <c r="AK6">
        <v>0</v>
      </c>
      <c r="AL6">
        <v>0</v>
      </c>
      <c r="AM6">
        <v>131000</v>
      </c>
    </row>
    <row r="7" spans="1:39" x14ac:dyDescent="0.25">
      <c r="A7" t="s">
        <v>86</v>
      </c>
      <c r="C7" t="s">
        <v>130</v>
      </c>
      <c r="D7" t="s">
        <v>138</v>
      </c>
      <c r="E7" t="s">
        <v>139</v>
      </c>
      <c r="F7" t="s">
        <v>140</v>
      </c>
      <c r="G7" s="130">
        <v>45658</v>
      </c>
      <c r="H7" s="130">
        <v>45838</v>
      </c>
      <c r="I7" t="s">
        <v>147</v>
      </c>
      <c r="J7" t="s">
        <v>148</v>
      </c>
      <c r="M7">
        <v>169</v>
      </c>
      <c r="N7">
        <v>0</v>
      </c>
      <c r="O7">
        <v>0</v>
      </c>
      <c r="P7">
        <v>0</v>
      </c>
      <c r="Q7">
        <v>0</v>
      </c>
      <c r="S7">
        <v>0</v>
      </c>
      <c r="T7">
        <v>0</v>
      </c>
      <c r="U7">
        <v>0</v>
      </c>
      <c r="W7">
        <v>1</v>
      </c>
      <c r="X7">
        <v>0</v>
      </c>
      <c r="Z7">
        <v>8</v>
      </c>
      <c r="AA7">
        <v>21632</v>
      </c>
      <c r="AB7">
        <v>25688</v>
      </c>
      <c r="AC7">
        <v>33800</v>
      </c>
      <c r="AD7">
        <v>27040</v>
      </c>
      <c r="AE7">
        <v>27040</v>
      </c>
      <c r="AF7">
        <v>32448</v>
      </c>
      <c r="AG7">
        <v>1352</v>
      </c>
      <c r="AH7">
        <v>0</v>
      </c>
      <c r="AI7">
        <v>0</v>
      </c>
      <c r="AJ7">
        <v>0</v>
      </c>
      <c r="AK7">
        <v>0</v>
      </c>
      <c r="AL7">
        <v>0</v>
      </c>
      <c r="AM7">
        <v>169000</v>
      </c>
    </row>
    <row r="8" spans="1:39" x14ac:dyDescent="0.25">
      <c r="A8" t="s">
        <v>85</v>
      </c>
      <c r="C8" t="s">
        <v>130</v>
      </c>
      <c r="D8" t="s">
        <v>131</v>
      </c>
      <c r="E8" t="s">
        <v>149</v>
      </c>
      <c r="F8" t="s">
        <v>150</v>
      </c>
      <c r="G8" s="130">
        <v>45839</v>
      </c>
      <c r="H8" s="130">
        <v>46022</v>
      </c>
      <c r="I8">
        <v>34259</v>
      </c>
      <c r="J8" t="s">
        <v>151</v>
      </c>
      <c r="M8">
        <v>47.5</v>
      </c>
      <c r="N8">
        <v>243</v>
      </c>
      <c r="O8">
        <v>11542.5</v>
      </c>
      <c r="P8">
        <v>0</v>
      </c>
      <c r="Q8">
        <v>11542.5</v>
      </c>
      <c r="S8">
        <v>0</v>
      </c>
      <c r="T8">
        <v>0</v>
      </c>
      <c r="U8">
        <v>11542.5</v>
      </c>
      <c r="W8">
        <v>1</v>
      </c>
      <c r="X8">
        <v>0</v>
      </c>
      <c r="Z8">
        <v>1143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7695</v>
      </c>
      <c r="AH8">
        <v>8550</v>
      </c>
      <c r="AI8">
        <v>10687.5</v>
      </c>
      <c r="AJ8">
        <v>7267.5</v>
      </c>
      <c r="AK8">
        <v>8550</v>
      </c>
      <c r="AL8">
        <v>11542.5</v>
      </c>
      <c r="AM8">
        <v>54292.5</v>
      </c>
    </row>
    <row r="9" spans="1:39" x14ac:dyDescent="0.25">
      <c r="A9" t="s">
        <v>88</v>
      </c>
      <c r="C9" t="s">
        <v>130</v>
      </c>
      <c r="D9" t="s">
        <v>131</v>
      </c>
      <c r="E9" t="s">
        <v>149</v>
      </c>
      <c r="F9" t="s">
        <v>150</v>
      </c>
      <c r="G9" s="130">
        <v>45839</v>
      </c>
      <c r="H9" s="130">
        <v>46022</v>
      </c>
      <c r="I9" t="s">
        <v>152</v>
      </c>
      <c r="J9" t="s">
        <v>153</v>
      </c>
      <c r="M9">
        <v>250</v>
      </c>
      <c r="N9">
        <v>192</v>
      </c>
      <c r="O9">
        <v>48000</v>
      </c>
      <c r="P9">
        <v>0</v>
      </c>
      <c r="Q9">
        <v>48000</v>
      </c>
      <c r="S9">
        <v>0</v>
      </c>
      <c r="T9">
        <v>0</v>
      </c>
      <c r="U9">
        <v>48000</v>
      </c>
      <c r="W9">
        <v>1</v>
      </c>
      <c r="X9">
        <v>0</v>
      </c>
      <c r="Z9">
        <v>1016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36000</v>
      </c>
      <c r="AH9">
        <v>40000</v>
      </c>
      <c r="AI9">
        <v>50000</v>
      </c>
      <c r="AJ9">
        <v>40000</v>
      </c>
      <c r="AK9">
        <v>40000</v>
      </c>
      <c r="AL9">
        <v>48000</v>
      </c>
      <c r="AM9">
        <v>254000</v>
      </c>
    </row>
    <row r="10" spans="1:39" x14ac:dyDescent="0.25">
      <c r="A10" t="s">
        <v>85</v>
      </c>
      <c r="C10" t="s">
        <v>130</v>
      </c>
      <c r="D10" t="s">
        <v>131</v>
      </c>
      <c r="E10" t="s">
        <v>149</v>
      </c>
      <c r="F10" t="s">
        <v>150</v>
      </c>
      <c r="G10" s="130">
        <v>45839</v>
      </c>
      <c r="H10" s="130">
        <v>46022</v>
      </c>
      <c r="I10" t="s">
        <v>154</v>
      </c>
      <c r="J10" t="s">
        <v>155</v>
      </c>
      <c r="M10">
        <v>152</v>
      </c>
      <c r="N10">
        <v>192</v>
      </c>
      <c r="O10">
        <v>29184</v>
      </c>
      <c r="P10">
        <v>0</v>
      </c>
      <c r="Q10">
        <v>29184</v>
      </c>
      <c r="S10">
        <v>0</v>
      </c>
      <c r="T10">
        <v>0</v>
      </c>
      <c r="U10">
        <v>29184</v>
      </c>
      <c r="W10">
        <v>1</v>
      </c>
      <c r="X10">
        <v>0</v>
      </c>
      <c r="Z10">
        <v>1016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21888</v>
      </c>
      <c r="AH10">
        <v>24320</v>
      </c>
      <c r="AI10">
        <v>30400</v>
      </c>
      <c r="AJ10">
        <v>24320</v>
      </c>
      <c r="AK10">
        <v>24320</v>
      </c>
      <c r="AL10">
        <v>29184</v>
      </c>
      <c r="AM10">
        <v>154432</v>
      </c>
    </row>
    <row r="11" spans="1:39" x14ac:dyDescent="0.25">
      <c r="A11" t="s">
        <v>85</v>
      </c>
      <c r="C11" t="s">
        <v>130</v>
      </c>
      <c r="D11" t="s">
        <v>131</v>
      </c>
      <c r="E11" t="s">
        <v>149</v>
      </c>
      <c r="F11" t="s">
        <v>150</v>
      </c>
      <c r="G11" s="130">
        <v>45839</v>
      </c>
      <c r="H11" s="130">
        <v>46022</v>
      </c>
      <c r="I11" t="s">
        <v>156</v>
      </c>
      <c r="J11" t="s">
        <v>157</v>
      </c>
      <c r="M11">
        <v>350</v>
      </c>
      <c r="N11">
        <v>192</v>
      </c>
      <c r="O11">
        <v>67200</v>
      </c>
      <c r="P11">
        <v>0</v>
      </c>
      <c r="Q11">
        <v>67200</v>
      </c>
      <c r="S11">
        <v>0</v>
      </c>
      <c r="T11">
        <v>0</v>
      </c>
      <c r="U11">
        <v>67200</v>
      </c>
      <c r="W11">
        <v>1</v>
      </c>
      <c r="X11">
        <v>0</v>
      </c>
      <c r="Z11">
        <v>802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40600</v>
      </c>
      <c r="AH11">
        <v>40600</v>
      </c>
      <c r="AI11">
        <v>51100</v>
      </c>
      <c r="AJ11">
        <v>40600</v>
      </c>
      <c r="AK11">
        <v>40600</v>
      </c>
      <c r="AL11">
        <v>67200</v>
      </c>
      <c r="AM11">
        <v>280700</v>
      </c>
    </row>
    <row r="12" spans="1:39" x14ac:dyDescent="0.25">
      <c r="A12" t="s">
        <v>158</v>
      </c>
      <c r="O12">
        <f>SUBTOTAL(9, O2:O11)</f>
        <v>211526.5</v>
      </c>
      <c r="P12">
        <f>SUBTOTAL(9, P2:P11)</f>
        <v>0</v>
      </c>
      <c r="Q12">
        <f>SUBTOTAL(9, Q2:Q11)</f>
        <v>211526.5</v>
      </c>
      <c r="Z12">
        <f t="shared" ref="Z12:AM12" si="0">SUBTOTAL(9, Z2:Z11)</f>
        <v>6019</v>
      </c>
      <c r="AA12">
        <f t="shared" si="0"/>
        <v>69575</v>
      </c>
      <c r="AB12">
        <f t="shared" si="0"/>
        <v>92690</v>
      </c>
      <c r="AC12">
        <f t="shared" si="0"/>
        <v>135175</v>
      </c>
      <c r="AD12">
        <f t="shared" si="0"/>
        <v>110590</v>
      </c>
      <c r="AE12">
        <f t="shared" si="0"/>
        <v>112300</v>
      </c>
      <c r="AF12">
        <f t="shared" si="0"/>
        <v>133255</v>
      </c>
      <c r="AG12">
        <f t="shared" si="0"/>
        <v>154278</v>
      </c>
      <c r="AH12">
        <f t="shared" si="0"/>
        <v>160670</v>
      </c>
      <c r="AI12">
        <f t="shared" si="0"/>
        <v>198827.5</v>
      </c>
      <c r="AJ12">
        <f t="shared" si="0"/>
        <v>159387.5</v>
      </c>
      <c r="AK12">
        <f t="shared" si="0"/>
        <v>158310</v>
      </c>
      <c r="AL12">
        <f t="shared" si="0"/>
        <v>211526.5</v>
      </c>
      <c r="AM12">
        <f t="shared" si="0"/>
        <v>1696584.5</v>
      </c>
    </row>
  </sheetData>
  <autoFilter ref="A1:AM1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B106"/>
  <sheetViews>
    <sheetView workbookViewId="0">
      <pane ySplit="1" topLeftCell="A2" activePane="bottomLeft" state="frozen"/>
      <selection pane="bottomLeft" activeCell="AC110" sqref="AC110"/>
    </sheetView>
  </sheetViews>
  <sheetFormatPr defaultRowHeight="15" outlineLevelCol="1" x14ac:dyDescent="0.25"/>
  <cols>
    <col min="1" max="1" width="12" customWidth="1"/>
    <col min="2" max="3" width="19" customWidth="1"/>
    <col min="4" max="4" width="34" customWidth="1"/>
    <col min="5" max="5" width="21" customWidth="1"/>
    <col min="6" max="7" width="52" customWidth="1"/>
    <col min="8" max="8" width="20" customWidth="1"/>
    <col min="9" max="9" width="17" customWidth="1"/>
    <col min="10" max="10" width="20" customWidth="1"/>
    <col min="11" max="11" width="23" customWidth="1"/>
    <col min="12" max="12" width="11" customWidth="1"/>
    <col min="13" max="15" width="13" hidden="1" customWidth="1" outlineLevel="1"/>
    <col min="16" max="21" width="23" hidden="1" customWidth="1" outlineLevel="1"/>
    <col min="22" max="24" width="17" hidden="1" customWidth="1" outlineLevel="1"/>
    <col min="25" max="27" width="18" hidden="1" customWidth="1" outlineLevel="1"/>
    <col min="28" max="28" width="9.140625" collapsed="1"/>
  </cols>
  <sheetData>
    <row r="1" spans="1:27" x14ac:dyDescent="0.25">
      <c r="A1" t="s">
        <v>159</v>
      </c>
      <c r="B1" t="s">
        <v>160</v>
      </c>
      <c r="C1" t="s">
        <v>161</v>
      </c>
      <c r="D1" t="s">
        <v>27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  <c r="J1" t="s">
        <v>167</v>
      </c>
      <c r="K1" t="s">
        <v>168</v>
      </c>
      <c r="L1" t="s">
        <v>169</v>
      </c>
      <c r="M1" t="s">
        <v>170</v>
      </c>
      <c r="N1" t="s">
        <v>171</v>
      </c>
      <c r="O1" t="s">
        <v>172</v>
      </c>
      <c r="P1" t="s">
        <v>173</v>
      </c>
      <c r="Q1" t="s">
        <v>174</v>
      </c>
      <c r="R1" t="s">
        <v>175</v>
      </c>
      <c r="S1" t="s">
        <v>176</v>
      </c>
      <c r="T1" t="s">
        <v>177</v>
      </c>
      <c r="U1" t="s">
        <v>178</v>
      </c>
      <c r="V1" t="s">
        <v>179</v>
      </c>
      <c r="W1" t="s">
        <v>180</v>
      </c>
      <c r="X1" t="s">
        <v>181</v>
      </c>
      <c r="Y1" t="s">
        <v>182</v>
      </c>
      <c r="Z1" t="s">
        <v>183</v>
      </c>
      <c r="AA1" t="s">
        <v>184</v>
      </c>
    </row>
    <row r="2" spans="1:27" x14ac:dyDescent="0.25">
      <c r="A2" t="s">
        <v>83</v>
      </c>
      <c r="B2">
        <v>202502</v>
      </c>
      <c r="C2">
        <v>5107267072</v>
      </c>
      <c r="D2" t="s">
        <v>185</v>
      </c>
      <c r="E2" t="s">
        <v>186</v>
      </c>
      <c r="F2" t="s">
        <v>187</v>
      </c>
      <c r="G2" t="s">
        <v>187</v>
      </c>
      <c r="H2">
        <v>13822.5</v>
      </c>
      <c r="I2">
        <v>13822.5</v>
      </c>
      <c r="J2">
        <v>13822.5</v>
      </c>
      <c r="K2">
        <v>13822.5</v>
      </c>
      <c r="L2" t="s">
        <v>188</v>
      </c>
      <c r="M2">
        <v>2025</v>
      </c>
      <c r="N2">
        <v>2</v>
      </c>
      <c r="O2" s="130">
        <v>45689</v>
      </c>
      <c r="P2">
        <v>51072670722</v>
      </c>
      <c r="Q2" t="s">
        <v>189</v>
      </c>
      <c r="R2">
        <v>10</v>
      </c>
      <c r="S2" t="s">
        <v>190</v>
      </c>
      <c r="T2" s="130">
        <v>45702</v>
      </c>
      <c r="U2" s="130">
        <v>45702</v>
      </c>
      <c r="V2" t="s">
        <v>191</v>
      </c>
      <c r="W2" t="s">
        <v>192</v>
      </c>
      <c r="X2" t="s">
        <v>191</v>
      </c>
      <c r="Y2" t="s">
        <v>193</v>
      </c>
      <c r="Z2">
        <v>41010100</v>
      </c>
      <c r="AA2">
        <v>890</v>
      </c>
    </row>
    <row r="3" spans="1:27" x14ac:dyDescent="0.25">
      <c r="A3" t="s">
        <v>86</v>
      </c>
      <c r="B3">
        <v>202502</v>
      </c>
      <c r="C3">
        <v>5107267040</v>
      </c>
      <c r="D3" t="s">
        <v>185</v>
      </c>
      <c r="E3" t="s">
        <v>194</v>
      </c>
      <c r="F3" t="s">
        <v>195</v>
      </c>
      <c r="G3" t="s">
        <v>195</v>
      </c>
      <c r="H3">
        <v>34040</v>
      </c>
      <c r="I3">
        <v>34040</v>
      </c>
      <c r="J3">
        <v>34040</v>
      </c>
      <c r="K3">
        <v>34040</v>
      </c>
      <c r="L3" t="s">
        <v>188</v>
      </c>
      <c r="M3">
        <v>2025</v>
      </c>
      <c r="N3">
        <v>2</v>
      </c>
      <c r="O3" s="130">
        <v>45689</v>
      </c>
      <c r="P3">
        <v>51072670402</v>
      </c>
      <c r="Q3" t="s">
        <v>189</v>
      </c>
      <c r="R3">
        <v>10</v>
      </c>
      <c r="S3" t="s">
        <v>196</v>
      </c>
      <c r="T3" s="130">
        <v>45702</v>
      </c>
      <c r="U3" s="130">
        <v>45702</v>
      </c>
      <c r="V3" t="s">
        <v>191</v>
      </c>
      <c r="W3" t="s">
        <v>192</v>
      </c>
      <c r="X3" t="s">
        <v>191</v>
      </c>
      <c r="Y3" t="s">
        <v>193</v>
      </c>
      <c r="Z3">
        <v>41010100</v>
      </c>
      <c r="AA3">
        <v>890</v>
      </c>
    </row>
    <row r="4" spans="1:27" x14ac:dyDescent="0.25">
      <c r="A4" t="s">
        <v>83</v>
      </c>
      <c r="B4">
        <v>202502</v>
      </c>
      <c r="C4">
        <v>2100077443</v>
      </c>
      <c r="D4" t="s">
        <v>197</v>
      </c>
      <c r="E4" t="s">
        <v>186</v>
      </c>
      <c r="F4" t="s">
        <v>198</v>
      </c>
      <c r="G4" t="s">
        <v>198</v>
      </c>
      <c r="H4">
        <v>19385.28</v>
      </c>
      <c r="I4">
        <v>19385.28</v>
      </c>
      <c r="J4">
        <v>19385.28</v>
      </c>
      <c r="K4">
        <v>19385.28</v>
      </c>
      <c r="L4" t="s">
        <v>199</v>
      </c>
      <c r="M4">
        <v>2025</v>
      </c>
      <c r="N4">
        <v>2</v>
      </c>
      <c r="O4" s="130">
        <v>45689</v>
      </c>
      <c r="P4">
        <v>2100077443174</v>
      </c>
      <c r="Q4" t="s">
        <v>200</v>
      </c>
      <c r="R4">
        <v>10</v>
      </c>
      <c r="S4" t="s">
        <v>201</v>
      </c>
      <c r="T4" s="130">
        <v>45712</v>
      </c>
      <c r="U4" s="130">
        <v>45703</v>
      </c>
      <c r="V4" t="s">
        <v>191</v>
      </c>
      <c r="W4" t="s">
        <v>192</v>
      </c>
      <c r="X4" t="s">
        <v>191</v>
      </c>
      <c r="Y4" t="s">
        <v>193</v>
      </c>
      <c r="Z4">
        <v>41010100</v>
      </c>
      <c r="AA4">
        <v>890</v>
      </c>
    </row>
    <row r="5" spans="1:27" x14ac:dyDescent="0.25">
      <c r="A5" t="s">
        <v>86</v>
      </c>
      <c r="B5">
        <v>202502</v>
      </c>
      <c r="C5">
        <v>2100077443</v>
      </c>
      <c r="D5" t="s">
        <v>197</v>
      </c>
      <c r="E5" t="s">
        <v>194</v>
      </c>
      <c r="F5" t="s">
        <v>202</v>
      </c>
      <c r="G5" t="s">
        <v>202</v>
      </c>
      <c r="H5">
        <v>62210</v>
      </c>
      <c r="I5">
        <v>62210</v>
      </c>
      <c r="J5">
        <v>62210</v>
      </c>
      <c r="K5">
        <v>62210</v>
      </c>
      <c r="L5" t="s">
        <v>199</v>
      </c>
      <c r="M5">
        <v>2025</v>
      </c>
      <c r="N5">
        <v>2</v>
      </c>
      <c r="O5" s="130">
        <v>45689</v>
      </c>
      <c r="P5">
        <v>2100077443177</v>
      </c>
      <c r="Q5" t="s">
        <v>200</v>
      </c>
      <c r="R5">
        <v>10</v>
      </c>
      <c r="S5" t="s">
        <v>201</v>
      </c>
      <c r="T5" s="130">
        <v>45712</v>
      </c>
      <c r="U5" s="130">
        <v>45703</v>
      </c>
      <c r="V5" t="s">
        <v>191</v>
      </c>
      <c r="W5" t="s">
        <v>192</v>
      </c>
      <c r="X5" t="s">
        <v>191</v>
      </c>
      <c r="Y5" t="s">
        <v>193</v>
      </c>
      <c r="Z5">
        <v>41010100</v>
      </c>
      <c r="AA5">
        <v>890</v>
      </c>
    </row>
    <row r="6" spans="1:27" x14ac:dyDescent="0.25">
      <c r="A6" t="s">
        <v>83</v>
      </c>
      <c r="B6">
        <v>202503</v>
      </c>
      <c r="C6">
        <v>2100077864</v>
      </c>
      <c r="D6" t="s">
        <v>197</v>
      </c>
      <c r="E6" t="s">
        <v>203</v>
      </c>
      <c r="F6" t="s">
        <v>198</v>
      </c>
      <c r="G6" t="s">
        <v>198</v>
      </c>
      <c r="H6">
        <v>22813.72</v>
      </c>
      <c r="I6">
        <v>22813.72</v>
      </c>
      <c r="J6">
        <v>22813.72</v>
      </c>
      <c r="K6">
        <v>22813.72</v>
      </c>
      <c r="L6" t="s">
        <v>199</v>
      </c>
      <c r="M6">
        <v>2025</v>
      </c>
      <c r="N6">
        <v>3</v>
      </c>
      <c r="O6" s="130">
        <v>45717</v>
      </c>
      <c r="P6">
        <v>2100077864157</v>
      </c>
      <c r="Q6" t="s">
        <v>200</v>
      </c>
      <c r="R6">
        <v>10</v>
      </c>
      <c r="S6" t="s">
        <v>204</v>
      </c>
      <c r="T6" s="130">
        <v>45747</v>
      </c>
      <c r="U6" s="130">
        <v>45731</v>
      </c>
      <c r="V6" t="s">
        <v>191</v>
      </c>
      <c r="W6" t="s">
        <v>192</v>
      </c>
      <c r="X6" t="s">
        <v>191</v>
      </c>
      <c r="Y6" t="s">
        <v>193</v>
      </c>
      <c r="Z6">
        <v>41010100</v>
      </c>
      <c r="AA6">
        <v>890</v>
      </c>
    </row>
    <row r="7" spans="1:27" x14ac:dyDescent="0.25">
      <c r="A7" t="s">
        <v>84</v>
      </c>
      <c r="B7">
        <v>202502</v>
      </c>
      <c r="C7">
        <v>2100077444</v>
      </c>
      <c r="D7" t="s">
        <v>197</v>
      </c>
      <c r="E7" t="s">
        <v>205</v>
      </c>
      <c r="F7" t="s">
        <v>206</v>
      </c>
      <c r="G7" t="s">
        <v>206</v>
      </c>
      <c r="H7">
        <v>46348.31</v>
      </c>
      <c r="I7">
        <v>46348.31</v>
      </c>
      <c r="J7">
        <v>46348.31</v>
      </c>
      <c r="K7">
        <v>46348.31</v>
      </c>
      <c r="L7" t="s">
        <v>199</v>
      </c>
      <c r="M7">
        <v>2025</v>
      </c>
      <c r="N7">
        <v>2</v>
      </c>
      <c r="O7" s="130">
        <v>45689</v>
      </c>
      <c r="P7">
        <v>2100077444137</v>
      </c>
      <c r="Q7" t="s">
        <v>200</v>
      </c>
      <c r="R7">
        <v>10</v>
      </c>
      <c r="S7" t="s">
        <v>201</v>
      </c>
      <c r="T7" s="130">
        <v>45712</v>
      </c>
      <c r="U7" s="130">
        <v>45703</v>
      </c>
      <c r="V7" t="s">
        <v>191</v>
      </c>
      <c r="W7" t="s">
        <v>192</v>
      </c>
      <c r="X7" t="s">
        <v>191</v>
      </c>
      <c r="Y7" t="s">
        <v>207</v>
      </c>
      <c r="Z7">
        <v>41500000</v>
      </c>
      <c r="AA7">
        <v>890</v>
      </c>
    </row>
    <row r="8" spans="1:27" hidden="1" x14ac:dyDescent="0.25">
      <c r="A8" t="s">
        <v>84</v>
      </c>
      <c r="B8">
        <v>202504</v>
      </c>
      <c r="C8">
        <v>2100078174</v>
      </c>
      <c r="D8" t="s">
        <v>197</v>
      </c>
      <c r="E8" t="s">
        <v>205</v>
      </c>
      <c r="F8" t="s">
        <v>206</v>
      </c>
      <c r="G8" t="s">
        <v>206</v>
      </c>
      <c r="H8">
        <v>-75000</v>
      </c>
      <c r="I8">
        <v>-75000</v>
      </c>
      <c r="J8">
        <v>-75000</v>
      </c>
      <c r="K8">
        <v>-75000</v>
      </c>
      <c r="L8" t="s">
        <v>208</v>
      </c>
      <c r="M8">
        <v>2025</v>
      </c>
      <c r="N8">
        <v>4</v>
      </c>
      <c r="O8" s="130">
        <v>45748</v>
      </c>
      <c r="P8">
        <v>210007817463</v>
      </c>
      <c r="Q8" t="s">
        <v>200</v>
      </c>
      <c r="R8">
        <v>10</v>
      </c>
      <c r="S8" t="s">
        <v>204</v>
      </c>
      <c r="T8" s="130">
        <v>45747</v>
      </c>
      <c r="U8" s="130">
        <v>45754</v>
      </c>
      <c r="V8" t="s">
        <v>191</v>
      </c>
      <c r="W8" t="s">
        <v>192</v>
      </c>
      <c r="X8" t="s">
        <v>191</v>
      </c>
      <c r="Y8" t="s">
        <v>207</v>
      </c>
      <c r="Z8">
        <v>41500000</v>
      </c>
      <c r="AA8">
        <v>890</v>
      </c>
    </row>
    <row r="9" spans="1:27" hidden="1" x14ac:dyDescent="0.25">
      <c r="A9" t="s">
        <v>84</v>
      </c>
      <c r="B9">
        <v>202504</v>
      </c>
      <c r="C9">
        <v>2100078519</v>
      </c>
      <c r="D9" t="s">
        <v>197</v>
      </c>
      <c r="E9" t="s">
        <v>205</v>
      </c>
      <c r="F9" t="s">
        <v>206</v>
      </c>
      <c r="G9" t="s">
        <v>206</v>
      </c>
      <c r="H9">
        <v>122899.16</v>
      </c>
      <c r="I9">
        <v>122899.16</v>
      </c>
      <c r="J9">
        <v>122899.16</v>
      </c>
      <c r="K9">
        <v>122899.16</v>
      </c>
      <c r="L9" t="s">
        <v>199</v>
      </c>
      <c r="M9">
        <v>2025</v>
      </c>
      <c r="N9">
        <v>4</v>
      </c>
      <c r="O9" s="130">
        <v>45748</v>
      </c>
      <c r="P9">
        <v>210007851987</v>
      </c>
      <c r="Q9" t="s">
        <v>200</v>
      </c>
      <c r="R9">
        <v>10</v>
      </c>
      <c r="S9" t="s">
        <v>209</v>
      </c>
      <c r="T9" s="130">
        <v>45775</v>
      </c>
      <c r="U9" s="130">
        <v>45762</v>
      </c>
      <c r="V9" t="s">
        <v>191</v>
      </c>
      <c r="W9" t="s">
        <v>192</v>
      </c>
      <c r="X9" t="s">
        <v>191</v>
      </c>
      <c r="Y9" t="s">
        <v>207</v>
      </c>
      <c r="Z9">
        <v>41500000</v>
      </c>
      <c r="AA9">
        <v>890</v>
      </c>
    </row>
    <row r="10" spans="1:27" hidden="1" x14ac:dyDescent="0.25">
      <c r="A10" t="s">
        <v>84</v>
      </c>
      <c r="B10">
        <v>202504</v>
      </c>
      <c r="C10">
        <v>2100078580</v>
      </c>
      <c r="D10" t="s">
        <v>197</v>
      </c>
      <c r="E10" t="s">
        <v>205</v>
      </c>
      <c r="F10" t="s">
        <v>206</v>
      </c>
      <c r="G10" t="s">
        <v>206</v>
      </c>
      <c r="H10">
        <v>-56233.16</v>
      </c>
      <c r="I10">
        <v>-56233.16</v>
      </c>
      <c r="J10">
        <v>-56233.16</v>
      </c>
      <c r="K10">
        <v>-56233.16</v>
      </c>
      <c r="L10" t="s">
        <v>208</v>
      </c>
      <c r="M10">
        <v>2025</v>
      </c>
      <c r="N10">
        <v>4</v>
      </c>
      <c r="O10" s="130">
        <v>45748</v>
      </c>
      <c r="P10">
        <v>210007858038</v>
      </c>
      <c r="Q10" t="s">
        <v>200</v>
      </c>
      <c r="R10">
        <v>10</v>
      </c>
      <c r="S10" t="s">
        <v>210</v>
      </c>
      <c r="T10" s="130">
        <v>45776</v>
      </c>
      <c r="U10" s="130">
        <v>45762</v>
      </c>
      <c r="V10" t="s">
        <v>191</v>
      </c>
      <c r="W10" t="s">
        <v>192</v>
      </c>
      <c r="X10" t="s">
        <v>191</v>
      </c>
      <c r="Y10" t="s">
        <v>207</v>
      </c>
      <c r="Z10">
        <v>41500000</v>
      </c>
      <c r="AA10">
        <v>890</v>
      </c>
    </row>
    <row r="11" spans="1:27" x14ac:dyDescent="0.25">
      <c r="A11" t="s">
        <v>84</v>
      </c>
      <c r="B11">
        <v>202503</v>
      </c>
      <c r="C11">
        <v>2100077619</v>
      </c>
      <c r="D11" t="s">
        <v>197</v>
      </c>
      <c r="E11" t="s">
        <v>205</v>
      </c>
      <c r="F11" t="s">
        <v>206</v>
      </c>
      <c r="G11" t="s">
        <v>206</v>
      </c>
      <c r="H11">
        <v>-46348.31</v>
      </c>
      <c r="I11">
        <v>-46348.31</v>
      </c>
      <c r="J11">
        <v>-46348.31</v>
      </c>
      <c r="K11">
        <v>-46348.31</v>
      </c>
      <c r="L11" t="s">
        <v>208</v>
      </c>
      <c r="M11">
        <v>2025</v>
      </c>
      <c r="N11">
        <v>3</v>
      </c>
      <c r="O11" s="130">
        <v>45717</v>
      </c>
      <c r="P11">
        <v>2100077619137</v>
      </c>
      <c r="Q11" t="s">
        <v>200</v>
      </c>
      <c r="R11">
        <v>10</v>
      </c>
      <c r="S11" t="s">
        <v>201</v>
      </c>
      <c r="T11" s="130">
        <v>45712</v>
      </c>
      <c r="U11" s="130">
        <v>45719</v>
      </c>
      <c r="V11" t="s">
        <v>191</v>
      </c>
      <c r="W11" t="s">
        <v>192</v>
      </c>
      <c r="X11" t="s">
        <v>191</v>
      </c>
      <c r="Y11" t="s">
        <v>207</v>
      </c>
      <c r="Z11">
        <v>41500000</v>
      </c>
      <c r="AA11">
        <v>890</v>
      </c>
    </row>
    <row r="12" spans="1:27" x14ac:dyDescent="0.25">
      <c r="A12" t="s">
        <v>84</v>
      </c>
      <c r="B12">
        <v>202503</v>
      </c>
      <c r="C12">
        <v>2100077868</v>
      </c>
      <c r="D12" t="s">
        <v>197</v>
      </c>
      <c r="E12" t="s">
        <v>205</v>
      </c>
      <c r="F12" t="s">
        <v>206</v>
      </c>
      <c r="G12" t="s">
        <v>206</v>
      </c>
      <c r="H12">
        <v>75000</v>
      </c>
      <c r="I12">
        <v>75000</v>
      </c>
      <c r="J12">
        <v>75000</v>
      </c>
      <c r="K12">
        <v>75000</v>
      </c>
      <c r="L12" t="s">
        <v>199</v>
      </c>
      <c r="M12">
        <v>2025</v>
      </c>
      <c r="N12">
        <v>3</v>
      </c>
      <c r="O12" s="130">
        <v>45717</v>
      </c>
      <c r="P12">
        <v>210007786863</v>
      </c>
      <c r="Q12" t="s">
        <v>200</v>
      </c>
      <c r="R12">
        <v>10</v>
      </c>
      <c r="S12" t="s">
        <v>204</v>
      </c>
      <c r="T12" s="130">
        <v>45747</v>
      </c>
      <c r="U12" s="130">
        <v>45731</v>
      </c>
      <c r="V12" t="s">
        <v>191</v>
      </c>
      <c r="W12" t="s">
        <v>192</v>
      </c>
      <c r="X12" t="s">
        <v>191</v>
      </c>
      <c r="Y12" t="s">
        <v>207</v>
      </c>
      <c r="Z12">
        <v>41500000</v>
      </c>
      <c r="AA12">
        <v>890</v>
      </c>
    </row>
    <row r="13" spans="1:27" hidden="1" x14ac:dyDescent="0.25">
      <c r="A13" t="s">
        <v>87</v>
      </c>
      <c r="B13">
        <v>202504</v>
      </c>
      <c r="C13">
        <v>5107376854</v>
      </c>
      <c r="D13" t="s">
        <v>185</v>
      </c>
      <c r="E13" t="s">
        <v>211</v>
      </c>
      <c r="F13" t="s">
        <v>212</v>
      </c>
      <c r="G13" t="s">
        <v>212</v>
      </c>
      <c r="H13">
        <v>83104</v>
      </c>
      <c r="I13">
        <v>83104</v>
      </c>
      <c r="J13">
        <v>83104</v>
      </c>
      <c r="K13">
        <v>83104</v>
      </c>
      <c r="L13" t="s">
        <v>188</v>
      </c>
      <c r="M13">
        <v>2025</v>
      </c>
      <c r="N13">
        <v>4</v>
      </c>
      <c r="O13" s="130">
        <v>45748</v>
      </c>
      <c r="P13">
        <v>51073768542</v>
      </c>
      <c r="Q13" t="s">
        <v>189</v>
      </c>
      <c r="R13">
        <v>10</v>
      </c>
      <c r="S13" t="s">
        <v>213</v>
      </c>
      <c r="T13" s="130">
        <v>45758</v>
      </c>
      <c r="U13" s="130">
        <v>45762</v>
      </c>
      <c r="V13" t="s">
        <v>191</v>
      </c>
      <c r="W13" t="s">
        <v>192</v>
      </c>
      <c r="X13" t="s">
        <v>191</v>
      </c>
      <c r="Y13" t="s">
        <v>193</v>
      </c>
      <c r="Z13">
        <v>41010100</v>
      </c>
      <c r="AA13">
        <v>890</v>
      </c>
    </row>
    <row r="14" spans="1:27" hidden="1" x14ac:dyDescent="0.25">
      <c r="A14" t="s">
        <v>86</v>
      </c>
      <c r="B14">
        <v>202504</v>
      </c>
      <c r="C14">
        <v>5107369850</v>
      </c>
      <c r="D14" t="s">
        <v>185</v>
      </c>
      <c r="E14" t="s">
        <v>194</v>
      </c>
      <c r="F14" t="s">
        <v>195</v>
      </c>
      <c r="G14" t="s">
        <v>195</v>
      </c>
      <c r="H14">
        <v>58648</v>
      </c>
      <c r="I14">
        <v>58648</v>
      </c>
      <c r="J14">
        <v>58648</v>
      </c>
      <c r="K14">
        <v>58648</v>
      </c>
      <c r="L14" t="s">
        <v>188</v>
      </c>
      <c r="M14">
        <v>2025</v>
      </c>
      <c r="N14">
        <v>4</v>
      </c>
      <c r="O14" s="130">
        <v>45748</v>
      </c>
      <c r="P14">
        <v>51073698502</v>
      </c>
      <c r="Q14" t="s">
        <v>189</v>
      </c>
      <c r="R14">
        <v>10</v>
      </c>
      <c r="S14" t="s">
        <v>214</v>
      </c>
      <c r="T14" s="130">
        <v>45758</v>
      </c>
      <c r="U14" s="130">
        <v>45761</v>
      </c>
      <c r="V14" t="s">
        <v>191</v>
      </c>
      <c r="W14" t="s">
        <v>192</v>
      </c>
      <c r="X14" t="s">
        <v>191</v>
      </c>
      <c r="Y14" t="s">
        <v>193</v>
      </c>
      <c r="Z14">
        <v>41010100</v>
      </c>
      <c r="AA14">
        <v>890</v>
      </c>
    </row>
    <row r="15" spans="1:27" hidden="1" x14ac:dyDescent="0.25">
      <c r="A15" t="s">
        <v>83</v>
      </c>
      <c r="B15">
        <v>202504</v>
      </c>
      <c r="C15">
        <v>5107366814</v>
      </c>
      <c r="D15" t="s">
        <v>185</v>
      </c>
      <c r="E15" t="s">
        <v>203</v>
      </c>
      <c r="F15" t="s">
        <v>187</v>
      </c>
      <c r="G15" t="s">
        <v>187</v>
      </c>
      <c r="H15">
        <v>20425</v>
      </c>
      <c r="I15">
        <v>20425</v>
      </c>
      <c r="J15">
        <v>20425</v>
      </c>
      <c r="K15">
        <v>20425</v>
      </c>
      <c r="L15" t="s">
        <v>188</v>
      </c>
      <c r="M15">
        <v>2025</v>
      </c>
      <c r="N15">
        <v>4</v>
      </c>
      <c r="O15" s="130">
        <v>45748</v>
      </c>
      <c r="P15">
        <v>51073668142</v>
      </c>
      <c r="Q15" t="s">
        <v>189</v>
      </c>
      <c r="R15">
        <v>10</v>
      </c>
      <c r="S15" t="s">
        <v>215</v>
      </c>
      <c r="T15" s="130">
        <v>45758</v>
      </c>
      <c r="U15" s="130">
        <v>45758</v>
      </c>
      <c r="V15" t="s">
        <v>191</v>
      </c>
      <c r="W15" t="s">
        <v>192</v>
      </c>
      <c r="X15" t="s">
        <v>191</v>
      </c>
      <c r="Y15" t="s">
        <v>193</v>
      </c>
      <c r="Z15">
        <v>41010100</v>
      </c>
      <c r="AA15">
        <v>890</v>
      </c>
    </row>
    <row r="16" spans="1:27" hidden="1" x14ac:dyDescent="0.25">
      <c r="A16" t="s">
        <v>87</v>
      </c>
      <c r="B16">
        <v>202504</v>
      </c>
      <c r="C16">
        <v>2100078176</v>
      </c>
      <c r="D16" t="s">
        <v>197</v>
      </c>
      <c r="E16" t="s">
        <v>211</v>
      </c>
      <c r="F16" t="s">
        <v>216</v>
      </c>
      <c r="G16" t="s">
        <v>216</v>
      </c>
      <c r="H16">
        <v>-150517.57999999999</v>
      </c>
      <c r="I16">
        <v>-150517.57999999999</v>
      </c>
      <c r="J16">
        <v>-150517.57999999999</v>
      </c>
      <c r="K16">
        <v>-150517.57999999999</v>
      </c>
      <c r="L16" t="s">
        <v>208</v>
      </c>
      <c r="M16">
        <v>2025</v>
      </c>
      <c r="N16">
        <v>4</v>
      </c>
      <c r="O16" s="130">
        <v>45748</v>
      </c>
      <c r="P16">
        <v>210007817615</v>
      </c>
      <c r="Q16" t="s">
        <v>200</v>
      </c>
      <c r="R16">
        <v>10</v>
      </c>
      <c r="S16" t="s">
        <v>209</v>
      </c>
      <c r="T16" s="130">
        <v>45747</v>
      </c>
      <c r="U16" s="130">
        <v>45754</v>
      </c>
      <c r="V16" t="s">
        <v>191</v>
      </c>
      <c r="W16" t="s">
        <v>192</v>
      </c>
      <c r="X16" t="s">
        <v>191</v>
      </c>
      <c r="Y16" t="s">
        <v>193</v>
      </c>
      <c r="Z16">
        <v>41010100</v>
      </c>
      <c r="AA16">
        <v>890</v>
      </c>
    </row>
    <row r="17" spans="1:27" hidden="1" x14ac:dyDescent="0.25">
      <c r="A17" t="s">
        <v>87</v>
      </c>
      <c r="B17">
        <v>202504</v>
      </c>
      <c r="C17">
        <v>2100078226</v>
      </c>
      <c r="D17" t="s">
        <v>197</v>
      </c>
      <c r="E17" t="s">
        <v>211</v>
      </c>
      <c r="F17" t="s">
        <v>216</v>
      </c>
      <c r="G17" t="s">
        <v>216</v>
      </c>
      <c r="H17">
        <v>-3382.42</v>
      </c>
      <c r="I17">
        <v>-3382.42</v>
      </c>
      <c r="J17">
        <v>-3382.42</v>
      </c>
      <c r="K17">
        <v>-3382.42</v>
      </c>
      <c r="L17" t="s">
        <v>208</v>
      </c>
      <c r="M17">
        <v>2025</v>
      </c>
      <c r="N17">
        <v>4</v>
      </c>
      <c r="O17" s="130">
        <v>45748</v>
      </c>
      <c r="P17">
        <v>21000782269</v>
      </c>
      <c r="Q17" t="s">
        <v>200</v>
      </c>
      <c r="R17">
        <v>10</v>
      </c>
      <c r="S17" t="s">
        <v>210</v>
      </c>
      <c r="T17" s="130">
        <v>45748</v>
      </c>
      <c r="U17" s="130">
        <v>45754</v>
      </c>
      <c r="V17" t="s">
        <v>191</v>
      </c>
      <c r="W17" t="s">
        <v>192</v>
      </c>
      <c r="X17" t="s">
        <v>191</v>
      </c>
      <c r="Y17" t="s">
        <v>193</v>
      </c>
      <c r="Z17">
        <v>41010100</v>
      </c>
      <c r="AA17">
        <v>890</v>
      </c>
    </row>
    <row r="18" spans="1:27" hidden="1" x14ac:dyDescent="0.25">
      <c r="A18" t="s">
        <v>87</v>
      </c>
      <c r="B18">
        <v>202504</v>
      </c>
      <c r="C18">
        <v>2100078519</v>
      </c>
      <c r="D18" t="s">
        <v>197</v>
      </c>
      <c r="E18" t="s">
        <v>211</v>
      </c>
      <c r="F18" t="s">
        <v>216</v>
      </c>
      <c r="G18" t="s">
        <v>216</v>
      </c>
      <c r="H18">
        <v>114767.43</v>
      </c>
      <c r="I18">
        <v>114767.43</v>
      </c>
      <c r="J18">
        <v>114767.43</v>
      </c>
      <c r="K18">
        <v>114767.43</v>
      </c>
      <c r="L18" t="s">
        <v>199</v>
      </c>
      <c r="M18">
        <v>2025</v>
      </c>
      <c r="N18">
        <v>4</v>
      </c>
      <c r="O18" s="130">
        <v>45748</v>
      </c>
      <c r="P18">
        <v>210007851916</v>
      </c>
      <c r="Q18" t="s">
        <v>200</v>
      </c>
      <c r="R18">
        <v>10</v>
      </c>
      <c r="S18" t="s">
        <v>209</v>
      </c>
      <c r="T18" s="130">
        <v>45775</v>
      </c>
      <c r="U18" s="130">
        <v>45762</v>
      </c>
      <c r="V18" t="s">
        <v>191</v>
      </c>
      <c r="W18" t="s">
        <v>192</v>
      </c>
      <c r="X18" t="s">
        <v>191</v>
      </c>
      <c r="Y18" t="s">
        <v>193</v>
      </c>
      <c r="Z18">
        <v>41010100</v>
      </c>
      <c r="AA18">
        <v>890</v>
      </c>
    </row>
    <row r="19" spans="1:27" hidden="1" x14ac:dyDescent="0.25">
      <c r="A19" t="s">
        <v>87</v>
      </c>
      <c r="B19">
        <v>202504</v>
      </c>
      <c r="C19">
        <v>2100078580</v>
      </c>
      <c r="D19" t="s">
        <v>197</v>
      </c>
      <c r="E19" t="s">
        <v>211</v>
      </c>
      <c r="F19" t="s">
        <v>216</v>
      </c>
      <c r="G19" t="s">
        <v>216</v>
      </c>
      <c r="H19">
        <v>-67567.429999999993</v>
      </c>
      <c r="I19">
        <v>-67567.429999999993</v>
      </c>
      <c r="J19">
        <v>-67567.429999999993</v>
      </c>
      <c r="K19">
        <v>-67567.429999999993</v>
      </c>
      <c r="L19" t="s">
        <v>208</v>
      </c>
      <c r="M19">
        <v>2025</v>
      </c>
      <c r="N19">
        <v>4</v>
      </c>
      <c r="O19" s="130">
        <v>45748</v>
      </c>
      <c r="P19">
        <v>210007858012</v>
      </c>
      <c r="Q19" t="s">
        <v>200</v>
      </c>
      <c r="R19">
        <v>10</v>
      </c>
      <c r="S19" t="s">
        <v>210</v>
      </c>
      <c r="T19" s="130">
        <v>45776</v>
      </c>
      <c r="U19" s="130">
        <v>45762</v>
      </c>
      <c r="V19" t="s">
        <v>191</v>
      </c>
      <c r="W19" t="s">
        <v>192</v>
      </c>
      <c r="X19" t="s">
        <v>191</v>
      </c>
      <c r="Y19" t="s">
        <v>193</v>
      </c>
      <c r="Z19">
        <v>41010100</v>
      </c>
      <c r="AA19">
        <v>890</v>
      </c>
    </row>
    <row r="20" spans="1:27" hidden="1" x14ac:dyDescent="0.25">
      <c r="A20" t="s">
        <v>86</v>
      </c>
      <c r="B20">
        <v>202504</v>
      </c>
      <c r="C20">
        <v>2100078176</v>
      </c>
      <c r="D20" t="s">
        <v>197</v>
      </c>
      <c r="E20" t="s">
        <v>194</v>
      </c>
      <c r="F20" t="s">
        <v>202</v>
      </c>
      <c r="G20" t="s">
        <v>202</v>
      </c>
      <c r="H20">
        <v>-121710</v>
      </c>
      <c r="I20">
        <v>-121710</v>
      </c>
      <c r="J20">
        <v>-121710</v>
      </c>
      <c r="K20">
        <v>-121710</v>
      </c>
      <c r="L20" t="s">
        <v>208</v>
      </c>
      <c r="M20">
        <v>2025</v>
      </c>
      <c r="N20">
        <v>4</v>
      </c>
      <c r="O20" s="130">
        <v>45748</v>
      </c>
      <c r="P20">
        <v>210007817614</v>
      </c>
      <c r="Q20" t="s">
        <v>200</v>
      </c>
      <c r="R20">
        <v>10</v>
      </c>
      <c r="S20" t="s">
        <v>209</v>
      </c>
      <c r="T20" s="130">
        <v>45747</v>
      </c>
      <c r="U20" s="130">
        <v>45754</v>
      </c>
      <c r="V20" t="s">
        <v>191</v>
      </c>
      <c r="W20" t="s">
        <v>192</v>
      </c>
      <c r="X20" t="s">
        <v>191</v>
      </c>
      <c r="Y20" t="s">
        <v>193</v>
      </c>
      <c r="Z20">
        <v>41010100</v>
      </c>
      <c r="AA20">
        <v>890</v>
      </c>
    </row>
    <row r="21" spans="1:27" hidden="1" x14ac:dyDescent="0.25">
      <c r="A21" t="s">
        <v>86</v>
      </c>
      <c r="B21">
        <v>202504</v>
      </c>
      <c r="C21">
        <v>2100078226</v>
      </c>
      <c r="D21" t="s">
        <v>197</v>
      </c>
      <c r="E21" t="s">
        <v>194</v>
      </c>
      <c r="F21" t="s">
        <v>202</v>
      </c>
      <c r="G21" t="s">
        <v>202</v>
      </c>
      <c r="H21">
        <v>16110</v>
      </c>
      <c r="I21">
        <v>16110</v>
      </c>
      <c r="J21">
        <v>16110</v>
      </c>
      <c r="K21">
        <v>16110</v>
      </c>
      <c r="L21" t="s">
        <v>199</v>
      </c>
      <c r="M21">
        <v>2025</v>
      </c>
      <c r="N21">
        <v>4</v>
      </c>
      <c r="O21" s="130">
        <v>45748</v>
      </c>
      <c r="P21">
        <v>21000782268</v>
      </c>
      <c r="Q21" t="s">
        <v>200</v>
      </c>
      <c r="R21">
        <v>10</v>
      </c>
      <c r="S21" t="s">
        <v>210</v>
      </c>
      <c r="T21" s="130">
        <v>45748</v>
      </c>
      <c r="U21" s="130">
        <v>45754</v>
      </c>
      <c r="V21" t="s">
        <v>191</v>
      </c>
      <c r="W21" t="s">
        <v>192</v>
      </c>
      <c r="X21" t="s">
        <v>191</v>
      </c>
      <c r="Y21" t="s">
        <v>193</v>
      </c>
      <c r="Z21">
        <v>41010100</v>
      </c>
      <c r="AA21">
        <v>890</v>
      </c>
    </row>
    <row r="22" spans="1:27" hidden="1" x14ac:dyDescent="0.25">
      <c r="A22" t="s">
        <v>86</v>
      </c>
      <c r="B22">
        <v>202504</v>
      </c>
      <c r="C22">
        <v>2100078519</v>
      </c>
      <c r="D22" t="s">
        <v>197</v>
      </c>
      <c r="E22" t="s">
        <v>194</v>
      </c>
      <c r="F22" t="s">
        <v>202</v>
      </c>
      <c r="G22" t="s">
        <v>202</v>
      </c>
      <c r="H22">
        <v>112062</v>
      </c>
      <c r="I22">
        <v>112062</v>
      </c>
      <c r="J22">
        <v>112062</v>
      </c>
      <c r="K22">
        <v>112062</v>
      </c>
      <c r="L22" t="s">
        <v>199</v>
      </c>
      <c r="M22">
        <v>2025</v>
      </c>
      <c r="N22">
        <v>4</v>
      </c>
      <c r="O22" s="130">
        <v>45748</v>
      </c>
      <c r="P22">
        <v>210007851915</v>
      </c>
      <c r="Q22" t="s">
        <v>200</v>
      </c>
      <c r="R22">
        <v>10</v>
      </c>
      <c r="S22" t="s">
        <v>209</v>
      </c>
      <c r="T22" s="130">
        <v>45775</v>
      </c>
      <c r="U22" s="130">
        <v>45762</v>
      </c>
      <c r="V22" t="s">
        <v>191</v>
      </c>
      <c r="W22" t="s">
        <v>192</v>
      </c>
      <c r="X22" t="s">
        <v>191</v>
      </c>
      <c r="Y22" t="s">
        <v>193</v>
      </c>
      <c r="Z22">
        <v>41010100</v>
      </c>
      <c r="AA22">
        <v>890</v>
      </c>
    </row>
    <row r="23" spans="1:27" hidden="1" x14ac:dyDescent="0.25">
      <c r="A23" t="s">
        <v>86</v>
      </c>
      <c r="B23">
        <v>202504</v>
      </c>
      <c r="C23">
        <v>2100078580</v>
      </c>
      <c r="D23" t="s">
        <v>197</v>
      </c>
      <c r="E23" t="s">
        <v>194</v>
      </c>
      <c r="F23" t="s">
        <v>202</v>
      </c>
      <c r="G23" t="s">
        <v>202</v>
      </c>
      <c r="H23">
        <v>-18462</v>
      </c>
      <c r="I23">
        <v>-18462</v>
      </c>
      <c r="J23">
        <v>-18462</v>
      </c>
      <c r="K23">
        <v>-18462</v>
      </c>
      <c r="L23" t="s">
        <v>208</v>
      </c>
      <c r="M23">
        <v>2025</v>
      </c>
      <c r="N23">
        <v>4</v>
      </c>
      <c r="O23" s="130">
        <v>45748</v>
      </c>
      <c r="P23">
        <v>210007858011</v>
      </c>
      <c r="Q23" t="s">
        <v>200</v>
      </c>
      <c r="R23">
        <v>10</v>
      </c>
      <c r="S23" t="s">
        <v>210</v>
      </c>
      <c r="T23" s="130">
        <v>45776</v>
      </c>
      <c r="U23" s="130">
        <v>45762</v>
      </c>
      <c r="V23" t="s">
        <v>191</v>
      </c>
      <c r="W23" t="s">
        <v>192</v>
      </c>
      <c r="X23" t="s">
        <v>191</v>
      </c>
      <c r="Y23" t="s">
        <v>193</v>
      </c>
      <c r="Z23">
        <v>41010100</v>
      </c>
      <c r="AA23">
        <v>890</v>
      </c>
    </row>
    <row r="24" spans="1:27" hidden="1" x14ac:dyDescent="0.25">
      <c r="A24" t="s">
        <v>83</v>
      </c>
      <c r="B24">
        <v>202504</v>
      </c>
      <c r="C24">
        <v>2100078170</v>
      </c>
      <c r="D24" t="s">
        <v>197</v>
      </c>
      <c r="E24" t="s">
        <v>203</v>
      </c>
      <c r="F24" t="s">
        <v>198</v>
      </c>
      <c r="G24" t="s">
        <v>198</v>
      </c>
      <c r="H24">
        <v>-22813.72</v>
      </c>
      <c r="I24">
        <v>-22813.72</v>
      </c>
      <c r="J24">
        <v>-22813.72</v>
      </c>
      <c r="K24">
        <v>-22813.72</v>
      </c>
      <c r="L24" t="s">
        <v>208</v>
      </c>
      <c r="M24">
        <v>2025</v>
      </c>
      <c r="N24">
        <v>4</v>
      </c>
      <c r="O24" s="130">
        <v>45748</v>
      </c>
      <c r="P24">
        <v>2100078170157</v>
      </c>
      <c r="Q24" t="s">
        <v>200</v>
      </c>
      <c r="R24">
        <v>10</v>
      </c>
      <c r="S24" t="s">
        <v>204</v>
      </c>
      <c r="T24" s="130">
        <v>45747</v>
      </c>
      <c r="U24" s="130">
        <v>45754</v>
      </c>
      <c r="V24" t="s">
        <v>191</v>
      </c>
      <c r="W24" t="s">
        <v>192</v>
      </c>
      <c r="X24" t="s">
        <v>191</v>
      </c>
      <c r="Y24" t="s">
        <v>193</v>
      </c>
      <c r="Z24">
        <v>41010100</v>
      </c>
      <c r="AA24">
        <v>890</v>
      </c>
    </row>
    <row r="25" spans="1:27" hidden="1" x14ac:dyDescent="0.25">
      <c r="A25" t="s">
        <v>83</v>
      </c>
      <c r="B25">
        <v>202504</v>
      </c>
      <c r="C25">
        <v>2100078515</v>
      </c>
      <c r="D25" t="s">
        <v>197</v>
      </c>
      <c r="E25" t="s">
        <v>203</v>
      </c>
      <c r="F25" t="s">
        <v>198</v>
      </c>
      <c r="G25" t="s">
        <v>198</v>
      </c>
      <c r="H25">
        <v>19294.5</v>
      </c>
      <c r="I25">
        <v>19294.5</v>
      </c>
      <c r="J25">
        <v>19294.5</v>
      </c>
      <c r="K25">
        <v>19294.5</v>
      </c>
      <c r="L25" t="s">
        <v>199</v>
      </c>
      <c r="M25">
        <v>2025</v>
      </c>
      <c r="N25">
        <v>4</v>
      </c>
      <c r="O25" s="130">
        <v>45748</v>
      </c>
      <c r="P25">
        <v>2100078515140</v>
      </c>
      <c r="Q25" t="s">
        <v>200</v>
      </c>
      <c r="R25">
        <v>10</v>
      </c>
      <c r="S25" t="s">
        <v>217</v>
      </c>
      <c r="T25" s="130">
        <v>45775</v>
      </c>
      <c r="U25" s="130">
        <v>45762</v>
      </c>
      <c r="V25" t="s">
        <v>191</v>
      </c>
      <c r="W25" t="s">
        <v>192</v>
      </c>
      <c r="X25" t="s">
        <v>191</v>
      </c>
      <c r="Y25" t="s">
        <v>193</v>
      </c>
      <c r="Z25">
        <v>41010100</v>
      </c>
      <c r="AA25">
        <v>890</v>
      </c>
    </row>
    <row r="26" spans="1:27" x14ac:dyDescent="0.25">
      <c r="A26" t="s">
        <v>83</v>
      </c>
      <c r="B26">
        <v>202503</v>
      </c>
      <c r="C26">
        <v>5107325007</v>
      </c>
      <c r="D26" t="s">
        <v>185</v>
      </c>
      <c r="E26" t="s">
        <v>203</v>
      </c>
      <c r="F26" t="s">
        <v>187</v>
      </c>
      <c r="G26" t="s">
        <v>187</v>
      </c>
      <c r="H26">
        <v>17100</v>
      </c>
      <c r="I26">
        <v>17100</v>
      </c>
      <c r="J26">
        <v>17100</v>
      </c>
      <c r="K26">
        <v>17100</v>
      </c>
      <c r="L26" t="s">
        <v>188</v>
      </c>
      <c r="M26">
        <v>2025</v>
      </c>
      <c r="N26">
        <v>3</v>
      </c>
      <c r="O26" s="130">
        <v>45717</v>
      </c>
      <c r="P26">
        <v>51073250072</v>
      </c>
      <c r="Q26" t="s">
        <v>189</v>
      </c>
      <c r="R26">
        <v>10</v>
      </c>
      <c r="S26" t="s">
        <v>218</v>
      </c>
      <c r="T26" s="130">
        <v>45733</v>
      </c>
      <c r="U26" s="130">
        <v>45733</v>
      </c>
      <c r="V26" t="s">
        <v>191</v>
      </c>
      <c r="W26" t="s">
        <v>192</v>
      </c>
      <c r="X26" t="s">
        <v>191</v>
      </c>
      <c r="Y26" t="s">
        <v>193</v>
      </c>
      <c r="Z26">
        <v>41010100</v>
      </c>
      <c r="AA26">
        <v>890</v>
      </c>
    </row>
    <row r="27" spans="1:27" x14ac:dyDescent="0.25">
      <c r="A27" t="s">
        <v>83</v>
      </c>
      <c r="B27">
        <v>202503</v>
      </c>
      <c r="C27">
        <v>9005719467</v>
      </c>
      <c r="D27" t="s">
        <v>197</v>
      </c>
      <c r="E27" t="s">
        <v>186</v>
      </c>
      <c r="F27" t="s">
        <v>219</v>
      </c>
      <c r="G27" t="s">
        <v>219</v>
      </c>
      <c r="H27">
        <v>-15096</v>
      </c>
      <c r="I27">
        <v>-15096</v>
      </c>
      <c r="J27">
        <v>-15096</v>
      </c>
      <c r="K27">
        <v>-15096</v>
      </c>
      <c r="L27" t="s">
        <v>220</v>
      </c>
      <c r="M27">
        <v>2025</v>
      </c>
      <c r="N27">
        <v>3</v>
      </c>
      <c r="O27" s="130">
        <v>45717</v>
      </c>
      <c r="P27">
        <v>900571946771</v>
      </c>
      <c r="Q27" t="s">
        <v>221</v>
      </c>
      <c r="R27">
        <v>10</v>
      </c>
      <c r="S27" t="s">
        <v>222</v>
      </c>
      <c r="T27" s="130">
        <v>45743</v>
      </c>
      <c r="U27" s="130">
        <v>45731</v>
      </c>
      <c r="V27" t="s">
        <v>191</v>
      </c>
      <c r="W27" t="s">
        <v>192</v>
      </c>
      <c r="X27" t="s">
        <v>191</v>
      </c>
      <c r="Y27" t="s">
        <v>193</v>
      </c>
      <c r="Z27">
        <v>41010100</v>
      </c>
      <c r="AA27">
        <v>890</v>
      </c>
    </row>
    <row r="28" spans="1:27" x14ac:dyDescent="0.25">
      <c r="A28" t="s">
        <v>83</v>
      </c>
      <c r="B28">
        <v>202503</v>
      </c>
      <c r="C28">
        <v>9005719467</v>
      </c>
      <c r="D28" t="s">
        <v>197</v>
      </c>
      <c r="E28" t="s">
        <v>186</v>
      </c>
      <c r="F28" t="s">
        <v>219</v>
      </c>
      <c r="G28" t="s">
        <v>219</v>
      </c>
      <c r="H28">
        <v>-18112</v>
      </c>
      <c r="I28">
        <v>-18112</v>
      </c>
      <c r="J28">
        <v>-18112</v>
      </c>
      <c r="K28">
        <v>-18112</v>
      </c>
      <c r="L28" t="s">
        <v>220</v>
      </c>
      <c r="M28">
        <v>2025</v>
      </c>
      <c r="N28">
        <v>3</v>
      </c>
      <c r="O28" s="130">
        <v>45717</v>
      </c>
      <c r="P28">
        <v>900571946778</v>
      </c>
      <c r="Q28" t="s">
        <v>221</v>
      </c>
      <c r="R28">
        <v>10</v>
      </c>
      <c r="S28" t="s">
        <v>222</v>
      </c>
      <c r="T28" s="130">
        <v>45743</v>
      </c>
      <c r="U28" s="130">
        <v>45731</v>
      </c>
      <c r="V28" t="s">
        <v>191</v>
      </c>
      <c r="W28" t="s">
        <v>192</v>
      </c>
      <c r="X28" t="s">
        <v>191</v>
      </c>
      <c r="Y28" t="s">
        <v>193</v>
      </c>
      <c r="Z28">
        <v>41010100</v>
      </c>
      <c r="AA28">
        <v>890</v>
      </c>
    </row>
    <row r="29" spans="1:27" x14ac:dyDescent="0.25">
      <c r="A29" t="s">
        <v>83</v>
      </c>
      <c r="B29">
        <v>202503</v>
      </c>
      <c r="C29">
        <v>9005719467</v>
      </c>
      <c r="D29" t="s">
        <v>197</v>
      </c>
      <c r="E29" t="s">
        <v>203</v>
      </c>
      <c r="F29" t="s">
        <v>219</v>
      </c>
      <c r="G29" t="s">
        <v>219</v>
      </c>
      <c r="H29">
        <v>15096</v>
      </c>
      <c r="I29">
        <v>15096</v>
      </c>
      <c r="J29">
        <v>15096</v>
      </c>
      <c r="K29">
        <v>15096</v>
      </c>
      <c r="L29" t="s">
        <v>220</v>
      </c>
      <c r="M29">
        <v>2025</v>
      </c>
      <c r="N29">
        <v>3</v>
      </c>
      <c r="O29" s="130">
        <v>45717</v>
      </c>
      <c r="P29">
        <v>900571946774</v>
      </c>
      <c r="Q29" t="s">
        <v>221</v>
      </c>
      <c r="R29">
        <v>10</v>
      </c>
      <c r="S29" t="s">
        <v>222</v>
      </c>
      <c r="T29" s="130">
        <v>45743</v>
      </c>
      <c r="U29" s="130">
        <v>45731</v>
      </c>
      <c r="V29" t="s">
        <v>191</v>
      </c>
      <c r="W29" t="s">
        <v>192</v>
      </c>
      <c r="X29" t="s">
        <v>191</v>
      </c>
      <c r="Y29" t="s">
        <v>193</v>
      </c>
      <c r="Z29">
        <v>41010100</v>
      </c>
      <c r="AA29">
        <v>890</v>
      </c>
    </row>
    <row r="30" spans="1:27" x14ac:dyDescent="0.25">
      <c r="A30" t="s">
        <v>83</v>
      </c>
      <c r="B30">
        <v>202503</v>
      </c>
      <c r="C30">
        <v>9005719467</v>
      </c>
      <c r="D30" t="s">
        <v>197</v>
      </c>
      <c r="E30" t="s">
        <v>203</v>
      </c>
      <c r="F30" t="s">
        <v>219</v>
      </c>
      <c r="G30" t="s">
        <v>219</v>
      </c>
      <c r="H30">
        <v>18112</v>
      </c>
      <c r="I30">
        <v>18112</v>
      </c>
      <c r="J30">
        <v>18112</v>
      </c>
      <c r="K30">
        <v>18112</v>
      </c>
      <c r="L30" t="s">
        <v>220</v>
      </c>
      <c r="M30">
        <v>2025</v>
      </c>
      <c r="N30">
        <v>3</v>
      </c>
      <c r="O30" s="130">
        <v>45717</v>
      </c>
      <c r="P30">
        <v>900571946775</v>
      </c>
      <c r="Q30" t="s">
        <v>221</v>
      </c>
      <c r="R30">
        <v>10</v>
      </c>
      <c r="S30" t="s">
        <v>222</v>
      </c>
      <c r="T30" s="130">
        <v>45743</v>
      </c>
      <c r="U30" s="130">
        <v>45731</v>
      </c>
      <c r="V30" t="s">
        <v>191</v>
      </c>
      <c r="W30" t="s">
        <v>192</v>
      </c>
      <c r="X30" t="s">
        <v>191</v>
      </c>
      <c r="Y30" t="s">
        <v>193</v>
      </c>
      <c r="Z30">
        <v>41010100</v>
      </c>
      <c r="AA30">
        <v>890</v>
      </c>
    </row>
    <row r="31" spans="1:27" x14ac:dyDescent="0.25">
      <c r="A31" t="s">
        <v>83</v>
      </c>
      <c r="B31">
        <v>202503</v>
      </c>
      <c r="C31">
        <v>2100077618</v>
      </c>
      <c r="D31" t="s">
        <v>197</v>
      </c>
      <c r="E31" t="s">
        <v>186</v>
      </c>
      <c r="F31" t="s">
        <v>198</v>
      </c>
      <c r="G31" t="s">
        <v>198</v>
      </c>
      <c r="H31">
        <v>-19385.28</v>
      </c>
      <c r="I31">
        <v>-19385.28</v>
      </c>
      <c r="J31">
        <v>-19385.28</v>
      </c>
      <c r="K31">
        <v>-19385.28</v>
      </c>
      <c r="L31" t="s">
        <v>208</v>
      </c>
      <c r="M31">
        <v>2025</v>
      </c>
      <c r="N31">
        <v>3</v>
      </c>
      <c r="O31" s="130">
        <v>45717</v>
      </c>
      <c r="P31">
        <v>2100077618174</v>
      </c>
      <c r="Q31" t="s">
        <v>200</v>
      </c>
      <c r="R31">
        <v>10</v>
      </c>
      <c r="S31" t="s">
        <v>201</v>
      </c>
      <c r="T31" s="130">
        <v>45712</v>
      </c>
      <c r="U31" s="130">
        <v>45719</v>
      </c>
      <c r="V31" t="s">
        <v>191</v>
      </c>
      <c r="W31" t="s">
        <v>192</v>
      </c>
      <c r="X31" t="s">
        <v>191</v>
      </c>
      <c r="Y31" t="s">
        <v>193</v>
      </c>
      <c r="Z31">
        <v>41010100</v>
      </c>
      <c r="AA31">
        <v>890</v>
      </c>
    </row>
    <row r="32" spans="1:27" x14ac:dyDescent="0.25">
      <c r="A32" t="s">
        <v>87</v>
      </c>
      <c r="B32">
        <v>202503</v>
      </c>
      <c r="C32">
        <v>2100077870</v>
      </c>
      <c r="D32" t="s">
        <v>197</v>
      </c>
      <c r="E32" t="s">
        <v>211</v>
      </c>
      <c r="F32" t="s">
        <v>216</v>
      </c>
      <c r="G32" t="s">
        <v>216</v>
      </c>
      <c r="H32">
        <v>150517.57999999999</v>
      </c>
      <c r="I32">
        <v>150517.57999999999</v>
      </c>
      <c r="J32">
        <v>150517.57999999999</v>
      </c>
      <c r="K32">
        <v>150517.57999999999</v>
      </c>
      <c r="L32" t="s">
        <v>199</v>
      </c>
      <c r="M32">
        <v>2025</v>
      </c>
      <c r="N32">
        <v>3</v>
      </c>
      <c r="O32" s="130">
        <v>45717</v>
      </c>
      <c r="P32">
        <v>210007787015</v>
      </c>
      <c r="Q32" t="s">
        <v>200</v>
      </c>
      <c r="R32">
        <v>10</v>
      </c>
      <c r="S32" t="s">
        <v>209</v>
      </c>
      <c r="T32" s="130">
        <v>45747</v>
      </c>
      <c r="U32" s="130">
        <v>45731</v>
      </c>
      <c r="V32" t="s">
        <v>191</v>
      </c>
      <c r="W32" t="s">
        <v>192</v>
      </c>
      <c r="X32" t="s">
        <v>191</v>
      </c>
      <c r="Y32" t="s">
        <v>193</v>
      </c>
      <c r="Z32">
        <v>41010100</v>
      </c>
      <c r="AA32">
        <v>890</v>
      </c>
    </row>
    <row r="33" spans="1:27" x14ac:dyDescent="0.25">
      <c r="A33" t="s">
        <v>87</v>
      </c>
      <c r="B33">
        <v>202503</v>
      </c>
      <c r="C33">
        <v>2100077928</v>
      </c>
      <c r="D33" t="s">
        <v>197</v>
      </c>
      <c r="E33" t="s">
        <v>211</v>
      </c>
      <c r="F33" t="s">
        <v>216</v>
      </c>
      <c r="G33" t="s">
        <v>216</v>
      </c>
      <c r="H33">
        <v>3382.42</v>
      </c>
      <c r="I33">
        <v>3382.42</v>
      </c>
      <c r="J33">
        <v>3382.42</v>
      </c>
      <c r="K33">
        <v>3382.42</v>
      </c>
      <c r="L33" t="s">
        <v>199</v>
      </c>
      <c r="M33">
        <v>2025</v>
      </c>
      <c r="N33">
        <v>3</v>
      </c>
      <c r="O33" s="130">
        <v>45717</v>
      </c>
      <c r="P33">
        <v>21000779289</v>
      </c>
      <c r="Q33" t="s">
        <v>200</v>
      </c>
      <c r="R33">
        <v>10</v>
      </c>
      <c r="S33" t="s">
        <v>210</v>
      </c>
      <c r="T33" s="130">
        <v>45748</v>
      </c>
      <c r="U33" s="130">
        <v>45731</v>
      </c>
      <c r="V33" t="s">
        <v>191</v>
      </c>
      <c r="W33" t="s">
        <v>192</v>
      </c>
      <c r="X33" t="s">
        <v>191</v>
      </c>
      <c r="Y33" t="s">
        <v>193</v>
      </c>
      <c r="Z33">
        <v>41010100</v>
      </c>
      <c r="AA33">
        <v>890</v>
      </c>
    </row>
    <row r="34" spans="1:27" x14ac:dyDescent="0.25">
      <c r="A34" t="s">
        <v>86</v>
      </c>
      <c r="B34">
        <v>202503</v>
      </c>
      <c r="C34">
        <v>2100077618</v>
      </c>
      <c r="D34" t="s">
        <v>197</v>
      </c>
      <c r="E34" t="s">
        <v>194</v>
      </c>
      <c r="F34" t="s">
        <v>202</v>
      </c>
      <c r="G34" t="s">
        <v>202</v>
      </c>
      <c r="H34">
        <v>-62210</v>
      </c>
      <c r="I34">
        <v>-62210</v>
      </c>
      <c r="J34">
        <v>-62210</v>
      </c>
      <c r="K34">
        <v>-62210</v>
      </c>
      <c r="L34" t="s">
        <v>208</v>
      </c>
      <c r="M34">
        <v>2025</v>
      </c>
      <c r="N34">
        <v>3</v>
      </c>
      <c r="O34" s="130">
        <v>45717</v>
      </c>
      <c r="P34">
        <v>2100077618177</v>
      </c>
      <c r="Q34" t="s">
        <v>200</v>
      </c>
      <c r="R34">
        <v>10</v>
      </c>
      <c r="S34" t="s">
        <v>201</v>
      </c>
      <c r="T34" s="130">
        <v>45712</v>
      </c>
      <c r="U34" s="130">
        <v>45719</v>
      </c>
      <c r="V34" t="s">
        <v>191</v>
      </c>
      <c r="W34" t="s">
        <v>192</v>
      </c>
      <c r="X34" t="s">
        <v>191</v>
      </c>
      <c r="Y34" t="s">
        <v>193</v>
      </c>
      <c r="Z34">
        <v>41010100</v>
      </c>
      <c r="AA34">
        <v>890</v>
      </c>
    </row>
    <row r="35" spans="1:27" x14ac:dyDescent="0.25">
      <c r="A35" t="s">
        <v>86</v>
      </c>
      <c r="B35">
        <v>202503</v>
      </c>
      <c r="C35">
        <v>2100077870</v>
      </c>
      <c r="D35" t="s">
        <v>197</v>
      </c>
      <c r="E35" t="s">
        <v>194</v>
      </c>
      <c r="F35" t="s">
        <v>202</v>
      </c>
      <c r="G35" t="s">
        <v>202</v>
      </c>
      <c r="H35">
        <v>121710</v>
      </c>
      <c r="I35">
        <v>121710</v>
      </c>
      <c r="J35">
        <v>121710</v>
      </c>
      <c r="K35">
        <v>121710</v>
      </c>
      <c r="L35" t="s">
        <v>199</v>
      </c>
      <c r="M35">
        <v>2025</v>
      </c>
      <c r="N35">
        <v>3</v>
      </c>
      <c r="O35" s="130">
        <v>45717</v>
      </c>
      <c r="P35">
        <v>210007787014</v>
      </c>
      <c r="Q35" t="s">
        <v>200</v>
      </c>
      <c r="R35">
        <v>10</v>
      </c>
      <c r="S35" t="s">
        <v>209</v>
      </c>
      <c r="T35" s="130">
        <v>45747</v>
      </c>
      <c r="U35" s="130">
        <v>45731</v>
      </c>
      <c r="V35" t="s">
        <v>191</v>
      </c>
      <c r="W35" t="s">
        <v>192</v>
      </c>
      <c r="X35" t="s">
        <v>191</v>
      </c>
      <c r="Y35" t="s">
        <v>193</v>
      </c>
      <c r="Z35">
        <v>41010100</v>
      </c>
      <c r="AA35">
        <v>890</v>
      </c>
    </row>
    <row r="36" spans="1:27" x14ac:dyDescent="0.25">
      <c r="A36" t="s">
        <v>86</v>
      </c>
      <c r="B36">
        <v>202503</v>
      </c>
      <c r="C36">
        <v>2100077928</v>
      </c>
      <c r="D36" t="s">
        <v>197</v>
      </c>
      <c r="E36" t="s">
        <v>194</v>
      </c>
      <c r="F36" t="s">
        <v>202</v>
      </c>
      <c r="G36" t="s">
        <v>202</v>
      </c>
      <c r="H36">
        <v>-16110</v>
      </c>
      <c r="I36">
        <v>-16110</v>
      </c>
      <c r="J36">
        <v>-16110</v>
      </c>
      <c r="K36">
        <v>-16110</v>
      </c>
      <c r="L36" t="s">
        <v>208</v>
      </c>
      <c r="M36">
        <v>2025</v>
      </c>
      <c r="N36">
        <v>3</v>
      </c>
      <c r="O36" s="130">
        <v>45717</v>
      </c>
      <c r="P36">
        <v>21000779288</v>
      </c>
      <c r="Q36" t="s">
        <v>200</v>
      </c>
      <c r="R36">
        <v>10</v>
      </c>
      <c r="S36" t="s">
        <v>210</v>
      </c>
      <c r="T36" s="130">
        <v>45748</v>
      </c>
      <c r="U36" s="130">
        <v>45731</v>
      </c>
      <c r="V36" t="s">
        <v>191</v>
      </c>
      <c r="W36" t="s">
        <v>192</v>
      </c>
      <c r="X36" t="s">
        <v>191</v>
      </c>
      <c r="Y36" t="s">
        <v>193</v>
      </c>
      <c r="Z36">
        <v>41010100</v>
      </c>
      <c r="AA36">
        <v>890</v>
      </c>
    </row>
    <row r="37" spans="1:27" hidden="1" x14ac:dyDescent="0.25">
      <c r="A37" t="s">
        <v>83</v>
      </c>
      <c r="B37">
        <v>202505</v>
      </c>
      <c r="C37">
        <v>9005790523</v>
      </c>
      <c r="D37" t="s">
        <v>197</v>
      </c>
      <c r="E37" t="s">
        <v>223</v>
      </c>
      <c r="F37" t="s">
        <v>224</v>
      </c>
      <c r="G37" t="s">
        <v>224</v>
      </c>
      <c r="H37">
        <v>-2286</v>
      </c>
      <c r="I37">
        <v>-2286</v>
      </c>
      <c r="J37">
        <v>-2286</v>
      </c>
      <c r="K37">
        <v>-2286</v>
      </c>
      <c r="L37" t="s">
        <v>220</v>
      </c>
      <c r="M37">
        <v>2025</v>
      </c>
      <c r="N37">
        <v>5</v>
      </c>
      <c r="O37" s="130">
        <v>45778</v>
      </c>
      <c r="P37">
        <v>9005790523692</v>
      </c>
      <c r="Q37" t="s">
        <v>221</v>
      </c>
      <c r="R37">
        <v>10</v>
      </c>
      <c r="S37" t="s">
        <v>225</v>
      </c>
      <c r="T37" s="130">
        <v>45799</v>
      </c>
      <c r="U37" s="130">
        <v>45792</v>
      </c>
      <c r="V37" t="s">
        <v>191</v>
      </c>
      <c r="W37" t="s">
        <v>192</v>
      </c>
      <c r="X37" t="s">
        <v>191</v>
      </c>
      <c r="Y37" t="s">
        <v>193</v>
      </c>
      <c r="Z37">
        <v>41010000</v>
      </c>
      <c r="AA37">
        <v>890</v>
      </c>
    </row>
    <row r="38" spans="1:27" hidden="1" x14ac:dyDescent="0.25">
      <c r="A38" t="s">
        <v>87</v>
      </c>
      <c r="B38">
        <v>202505</v>
      </c>
      <c r="C38">
        <v>5107437220</v>
      </c>
      <c r="D38" t="s">
        <v>185</v>
      </c>
      <c r="E38" t="s">
        <v>211</v>
      </c>
      <c r="F38" t="s">
        <v>212</v>
      </c>
      <c r="G38" t="s">
        <v>212</v>
      </c>
      <c r="H38">
        <v>38880</v>
      </c>
      <c r="I38">
        <v>38880</v>
      </c>
      <c r="J38">
        <v>38880</v>
      </c>
      <c r="K38">
        <v>38880</v>
      </c>
      <c r="L38" t="s">
        <v>188</v>
      </c>
      <c r="M38">
        <v>2025</v>
      </c>
      <c r="N38">
        <v>5</v>
      </c>
      <c r="O38" s="130">
        <v>45778</v>
      </c>
      <c r="P38">
        <v>51074372202</v>
      </c>
      <c r="Q38" t="s">
        <v>189</v>
      </c>
      <c r="R38">
        <v>10</v>
      </c>
      <c r="S38" t="s">
        <v>226</v>
      </c>
      <c r="T38" s="130">
        <v>45798</v>
      </c>
      <c r="U38" s="130">
        <v>45798</v>
      </c>
      <c r="V38" t="s">
        <v>191</v>
      </c>
      <c r="W38" t="s">
        <v>192</v>
      </c>
      <c r="X38" t="s">
        <v>191</v>
      </c>
      <c r="Y38" t="s">
        <v>193</v>
      </c>
      <c r="Z38">
        <v>41010100</v>
      </c>
      <c r="AA38">
        <v>890</v>
      </c>
    </row>
    <row r="39" spans="1:27" hidden="1" x14ac:dyDescent="0.25">
      <c r="A39" t="s">
        <v>86</v>
      </c>
      <c r="B39">
        <v>202505</v>
      </c>
      <c r="C39">
        <v>5107435533</v>
      </c>
      <c r="D39" t="s">
        <v>185</v>
      </c>
      <c r="E39" t="s">
        <v>194</v>
      </c>
      <c r="F39" t="s">
        <v>195</v>
      </c>
      <c r="G39" t="s">
        <v>195</v>
      </c>
      <c r="H39">
        <v>20960</v>
      </c>
      <c r="I39">
        <v>20960</v>
      </c>
      <c r="J39">
        <v>20960</v>
      </c>
      <c r="K39">
        <v>20960</v>
      </c>
      <c r="L39" t="s">
        <v>188</v>
      </c>
      <c r="M39">
        <v>2025</v>
      </c>
      <c r="N39">
        <v>5</v>
      </c>
      <c r="O39" s="130">
        <v>45778</v>
      </c>
      <c r="P39">
        <v>51074355332</v>
      </c>
      <c r="Q39" t="s">
        <v>189</v>
      </c>
      <c r="R39">
        <v>10</v>
      </c>
      <c r="S39" t="s">
        <v>227</v>
      </c>
      <c r="T39" s="130">
        <v>45797</v>
      </c>
      <c r="U39" s="130">
        <v>45797</v>
      </c>
      <c r="V39" t="s">
        <v>191</v>
      </c>
      <c r="W39" t="s">
        <v>192</v>
      </c>
      <c r="X39" t="s">
        <v>191</v>
      </c>
      <c r="Y39" t="s">
        <v>193</v>
      </c>
      <c r="Z39">
        <v>41010100</v>
      </c>
      <c r="AA39">
        <v>890</v>
      </c>
    </row>
    <row r="40" spans="1:27" hidden="1" x14ac:dyDescent="0.25">
      <c r="A40" t="s">
        <v>83</v>
      </c>
      <c r="B40">
        <v>202505</v>
      </c>
      <c r="C40">
        <v>5107435534</v>
      </c>
      <c r="D40" t="s">
        <v>185</v>
      </c>
      <c r="E40" t="s">
        <v>203</v>
      </c>
      <c r="F40" t="s">
        <v>187</v>
      </c>
      <c r="G40" t="s">
        <v>187</v>
      </c>
      <c r="H40">
        <v>15247.5</v>
      </c>
      <c r="I40">
        <v>15247.5</v>
      </c>
      <c r="J40">
        <v>15247.5</v>
      </c>
      <c r="K40">
        <v>15247.5</v>
      </c>
      <c r="L40" t="s">
        <v>188</v>
      </c>
      <c r="M40">
        <v>2025</v>
      </c>
      <c r="N40">
        <v>5</v>
      </c>
      <c r="O40" s="130">
        <v>45778</v>
      </c>
      <c r="P40">
        <v>51074355342</v>
      </c>
      <c r="Q40" t="s">
        <v>189</v>
      </c>
      <c r="R40">
        <v>10</v>
      </c>
      <c r="S40" t="s">
        <v>228</v>
      </c>
      <c r="T40" s="130">
        <v>45797</v>
      </c>
      <c r="U40" s="130">
        <v>45797</v>
      </c>
      <c r="V40" t="s">
        <v>191</v>
      </c>
      <c r="W40" t="s">
        <v>192</v>
      </c>
      <c r="X40" t="s">
        <v>191</v>
      </c>
      <c r="Y40" t="s">
        <v>193</v>
      </c>
      <c r="Z40">
        <v>41010100</v>
      </c>
      <c r="AA40">
        <v>890</v>
      </c>
    </row>
    <row r="41" spans="1:27" hidden="1" x14ac:dyDescent="0.25">
      <c r="A41" t="s">
        <v>87</v>
      </c>
      <c r="B41">
        <v>202505</v>
      </c>
      <c r="C41">
        <v>2100078712</v>
      </c>
      <c r="D41" t="s">
        <v>197</v>
      </c>
      <c r="E41" t="s">
        <v>211</v>
      </c>
      <c r="F41" t="s">
        <v>216</v>
      </c>
      <c r="G41" t="s">
        <v>216</v>
      </c>
      <c r="H41">
        <v>-114767.43</v>
      </c>
      <c r="I41">
        <v>-114767.43</v>
      </c>
      <c r="J41">
        <v>-114767.43</v>
      </c>
      <c r="K41">
        <v>-114767.43</v>
      </c>
      <c r="L41" t="s">
        <v>208</v>
      </c>
      <c r="M41">
        <v>2025</v>
      </c>
      <c r="N41">
        <v>5</v>
      </c>
      <c r="O41" s="130">
        <v>45778</v>
      </c>
      <c r="P41">
        <v>210007871216</v>
      </c>
      <c r="Q41" t="s">
        <v>200</v>
      </c>
      <c r="R41">
        <v>10</v>
      </c>
      <c r="S41" t="s">
        <v>209</v>
      </c>
      <c r="T41" s="130">
        <v>45775</v>
      </c>
      <c r="U41" s="130">
        <v>45782</v>
      </c>
      <c r="V41" t="s">
        <v>191</v>
      </c>
      <c r="W41" t="s">
        <v>192</v>
      </c>
      <c r="X41" t="s">
        <v>191</v>
      </c>
      <c r="Y41" t="s">
        <v>193</v>
      </c>
      <c r="Z41">
        <v>41010100</v>
      </c>
      <c r="AA41">
        <v>890</v>
      </c>
    </row>
    <row r="42" spans="1:27" hidden="1" x14ac:dyDescent="0.25">
      <c r="A42" t="s">
        <v>87</v>
      </c>
      <c r="B42">
        <v>202505</v>
      </c>
      <c r="C42">
        <v>2100078772</v>
      </c>
      <c r="D42" t="s">
        <v>197</v>
      </c>
      <c r="E42" t="s">
        <v>211</v>
      </c>
      <c r="F42" t="s">
        <v>216</v>
      </c>
      <c r="G42" t="s">
        <v>216</v>
      </c>
      <c r="H42">
        <v>67567.429999999993</v>
      </c>
      <c r="I42">
        <v>67567.429999999993</v>
      </c>
      <c r="J42">
        <v>67567.429999999993</v>
      </c>
      <c r="K42">
        <v>67567.429999999993</v>
      </c>
      <c r="L42" t="s">
        <v>199</v>
      </c>
      <c r="M42">
        <v>2025</v>
      </c>
      <c r="N42">
        <v>5</v>
      </c>
      <c r="O42" s="130">
        <v>45778</v>
      </c>
      <c r="P42">
        <v>210007877212</v>
      </c>
      <c r="Q42" t="s">
        <v>200</v>
      </c>
      <c r="R42">
        <v>10</v>
      </c>
      <c r="S42" t="s">
        <v>210</v>
      </c>
      <c r="T42" s="130">
        <v>45776</v>
      </c>
      <c r="U42" s="130">
        <v>45782</v>
      </c>
      <c r="V42" t="s">
        <v>191</v>
      </c>
      <c r="W42" t="s">
        <v>192</v>
      </c>
      <c r="X42" t="s">
        <v>191</v>
      </c>
      <c r="Y42" t="s">
        <v>193</v>
      </c>
      <c r="Z42">
        <v>41010100</v>
      </c>
      <c r="AA42">
        <v>890</v>
      </c>
    </row>
    <row r="43" spans="1:27" hidden="1" x14ac:dyDescent="0.25">
      <c r="A43" t="s">
        <v>87</v>
      </c>
      <c r="B43">
        <v>202505</v>
      </c>
      <c r="C43">
        <v>2100078931</v>
      </c>
      <c r="D43" t="s">
        <v>197</v>
      </c>
      <c r="E43" t="s">
        <v>211</v>
      </c>
      <c r="F43" t="s">
        <v>216</v>
      </c>
      <c r="G43" t="s">
        <v>216</v>
      </c>
      <c r="H43">
        <v>123241.27</v>
      </c>
      <c r="I43">
        <v>123241.27</v>
      </c>
      <c r="J43">
        <v>123241.27</v>
      </c>
      <c r="K43">
        <v>123241.27</v>
      </c>
      <c r="L43" t="s">
        <v>199</v>
      </c>
      <c r="M43">
        <v>2025</v>
      </c>
      <c r="N43">
        <v>5</v>
      </c>
      <c r="O43" s="130">
        <v>45778</v>
      </c>
      <c r="P43">
        <v>210007893114</v>
      </c>
      <c r="Q43" t="s">
        <v>200</v>
      </c>
      <c r="R43">
        <v>10</v>
      </c>
      <c r="S43" t="s">
        <v>209</v>
      </c>
      <c r="T43" s="130">
        <v>45804</v>
      </c>
      <c r="U43" s="130">
        <v>45792</v>
      </c>
      <c r="V43" t="s">
        <v>191</v>
      </c>
      <c r="W43" t="s">
        <v>192</v>
      </c>
      <c r="X43" t="s">
        <v>191</v>
      </c>
      <c r="Y43" t="s">
        <v>193</v>
      </c>
      <c r="Z43">
        <v>41010100</v>
      </c>
      <c r="AA43">
        <v>890</v>
      </c>
    </row>
    <row r="44" spans="1:27" hidden="1" x14ac:dyDescent="0.25">
      <c r="A44" t="s">
        <v>87</v>
      </c>
      <c r="B44">
        <v>202505</v>
      </c>
      <c r="C44">
        <v>2100079005</v>
      </c>
      <c r="D44" t="s">
        <v>197</v>
      </c>
      <c r="E44" t="s">
        <v>211</v>
      </c>
      <c r="F44" t="s">
        <v>216</v>
      </c>
      <c r="G44" t="s">
        <v>216</v>
      </c>
      <c r="H44">
        <v>-70841.27</v>
      </c>
      <c r="I44">
        <v>-70841.27</v>
      </c>
      <c r="J44">
        <v>-70841.27</v>
      </c>
      <c r="K44">
        <v>-70841.27</v>
      </c>
      <c r="L44" t="s">
        <v>208</v>
      </c>
      <c r="M44">
        <v>2025</v>
      </c>
      <c r="N44">
        <v>5</v>
      </c>
      <c r="O44" s="130">
        <v>45778</v>
      </c>
      <c r="P44">
        <v>210007900511</v>
      </c>
      <c r="Q44" t="s">
        <v>200</v>
      </c>
      <c r="R44">
        <v>10</v>
      </c>
      <c r="S44" t="s">
        <v>210</v>
      </c>
      <c r="T44" s="130">
        <v>45805</v>
      </c>
      <c r="U44" s="130">
        <v>45792</v>
      </c>
      <c r="V44" t="s">
        <v>191</v>
      </c>
      <c r="W44" t="s">
        <v>192</v>
      </c>
      <c r="X44" t="s">
        <v>191</v>
      </c>
      <c r="Y44" t="s">
        <v>193</v>
      </c>
      <c r="Z44">
        <v>41010100</v>
      </c>
      <c r="AA44">
        <v>890</v>
      </c>
    </row>
    <row r="45" spans="1:27" hidden="1" x14ac:dyDescent="0.25">
      <c r="A45" t="s">
        <v>86</v>
      </c>
      <c r="B45">
        <v>202505</v>
      </c>
      <c r="C45">
        <v>2100078712</v>
      </c>
      <c r="D45" t="s">
        <v>197</v>
      </c>
      <c r="E45" t="s">
        <v>194</v>
      </c>
      <c r="F45" t="s">
        <v>202</v>
      </c>
      <c r="G45" t="s">
        <v>202</v>
      </c>
      <c r="H45">
        <v>-112062</v>
      </c>
      <c r="I45">
        <v>-112062</v>
      </c>
      <c r="J45">
        <v>-112062</v>
      </c>
      <c r="K45">
        <v>-112062</v>
      </c>
      <c r="L45" t="s">
        <v>208</v>
      </c>
      <c r="M45">
        <v>2025</v>
      </c>
      <c r="N45">
        <v>5</v>
      </c>
      <c r="O45" s="130">
        <v>45778</v>
      </c>
      <c r="P45">
        <v>210007871215</v>
      </c>
      <c r="Q45" t="s">
        <v>200</v>
      </c>
      <c r="R45">
        <v>10</v>
      </c>
      <c r="S45" t="s">
        <v>209</v>
      </c>
      <c r="T45" s="130">
        <v>45775</v>
      </c>
      <c r="U45" s="130">
        <v>45782</v>
      </c>
      <c r="V45" t="s">
        <v>191</v>
      </c>
      <c r="W45" t="s">
        <v>192</v>
      </c>
      <c r="X45" t="s">
        <v>191</v>
      </c>
      <c r="Y45" t="s">
        <v>193</v>
      </c>
      <c r="Z45">
        <v>41010100</v>
      </c>
      <c r="AA45">
        <v>890</v>
      </c>
    </row>
    <row r="46" spans="1:27" hidden="1" x14ac:dyDescent="0.25">
      <c r="A46" t="s">
        <v>86</v>
      </c>
      <c r="B46">
        <v>202505</v>
      </c>
      <c r="C46">
        <v>2100078772</v>
      </c>
      <c r="D46" t="s">
        <v>197</v>
      </c>
      <c r="E46" t="s">
        <v>194</v>
      </c>
      <c r="F46" t="s">
        <v>202</v>
      </c>
      <c r="G46" t="s">
        <v>202</v>
      </c>
      <c r="H46">
        <v>18462</v>
      </c>
      <c r="I46">
        <v>18462</v>
      </c>
      <c r="J46">
        <v>18462</v>
      </c>
      <c r="K46">
        <v>18462</v>
      </c>
      <c r="L46" t="s">
        <v>199</v>
      </c>
      <c r="M46">
        <v>2025</v>
      </c>
      <c r="N46">
        <v>5</v>
      </c>
      <c r="O46" s="130">
        <v>45778</v>
      </c>
      <c r="P46">
        <v>210007877211</v>
      </c>
      <c r="Q46" t="s">
        <v>200</v>
      </c>
      <c r="R46">
        <v>10</v>
      </c>
      <c r="S46" t="s">
        <v>210</v>
      </c>
      <c r="T46" s="130">
        <v>45776</v>
      </c>
      <c r="U46" s="130">
        <v>45782</v>
      </c>
      <c r="V46" t="s">
        <v>191</v>
      </c>
      <c r="W46" t="s">
        <v>192</v>
      </c>
      <c r="X46" t="s">
        <v>191</v>
      </c>
      <c r="Y46" t="s">
        <v>193</v>
      </c>
      <c r="Z46">
        <v>41010100</v>
      </c>
      <c r="AA46">
        <v>890</v>
      </c>
    </row>
    <row r="47" spans="1:27" hidden="1" x14ac:dyDescent="0.25">
      <c r="A47" t="s">
        <v>86</v>
      </c>
      <c r="B47">
        <v>202505</v>
      </c>
      <c r="C47">
        <v>2100078931</v>
      </c>
      <c r="D47" t="s">
        <v>197</v>
      </c>
      <c r="E47" t="s">
        <v>194</v>
      </c>
      <c r="F47" t="s">
        <v>202</v>
      </c>
      <c r="G47" t="s">
        <v>202</v>
      </c>
      <c r="H47">
        <v>140102</v>
      </c>
      <c r="I47">
        <v>140102</v>
      </c>
      <c r="J47">
        <v>140102</v>
      </c>
      <c r="K47">
        <v>140102</v>
      </c>
      <c r="L47" t="s">
        <v>199</v>
      </c>
      <c r="M47">
        <v>2025</v>
      </c>
      <c r="N47">
        <v>5</v>
      </c>
      <c r="O47" s="130">
        <v>45778</v>
      </c>
      <c r="P47">
        <v>210007893113</v>
      </c>
      <c r="Q47" t="s">
        <v>200</v>
      </c>
      <c r="R47">
        <v>10</v>
      </c>
      <c r="S47" t="s">
        <v>209</v>
      </c>
      <c r="T47" s="130">
        <v>45804</v>
      </c>
      <c r="U47" s="130">
        <v>45792</v>
      </c>
      <c r="V47" t="s">
        <v>191</v>
      </c>
      <c r="W47" t="s">
        <v>192</v>
      </c>
      <c r="X47" t="s">
        <v>191</v>
      </c>
      <c r="Y47" t="s">
        <v>193</v>
      </c>
      <c r="Z47">
        <v>41010100</v>
      </c>
      <c r="AA47">
        <v>890</v>
      </c>
    </row>
    <row r="48" spans="1:27" hidden="1" x14ac:dyDescent="0.25">
      <c r="A48" t="s">
        <v>86</v>
      </c>
      <c r="B48">
        <v>202505</v>
      </c>
      <c r="C48">
        <v>2100079005</v>
      </c>
      <c r="D48" t="s">
        <v>197</v>
      </c>
      <c r="E48" t="s">
        <v>194</v>
      </c>
      <c r="F48" t="s">
        <v>202</v>
      </c>
      <c r="G48" t="s">
        <v>202</v>
      </c>
      <c r="H48">
        <v>-18502</v>
      </c>
      <c r="I48">
        <v>-18502</v>
      </c>
      <c r="J48">
        <v>-18502</v>
      </c>
      <c r="K48">
        <v>-18502</v>
      </c>
      <c r="L48" t="s">
        <v>208</v>
      </c>
      <c r="M48">
        <v>2025</v>
      </c>
      <c r="N48">
        <v>5</v>
      </c>
      <c r="O48" s="130">
        <v>45778</v>
      </c>
      <c r="P48">
        <v>210007900510</v>
      </c>
      <c r="Q48" t="s">
        <v>200</v>
      </c>
      <c r="R48">
        <v>10</v>
      </c>
      <c r="S48" t="s">
        <v>210</v>
      </c>
      <c r="T48" s="130">
        <v>45805</v>
      </c>
      <c r="U48" s="130">
        <v>45792</v>
      </c>
      <c r="V48" t="s">
        <v>191</v>
      </c>
      <c r="W48" t="s">
        <v>192</v>
      </c>
      <c r="X48" t="s">
        <v>191</v>
      </c>
      <c r="Y48" t="s">
        <v>193</v>
      </c>
      <c r="Z48">
        <v>41010100</v>
      </c>
      <c r="AA48">
        <v>890</v>
      </c>
    </row>
    <row r="49" spans="1:27" hidden="1" x14ac:dyDescent="0.25">
      <c r="A49" t="s">
        <v>83</v>
      </c>
      <c r="B49">
        <v>202505</v>
      </c>
      <c r="C49">
        <v>2100078708</v>
      </c>
      <c r="D49" t="s">
        <v>197</v>
      </c>
      <c r="E49" t="s">
        <v>203</v>
      </c>
      <c r="F49" t="s">
        <v>198</v>
      </c>
      <c r="G49" t="s">
        <v>198</v>
      </c>
      <c r="H49">
        <v>-19294.5</v>
      </c>
      <c r="I49">
        <v>-19294.5</v>
      </c>
      <c r="J49">
        <v>-19294.5</v>
      </c>
      <c r="K49">
        <v>-19294.5</v>
      </c>
      <c r="L49" t="s">
        <v>208</v>
      </c>
      <c r="M49">
        <v>2025</v>
      </c>
      <c r="N49">
        <v>5</v>
      </c>
      <c r="O49" s="130">
        <v>45778</v>
      </c>
      <c r="P49">
        <v>2100078708140</v>
      </c>
      <c r="Q49" t="s">
        <v>200</v>
      </c>
      <c r="R49">
        <v>10</v>
      </c>
      <c r="S49" t="s">
        <v>217</v>
      </c>
      <c r="T49" s="130">
        <v>45775</v>
      </c>
      <c r="U49" s="130">
        <v>45782</v>
      </c>
      <c r="V49" t="s">
        <v>191</v>
      </c>
      <c r="W49" t="s">
        <v>192</v>
      </c>
      <c r="X49" t="s">
        <v>191</v>
      </c>
      <c r="Y49" t="s">
        <v>193</v>
      </c>
      <c r="Z49">
        <v>41010100</v>
      </c>
      <c r="AA49">
        <v>890</v>
      </c>
    </row>
    <row r="50" spans="1:27" hidden="1" x14ac:dyDescent="0.25">
      <c r="A50" t="s">
        <v>83</v>
      </c>
      <c r="B50">
        <v>202505</v>
      </c>
      <c r="C50">
        <v>2100078972</v>
      </c>
      <c r="D50" t="s">
        <v>197</v>
      </c>
      <c r="E50" t="s">
        <v>203</v>
      </c>
      <c r="F50" t="s">
        <v>198</v>
      </c>
      <c r="G50" t="s">
        <v>198</v>
      </c>
      <c r="H50">
        <v>20952.78</v>
      </c>
      <c r="I50">
        <v>20952.78</v>
      </c>
      <c r="J50">
        <v>20952.78</v>
      </c>
      <c r="K50">
        <v>20952.78</v>
      </c>
      <c r="L50" t="s">
        <v>199</v>
      </c>
      <c r="M50">
        <v>2025</v>
      </c>
      <c r="N50">
        <v>5</v>
      </c>
      <c r="O50" s="130">
        <v>45778</v>
      </c>
      <c r="P50">
        <v>2100078972119</v>
      </c>
      <c r="Q50" t="s">
        <v>200</v>
      </c>
      <c r="R50">
        <v>10</v>
      </c>
      <c r="S50" t="s">
        <v>229</v>
      </c>
      <c r="T50" s="130">
        <v>45804</v>
      </c>
      <c r="U50" s="130">
        <v>45792</v>
      </c>
      <c r="V50" t="s">
        <v>191</v>
      </c>
      <c r="W50" t="s">
        <v>192</v>
      </c>
      <c r="X50" t="s">
        <v>191</v>
      </c>
      <c r="Y50" t="s">
        <v>193</v>
      </c>
      <c r="Z50">
        <v>41010100</v>
      </c>
      <c r="AA50">
        <v>890</v>
      </c>
    </row>
    <row r="51" spans="1:27" hidden="1" x14ac:dyDescent="0.25">
      <c r="A51" t="s">
        <v>83</v>
      </c>
      <c r="B51">
        <v>202505</v>
      </c>
      <c r="C51">
        <v>9005790523</v>
      </c>
      <c r="D51" t="s">
        <v>197</v>
      </c>
      <c r="E51" t="s">
        <v>186</v>
      </c>
      <c r="F51" t="s">
        <v>224</v>
      </c>
      <c r="G51" t="s">
        <v>224</v>
      </c>
      <c r="H51">
        <v>2286</v>
      </c>
      <c r="I51">
        <v>2286</v>
      </c>
      <c r="J51">
        <v>2286</v>
      </c>
      <c r="K51">
        <v>2286</v>
      </c>
      <c r="L51" t="s">
        <v>220</v>
      </c>
      <c r="M51">
        <v>2025</v>
      </c>
      <c r="N51">
        <v>5</v>
      </c>
      <c r="O51" s="130">
        <v>45778</v>
      </c>
      <c r="P51">
        <v>9005790523688</v>
      </c>
      <c r="Q51" t="s">
        <v>221</v>
      </c>
      <c r="R51">
        <v>10</v>
      </c>
      <c r="S51" t="s">
        <v>225</v>
      </c>
      <c r="T51" s="130">
        <v>45799</v>
      </c>
      <c r="U51" s="130">
        <v>45792</v>
      </c>
      <c r="V51" t="s">
        <v>191</v>
      </c>
      <c r="W51" t="s">
        <v>192</v>
      </c>
      <c r="X51" t="s">
        <v>191</v>
      </c>
      <c r="Y51" t="s">
        <v>207</v>
      </c>
      <c r="Z51">
        <v>41500000</v>
      </c>
      <c r="AA51">
        <v>890</v>
      </c>
    </row>
    <row r="52" spans="1:27" hidden="1" x14ac:dyDescent="0.25">
      <c r="A52" t="s">
        <v>84</v>
      </c>
      <c r="B52">
        <v>202506</v>
      </c>
      <c r="C52">
        <v>9005847755</v>
      </c>
      <c r="D52" t="s">
        <v>197</v>
      </c>
      <c r="E52" t="s">
        <v>205</v>
      </c>
      <c r="F52" t="s">
        <v>230</v>
      </c>
      <c r="G52" t="s">
        <v>230</v>
      </c>
      <c r="H52">
        <v>99000</v>
      </c>
      <c r="I52">
        <v>99000</v>
      </c>
      <c r="J52">
        <v>99000</v>
      </c>
      <c r="K52">
        <v>99000</v>
      </c>
      <c r="L52" t="s">
        <v>220</v>
      </c>
      <c r="M52">
        <v>2025</v>
      </c>
      <c r="N52">
        <v>6</v>
      </c>
      <c r="O52" s="130">
        <v>45809</v>
      </c>
      <c r="P52">
        <v>9005847755285</v>
      </c>
      <c r="Q52" t="s">
        <v>221</v>
      </c>
      <c r="R52">
        <v>10</v>
      </c>
      <c r="S52" t="s">
        <v>231</v>
      </c>
      <c r="T52" s="130">
        <v>45839</v>
      </c>
      <c r="U52" s="130">
        <v>45823</v>
      </c>
      <c r="V52" t="s">
        <v>191</v>
      </c>
      <c r="W52" t="s">
        <v>192</v>
      </c>
      <c r="X52" t="s">
        <v>191</v>
      </c>
      <c r="Y52" t="s">
        <v>207</v>
      </c>
      <c r="Z52">
        <v>41500000</v>
      </c>
      <c r="AA52">
        <v>890</v>
      </c>
    </row>
    <row r="53" spans="1:27" hidden="1" x14ac:dyDescent="0.25">
      <c r="A53" t="s">
        <v>84</v>
      </c>
      <c r="B53">
        <v>202506</v>
      </c>
      <c r="C53">
        <v>9005847755</v>
      </c>
      <c r="D53" t="s">
        <v>197</v>
      </c>
      <c r="E53" t="s">
        <v>205</v>
      </c>
      <c r="F53" t="s">
        <v>230</v>
      </c>
      <c r="G53" t="s">
        <v>230</v>
      </c>
      <c r="H53">
        <v>-99000</v>
      </c>
      <c r="I53">
        <v>-99000</v>
      </c>
      <c r="J53">
        <v>-99000</v>
      </c>
      <c r="K53">
        <v>-99000</v>
      </c>
      <c r="L53" t="s">
        <v>220</v>
      </c>
      <c r="M53">
        <v>2025</v>
      </c>
      <c r="N53">
        <v>6</v>
      </c>
      <c r="O53" s="130">
        <v>45809</v>
      </c>
      <c r="P53">
        <v>9005847755286</v>
      </c>
      <c r="Q53" t="s">
        <v>221</v>
      </c>
      <c r="R53">
        <v>10</v>
      </c>
      <c r="S53" t="s">
        <v>231</v>
      </c>
      <c r="T53" s="130">
        <v>45839</v>
      </c>
      <c r="U53" s="130">
        <v>45823</v>
      </c>
      <c r="V53" t="s">
        <v>191</v>
      </c>
      <c r="W53" t="s">
        <v>192</v>
      </c>
      <c r="X53" t="s">
        <v>191</v>
      </c>
      <c r="Y53" t="s">
        <v>207</v>
      </c>
      <c r="Z53">
        <v>41500000</v>
      </c>
      <c r="AA53">
        <v>890</v>
      </c>
    </row>
    <row r="54" spans="1:27" hidden="1" x14ac:dyDescent="0.25">
      <c r="A54" t="s">
        <v>84</v>
      </c>
      <c r="B54">
        <v>202506</v>
      </c>
      <c r="C54">
        <v>2100079139</v>
      </c>
      <c r="D54" t="s">
        <v>197</v>
      </c>
      <c r="E54" t="s">
        <v>205</v>
      </c>
      <c r="F54" t="s">
        <v>206</v>
      </c>
      <c r="G54" t="s">
        <v>206</v>
      </c>
      <c r="H54">
        <v>-26000</v>
      </c>
      <c r="I54">
        <v>-26000</v>
      </c>
      <c r="J54">
        <v>-26000</v>
      </c>
      <c r="K54">
        <v>-26000</v>
      </c>
      <c r="L54" t="s">
        <v>208</v>
      </c>
      <c r="M54">
        <v>2025</v>
      </c>
      <c r="N54">
        <v>6</v>
      </c>
      <c r="O54" s="130">
        <v>45809</v>
      </c>
      <c r="P54">
        <v>2100079139812</v>
      </c>
      <c r="Q54" t="s">
        <v>200</v>
      </c>
      <c r="R54">
        <v>10</v>
      </c>
      <c r="S54" t="s">
        <v>229</v>
      </c>
      <c r="T54" s="130">
        <v>45804</v>
      </c>
      <c r="U54" s="130">
        <v>45810</v>
      </c>
      <c r="V54" t="s">
        <v>191</v>
      </c>
      <c r="W54" t="s">
        <v>192</v>
      </c>
      <c r="X54" t="s">
        <v>191</v>
      </c>
      <c r="Y54" t="s">
        <v>207</v>
      </c>
      <c r="Z54">
        <v>41500000</v>
      </c>
      <c r="AA54">
        <v>890</v>
      </c>
    </row>
    <row r="55" spans="1:27" hidden="1" x14ac:dyDescent="0.25">
      <c r="A55" t="s">
        <v>87</v>
      </c>
      <c r="B55">
        <v>202506</v>
      </c>
      <c r="C55">
        <v>5107471030</v>
      </c>
      <c r="D55" t="s">
        <v>185</v>
      </c>
      <c r="E55" t="s">
        <v>211</v>
      </c>
      <c r="F55" t="s">
        <v>212</v>
      </c>
      <c r="G55" t="s">
        <v>212</v>
      </c>
      <c r="H55">
        <v>5200</v>
      </c>
      <c r="I55">
        <v>5200</v>
      </c>
      <c r="J55">
        <v>5200</v>
      </c>
      <c r="K55">
        <v>5200</v>
      </c>
      <c r="L55" t="s">
        <v>188</v>
      </c>
      <c r="M55">
        <v>2025</v>
      </c>
      <c r="N55">
        <v>6</v>
      </c>
      <c r="O55" s="130">
        <v>45809</v>
      </c>
      <c r="P55">
        <v>51074710302</v>
      </c>
      <c r="Q55" t="s">
        <v>189</v>
      </c>
      <c r="R55">
        <v>10</v>
      </c>
      <c r="S55" t="s">
        <v>232</v>
      </c>
      <c r="T55" s="130">
        <v>45821</v>
      </c>
      <c r="U55" s="130">
        <v>45821</v>
      </c>
      <c r="V55" t="s">
        <v>191</v>
      </c>
      <c r="W55" t="s">
        <v>192</v>
      </c>
      <c r="X55" t="s">
        <v>191</v>
      </c>
      <c r="Y55" t="s">
        <v>193</v>
      </c>
      <c r="Z55">
        <v>41010100</v>
      </c>
      <c r="AA55">
        <v>890</v>
      </c>
    </row>
    <row r="56" spans="1:27" hidden="1" x14ac:dyDescent="0.25">
      <c r="A56" t="s">
        <v>87</v>
      </c>
      <c r="B56">
        <v>202506</v>
      </c>
      <c r="C56">
        <v>5107471127</v>
      </c>
      <c r="D56" t="s">
        <v>185</v>
      </c>
      <c r="E56" t="s">
        <v>211</v>
      </c>
      <c r="F56" t="s">
        <v>212</v>
      </c>
      <c r="G56" t="s">
        <v>212</v>
      </c>
      <c r="H56">
        <v>45120</v>
      </c>
      <c r="I56">
        <v>45120</v>
      </c>
      <c r="J56">
        <v>45120</v>
      </c>
      <c r="K56">
        <v>45120</v>
      </c>
      <c r="L56" t="s">
        <v>188</v>
      </c>
      <c r="M56">
        <v>2025</v>
      </c>
      <c r="N56">
        <v>6</v>
      </c>
      <c r="O56" s="130">
        <v>45809</v>
      </c>
      <c r="P56">
        <v>51074711272</v>
      </c>
      <c r="Q56" t="s">
        <v>189</v>
      </c>
      <c r="R56">
        <v>10</v>
      </c>
      <c r="S56" t="s">
        <v>233</v>
      </c>
      <c r="T56" s="130">
        <v>45821</v>
      </c>
      <c r="U56" s="130">
        <v>45821</v>
      </c>
      <c r="V56" t="s">
        <v>191</v>
      </c>
      <c r="W56" t="s">
        <v>192</v>
      </c>
      <c r="X56" t="s">
        <v>191</v>
      </c>
      <c r="Y56" t="s">
        <v>193</v>
      </c>
      <c r="Z56">
        <v>41010100</v>
      </c>
      <c r="AA56">
        <v>890</v>
      </c>
    </row>
    <row r="57" spans="1:27" hidden="1" x14ac:dyDescent="0.25">
      <c r="A57" t="s">
        <v>86</v>
      </c>
      <c r="B57">
        <v>202506</v>
      </c>
      <c r="C57">
        <v>5107443439</v>
      </c>
      <c r="D57" t="s">
        <v>185</v>
      </c>
      <c r="E57" t="s">
        <v>194</v>
      </c>
      <c r="F57" t="s">
        <v>195</v>
      </c>
      <c r="G57" t="s">
        <v>195</v>
      </c>
      <c r="H57">
        <v>27720</v>
      </c>
      <c r="I57">
        <v>27720</v>
      </c>
      <c r="J57">
        <v>27720</v>
      </c>
      <c r="K57">
        <v>27720</v>
      </c>
      <c r="L57" t="s">
        <v>188</v>
      </c>
      <c r="M57">
        <v>2025</v>
      </c>
      <c r="N57">
        <v>6</v>
      </c>
      <c r="O57" s="130">
        <v>45809</v>
      </c>
      <c r="P57">
        <v>51074434392</v>
      </c>
      <c r="Q57" t="s">
        <v>189</v>
      </c>
      <c r="R57">
        <v>10</v>
      </c>
      <c r="S57" t="s">
        <v>234</v>
      </c>
      <c r="T57" s="130">
        <v>45805</v>
      </c>
      <c r="U57" s="130">
        <v>45805</v>
      </c>
      <c r="V57" t="s">
        <v>191</v>
      </c>
      <c r="W57" t="s">
        <v>192</v>
      </c>
      <c r="X57" t="s">
        <v>191</v>
      </c>
      <c r="Y57" t="s">
        <v>193</v>
      </c>
      <c r="Z57">
        <v>41010100</v>
      </c>
      <c r="AA57">
        <v>890</v>
      </c>
    </row>
    <row r="58" spans="1:27" hidden="1" x14ac:dyDescent="0.25">
      <c r="A58" t="s">
        <v>86</v>
      </c>
      <c r="B58">
        <v>202506</v>
      </c>
      <c r="C58">
        <v>5107470913</v>
      </c>
      <c r="D58" t="s">
        <v>185</v>
      </c>
      <c r="E58" t="s">
        <v>194</v>
      </c>
      <c r="F58" t="s">
        <v>195</v>
      </c>
      <c r="G58" t="s">
        <v>195</v>
      </c>
      <c r="H58">
        <v>27040</v>
      </c>
      <c r="I58">
        <v>27040</v>
      </c>
      <c r="J58">
        <v>27040</v>
      </c>
      <c r="K58">
        <v>27040</v>
      </c>
      <c r="L58" t="s">
        <v>188</v>
      </c>
      <c r="M58">
        <v>2025</v>
      </c>
      <c r="N58">
        <v>6</v>
      </c>
      <c r="O58" s="130">
        <v>45809</v>
      </c>
      <c r="P58">
        <v>51074709132</v>
      </c>
      <c r="Q58" t="s">
        <v>189</v>
      </c>
      <c r="R58">
        <v>10</v>
      </c>
      <c r="S58" t="s">
        <v>235</v>
      </c>
      <c r="T58" s="130">
        <v>45821</v>
      </c>
      <c r="U58" s="130">
        <v>45821</v>
      </c>
      <c r="V58" t="s">
        <v>191</v>
      </c>
      <c r="W58" t="s">
        <v>192</v>
      </c>
      <c r="X58" t="s">
        <v>191</v>
      </c>
      <c r="Y58" t="s">
        <v>193</v>
      </c>
      <c r="Z58">
        <v>41010100</v>
      </c>
      <c r="AA58">
        <v>890</v>
      </c>
    </row>
    <row r="59" spans="1:27" hidden="1" x14ac:dyDescent="0.25">
      <c r="A59" t="s">
        <v>86</v>
      </c>
      <c r="B59">
        <v>202506</v>
      </c>
      <c r="C59">
        <v>5107471190</v>
      </c>
      <c r="D59" t="s">
        <v>185</v>
      </c>
      <c r="E59" t="s">
        <v>194</v>
      </c>
      <c r="F59" t="s">
        <v>195</v>
      </c>
      <c r="G59" t="s">
        <v>195</v>
      </c>
      <c r="H59">
        <v>48000</v>
      </c>
      <c r="I59">
        <v>48000</v>
      </c>
      <c r="J59">
        <v>48000</v>
      </c>
      <c r="K59">
        <v>48000</v>
      </c>
      <c r="L59" t="s">
        <v>188</v>
      </c>
      <c r="M59">
        <v>2025</v>
      </c>
      <c r="N59">
        <v>6</v>
      </c>
      <c r="O59" s="130">
        <v>45809</v>
      </c>
      <c r="P59">
        <v>51074711902</v>
      </c>
      <c r="Q59" t="s">
        <v>189</v>
      </c>
      <c r="R59">
        <v>10</v>
      </c>
      <c r="S59" t="s">
        <v>236</v>
      </c>
      <c r="T59" s="130">
        <v>45821</v>
      </c>
      <c r="U59" s="130">
        <v>45821</v>
      </c>
      <c r="V59" t="s">
        <v>191</v>
      </c>
      <c r="W59" t="s">
        <v>192</v>
      </c>
      <c r="X59" t="s">
        <v>191</v>
      </c>
      <c r="Y59" t="s">
        <v>193</v>
      </c>
      <c r="Z59">
        <v>41010100</v>
      </c>
      <c r="AA59">
        <v>890</v>
      </c>
    </row>
    <row r="60" spans="1:27" hidden="1" x14ac:dyDescent="0.25">
      <c r="A60" t="s">
        <v>83</v>
      </c>
      <c r="B60">
        <v>202506</v>
      </c>
      <c r="C60">
        <v>5107471189</v>
      </c>
      <c r="D60" t="s">
        <v>185</v>
      </c>
      <c r="E60" t="s">
        <v>203</v>
      </c>
      <c r="F60" t="s">
        <v>187</v>
      </c>
      <c r="G60" t="s">
        <v>187</v>
      </c>
      <c r="H60">
        <v>11162.5</v>
      </c>
      <c r="I60">
        <v>11162.5</v>
      </c>
      <c r="J60">
        <v>11162.5</v>
      </c>
      <c r="K60">
        <v>11162.5</v>
      </c>
      <c r="L60" t="s">
        <v>188</v>
      </c>
      <c r="M60">
        <v>2025</v>
      </c>
      <c r="N60">
        <v>6</v>
      </c>
      <c r="O60" s="130">
        <v>45809</v>
      </c>
      <c r="P60">
        <v>51074711892</v>
      </c>
      <c r="Q60" t="s">
        <v>189</v>
      </c>
      <c r="R60">
        <v>10</v>
      </c>
      <c r="S60" t="s">
        <v>237</v>
      </c>
      <c r="T60" s="130">
        <v>45821</v>
      </c>
      <c r="U60" s="130">
        <v>45821</v>
      </c>
      <c r="V60" t="s">
        <v>191</v>
      </c>
      <c r="W60" t="s">
        <v>192</v>
      </c>
      <c r="X60" t="s">
        <v>191</v>
      </c>
      <c r="Y60" t="s">
        <v>193</v>
      </c>
      <c r="Z60">
        <v>41010100</v>
      </c>
      <c r="AA60">
        <v>890</v>
      </c>
    </row>
    <row r="61" spans="1:27" hidden="1" x14ac:dyDescent="0.25">
      <c r="A61" t="s">
        <v>87</v>
      </c>
      <c r="B61">
        <v>202506</v>
      </c>
      <c r="C61">
        <v>2100079100</v>
      </c>
      <c r="D61" t="s">
        <v>197</v>
      </c>
      <c r="E61" t="s">
        <v>211</v>
      </c>
      <c r="F61" t="s">
        <v>216</v>
      </c>
      <c r="G61" t="s">
        <v>216</v>
      </c>
      <c r="H61">
        <v>-123241.27</v>
      </c>
      <c r="I61">
        <v>-123241.27</v>
      </c>
      <c r="J61">
        <v>-123241.27</v>
      </c>
      <c r="K61">
        <v>-123241.27</v>
      </c>
      <c r="L61" t="s">
        <v>208</v>
      </c>
      <c r="M61">
        <v>2025</v>
      </c>
      <c r="N61">
        <v>6</v>
      </c>
      <c r="O61" s="130">
        <v>45809</v>
      </c>
      <c r="P61">
        <v>210007910014</v>
      </c>
      <c r="Q61" t="s">
        <v>200</v>
      </c>
      <c r="R61">
        <v>10</v>
      </c>
      <c r="S61" t="s">
        <v>209</v>
      </c>
      <c r="T61" s="130">
        <v>45804</v>
      </c>
      <c r="U61" s="130">
        <v>45810</v>
      </c>
      <c r="V61" t="s">
        <v>191</v>
      </c>
      <c r="W61" t="s">
        <v>192</v>
      </c>
      <c r="X61" t="s">
        <v>191</v>
      </c>
      <c r="Y61" t="s">
        <v>193</v>
      </c>
      <c r="Z61">
        <v>41010100</v>
      </c>
      <c r="AA61">
        <v>890</v>
      </c>
    </row>
    <row r="62" spans="1:27" hidden="1" x14ac:dyDescent="0.25">
      <c r="A62" t="s">
        <v>87</v>
      </c>
      <c r="B62">
        <v>202506</v>
      </c>
      <c r="C62">
        <v>2100079171</v>
      </c>
      <c r="D62" t="s">
        <v>197</v>
      </c>
      <c r="E62" t="s">
        <v>211</v>
      </c>
      <c r="F62" t="s">
        <v>216</v>
      </c>
      <c r="G62" t="s">
        <v>216</v>
      </c>
      <c r="H62">
        <v>70841.27</v>
      </c>
      <c r="I62">
        <v>70841.27</v>
      </c>
      <c r="J62">
        <v>70841.27</v>
      </c>
      <c r="K62">
        <v>70841.27</v>
      </c>
      <c r="L62" t="s">
        <v>199</v>
      </c>
      <c r="M62">
        <v>2025</v>
      </c>
      <c r="N62">
        <v>6</v>
      </c>
      <c r="O62" s="130">
        <v>45809</v>
      </c>
      <c r="P62">
        <v>210007917111</v>
      </c>
      <c r="Q62" t="s">
        <v>200</v>
      </c>
      <c r="R62">
        <v>10</v>
      </c>
      <c r="S62" t="s">
        <v>210</v>
      </c>
      <c r="T62" s="130">
        <v>45805</v>
      </c>
      <c r="U62" s="130">
        <v>45810</v>
      </c>
      <c r="V62" t="s">
        <v>191</v>
      </c>
      <c r="W62" t="s">
        <v>192</v>
      </c>
      <c r="X62" t="s">
        <v>191</v>
      </c>
      <c r="Y62" t="s">
        <v>193</v>
      </c>
      <c r="Z62">
        <v>41010100</v>
      </c>
      <c r="AA62">
        <v>890</v>
      </c>
    </row>
    <row r="63" spans="1:27" hidden="1" x14ac:dyDescent="0.25">
      <c r="A63" t="s">
        <v>87</v>
      </c>
      <c r="B63">
        <v>202506</v>
      </c>
      <c r="C63">
        <v>2100079324</v>
      </c>
      <c r="D63" t="s">
        <v>197</v>
      </c>
      <c r="E63" t="s">
        <v>211</v>
      </c>
      <c r="F63" t="s">
        <v>216</v>
      </c>
      <c r="G63" t="s">
        <v>216</v>
      </c>
      <c r="H63">
        <v>132113.57999999999</v>
      </c>
      <c r="I63">
        <v>132113.57999999999</v>
      </c>
      <c r="J63">
        <v>132113.57999999999</v>
      </c>
      <c r="K63">
        <v>132113.57999999999</v>
      </c>
      <c r="L63" t="s">
        <v>199</v>
      </c>
      <c r="M63">
        <v>2025</v>
      </c>
      <c r="N63">
        <v>6</v>
      </c>
      <c r="O63" s="130">
        <v>45809</v>
      </c>
      <c r="P63">
        <v>210007932414</v>
      </c>
      <c r="Q63" t="s">
        <v>200</v>
      </c>
      <c r="R63">
        <v>10</v>
      </c>
      <c r="S63" t="s">
        <v>209</v>
      </c>
      <c r="T63" s="130">
        <v>45838</v>
      </c>
      <c r="U63" s="130">
        <v>45823</v>
      </c>
      <c r="V63" t="s">
        <v>191</v>
      </c>
      <c r="W63" t="s">
        <v>192</v>
      </c>
      <c r="X63" t="s">
        <v>191</v>
      </c>
      <c r="Y63" t="s">
        <v>193</v>
      </c>
      <c r="Z63">
        <v>41010100</v>
      </c>
      <c r="AA63">
        <v>890</v>
      </c>
    </row>
    <row r="64" spans="1:27" hidden="1" x14ac:dyDescent="0.25">
      <c r="A64" t="s">
        <v>87</v>
      </c>
      <c r="B64">
        <v>202506</v>
      </c>
      <c r="C64">
        <v>2100079411</v>
      </c>
      <c r="D64" t="s">
        <v>197</v>
      </c>
      <c r="E64" t="s">
        <v>211</v>
      </c>
      <c r="F64" t="s">
        <v>216</v>
      </c>
      <c r="G64" t="s">
        <v>216</v>
      </c>
      <c r="H64">
        <v>-77833.58</v>
      </c>
      <c r="I64">
        <v>-77833.58</v>
      </c>
      <c r="J64">
        <v>-77833.58</v>
      </c>
      <c r="K64">
        <v>-77833.58</v>
      </c>
      <c r="L64" t="s">
        <v>208</v>
      </c>
      <c r="M64">
        <v>2025</v>
      </c>
      <c r="N64">
        <v>6</v>
      </c>
      <c r="O64" s="130">
        <v>45809</v>
      </c>
      <c r="P64">
        <v>21000794116</v>
      </c>
      <c r="Q64" t="s">
        <v>200</v>
      </c>
      <c r="R64">
        <v>10</v>
      </c>
      <c r="S64" t="s">
        <v>210</v>
      </c>
      <c r="T64" s="130">
        <v>45839</v>
      </c>
      <c r="U64" s="130">
        <v>45823</v>
      </c>
      <c r="V64" t="s">
        <v>191</v>
      </c>
      <c r="W64" t="s">
        <v>192</v>
      </c>
      <c r="X64" t="s">
        <v>191</v>
      </c>
      <c r="Y64" t="s">
        <v>193</v>
      </c>
      <c r="Z64">
        <v>41010100</v>
      </c>
      <c r="AA64">
        <v>890</v>
      </c>
    </row>
    <row r="65" spans="1:27" hidden="1" x14ac:dyDescent="0.25">
      <c r="A65" t="s">
        <v>86</v>
      </c>
      <c r="B65">
        <v>202506</v>
      </c>
      <c r="C65">
        <v>2100079100</v>
      </c>
      <c r="D65" t="s">
        <v>197</v>
      </c>
      <c r="E65" t="s">
        <v>194</v>
      </c>
      <c r="F65" t="s">
        <v>202</v>
      </c>
      <c r="G65" t="s">
        <v>202</v>
      </c>
      <c r="H65">
        <v>-140102</v>
      </c>
      <c r="I65">
        <v>-140102</v>
      </c>
      <c r="J65">
        <v>-140102</v>
      </c>
      <c r="K65">
        <v>-140102</v>
      </c>
      <c r="L65" t="s">
        <v>208</v>
      </c>
      <c r="M65">
        <v>2025</v>
      </c>
      <c r="N65">
        <v>6</v>
      </c>
      <c r="O65" s="130">
        <v>45809</v>
      </c>
      <c r="P65">
        <v>210007910013</v>
      </c>
      <c r="Q65" t="s">
        <v>200</v>
      </c>
      <c r="R65">
        <v>10</v>
      </c>
      <c r="S65" t="s">
        <v>209</v>
      </c>
      <c r="T65" s="130">
        <v>45804</v>
      </c>
      <c r="U65" s="130">
        <v>45810</v>
      </c>
      <c r="V65" t="s">
        <v>191</v>
      </c>
      <c r="W65" t="s">
        <v>192</v>
      </c>
      <c r="X65" t="s">
        <v>191</v>
      </c>
      <c r="Y65" t="s">
        <v>193</v>
      </c>
      <c r="Z65">
        <v>41010100</v>
      </c>
      <c r="AA65">
        <v>890</v>
      </c>
    </row>
    <row r="66" spans="1:27" hidden="1" x14ac:dyDescent="0.25">
      <c r="A66" t="s">
        <v>86</v>
      </c>
      <c r="B66">
        <v>202506</v>
      </c>
      <c r="C66">
        <v>2100079171</v>
      </c>
      <c r="D66" t="s">
        <v>197</v>
      </c>
      <c r="E66" t="s">
        <v>194</v>
      </c>
      <c r="F66" t="s">
        <v>202</v>
      </c>
      <c r="G66" t="s">
        <v>202</v>
      </c>
      <c r="H66">
        <v>18502</v>
      </c>
      <c r="I66">
        <v>18502</v>
      </c>
      <c r="J66">
        <v>18502</v>
      </c>
      <c r="K66">
        <v>18502</v>
      </c>
      <c r="L66" t="s">
        <v>199</v>
      </c>
      <c r="M66">
        <v>2025</v>
      </c>
      <c r="N66">
        <v>6</v>
      </c>
      <c r="O66" s="130">
        <v>45809</v>
      </c>
      <c r="P66">
        <v>210007917110</v>
      </c>
      <c r="Q66" t="s">
        <v>200</v>
      </c>
      <c r="R66">
        <v>10</v>
      </c>
      <c r="S66" t="s">
        <v>210</v>
      </c>
      <c r="T66" s="130">
        <v>45805</v>
      </c>
      <c r="U66" s="130">
        <v>45810</v>
      </c>
      <c r="V66" t="s">
        <v>191</v>
      </c>
      <c r="W66" t="s">
        <v>192</v>
      </c>
      <c r="X66" t="s">
        <v>191</v>
      </c>
      <c r="Y66" t="s">
        <v>193</v>
      </c>
      <c r="Z66">
        <v>41010100</v>
      </c>
      <c r="AA66">
        <v>890</v>
      </c>
    </row>
    <row r="67" spans="1:27" hidden="1" x14ac:dyDescent="0.25">
      <c r="A67" t="s">
        <v>86</v>
      </c>
      <c r="B67">
        <v>202506</v>
      </c>
      <c r="C67">
        <v>2100079327</v>
      </c>
      <c r="D67" t="s">
        <v>197</v>
      </c>
      <c r="E67" t="s">
        <v>194</v>
      </c>
      <c r="F67" t="s">
        <v>202</v>
      </c>
      <c r="G67" t="s">
        <v>202</v>
      </c>
      <c r="H67">
        <v>98592</v>
      </c>
      <c r="I67">
        <v>98592</v>
      </c>
      <c r="J67">
        <v>98592</v>
      </c>
      <c r="K67">
        <v>98592</v>
      </c>
      <c r="L67" t="s">
        <v>199</v>
      </c>
      <c r="M67">
        <v>2025</v>
      </c>
      <c r="N67">
        <v>6</v>
      </c>
      <c r="O67" s="130">
        <v>45809</v>
      </c>
      <c r="P67">
        <v>2100079327124</v>
      </c>
      <c r="Q67" t="s">
        <v>200</v>
      </c>
      <c r="R67">
        <v>10</v>
      </c>
      <c r="S67" t="s">
        <v>238</v>
      </c>
      <c r="T67" s="130">
        <v>45838</v>
      </c>
      <c r="U67" s="130">
        <v>45823</v>
      </c>
      <c r="V67" t="s">
        <v>191</v>
      </c>
      <c r="W67" t="s">
        <v>192</v>
      </c>
      <c r="X67" t="s">
        <v>191</v>
      </c>
      <c r="Y67" t="s">
        <v>193</v>
      </c>
      <c r="Z67">
        <v>41010100</v>
      </c>
      <c r="AA67">
        <v>890</v>
      </c>
    </row>
    <row r="68" spans="1:27" hidden="1" x14ac:dyDescent="0.25">
      <c r="A68" t="s">
        <v>83</v>
      </c>
      <c r="B68">
        <v>202506</v>
      </c>
      <c r="C68">
        <v>2100079139</v>
      </c>
      <c r="D68" t="s">
        <v>197</v>
      </c>
      <c r="E68" t="s">
        <v>203</v>
      </c>
      <c r="F68" t="s">
        <v>198</v>
      </c>
      <c r="G68" t="s">
        <v>198</v>
      </c>
      <c r="H68">
        <v>-20952.78</v>
      </c>
      <c r="I68">
        <v>-20952.78</v>
      </c>
      <c r="J68">
        <v>-20952.78</v>
      </c>
      <c r="K68">
        <v>-20952.78</v>
      </c>
      <c r="L68" t="s">
        <v>208</v>
      </c>
      <c r="M68">
        <v>2025</v>
      </c>
      <c r="N68">
        <v>6</v>
      </c>
      <c r="O68" s="130">
        <v>45809</v>
      </c>
      <c r="P68">
        <v>2100079139119</v>
      </c>
      <c r="Q68" t="s">
        <v>200</v>
      </c>
      <c r="R68">
        <v>10</v>
      </c>
      <c r="S68" t="s">
        <v>229</v>
      </c>
      <c r="T68" s="130">
        <v>45804</v>
      </c>
      <c r="U68" s="130">
        <v>45810</v>
      </c>
      <c r="V68" t="s">
        <v>191</v>
      </c>
      <c r="W68" t="s">
        <v>192</v>
      </c>
      <c r="X68" t="s">
        <v>191</v>
      </c>
      <c r="Y68" t="s">
        <v>193</v>
      </c>
      <c r="Z68">
        <v>41010100</v>
      </c>
      <c r="AA68">
        <v>890</v>
      </c>
    </row>
    <row r="69" spans="1:27" hidden="1" x14ac:dyDescent="0.25">
      <c r="A69" t="s">
        <v>83</v>
      </c>
      <c r="B69">
        <v>202506</v>
      </c>
      <c r="C69">
        <v>2100079327</v>
      </c>
      <c r="D69" t="s">
        <v>197</v>
      </c>
      <c r="E69" t="s">
        <v>203</v>
      </c>
      <c r="F69" t="s">
        <v>198</v>
      </c>
      <c r="G69" t="s">
        <v>198</v>
      </c>
      <c r="H69">
        <v>30922.5</v>
      </c>
      <c r="I69">
        <v>30922.5</v>
      </c>
      <c r="J69">
        <v>30922.5</v>
      </c>
      <c r="K69">
        <v>30922.5</v>
      </c>
      <c r="L69" t="s">
        <v>199</v>
      </c>
      <c r="M69">
        <v>2025</v>
      </c>
      <c r="N69">
        <v>6</v>
      </c>
      <c r="O69" s="130">
        <v>45809</v>
      </c>
      <c r="P69">
        <v>2100079327122</v>
      </c>
      <c r="Q69" t="s">
        <v>200</v>
      </c>
      <c r="R69">
        <v>10</v>
      </c>
      <c r="S69" t="s">
        <v>238</v>
      </c>
      <c r="T69" s="130">
        <v>45838</v>
      </c>
      <c r="U69" s="130">
        <v>45823</v>
      </c>
      <c r="V69" t="s">
        <v>191</v>
      </c>
      <c r="W69" t="s">
        <v>192</v>
      </c>
      <c r="X69" t="s">
        <v>191</v>
      </c>
      <c r="Y69" t="s">
        <v>193</v>
      </c>
      <c r="Z69">
        <v>41010100</v>
      </c>
      <c r="AA69">
        <v>890</v>
      </c>
    </row>
    <row r="70" spans="1:27" hidden="1" x14ac:dyDescent="0.25">
      <c r="A70" t="s">
        <v>84</v>
      </c>
      <c r="B70">
        <v>202505</v>
      </c>
      <c r="C70">
        <v>5107395290</v>
      </c>
      <c r="D70" t="s">
        <v>239</v>
      </c>
      <c r="E70" t="s">
        <v>205</v>
      </c>
      <c r="F70" t="s">
        <v>240</v>
      </c>
      <c r="G70" t="s">
        <v>240</v>
      </c>
      <c r="H70">
        <v>75000</v>
      </c>
      <c r="I70">
        <v>75000</v>
      </c>
      <c r="J70">
        <v>75000</v>
      </c>
      <c r="K70">
        <v>75000</v>
      </c>
      <c r="L70" t="s">
        <v>188</v>
      </c>
      <c r="M70">
        <v>2025</v>
      </c>
      <c r="N70">
        <v>5</v>
      </c>
      <c r="O70" s="130">
        <v>45778</v>
      </c>
      <c r="P70">
        <v>51073952902</v>
      </c>
      <c r="Q70" t="s">
        <v>189</v>
      </c>
      <c r="R70">
        <v>10</v>
      </c>
      <c r="S70">
        <v>1009</v>
      </c>
      <c r="T70" s="130">
        <v>45769</v>
      </c>
      <c r="U70" s="130">
        <v>45775</v>
      </c>
      <c r="V70" t="s">
        <v>191</v>
      </c>
      <c r="W70" t="s">
        <v>192</v>
      </c>
      <c r="X70" t="s">
        <v>191</v>
      </c>
      <c r="Y70" t="s">
        <v>207</v>
      </c>
      <c r="Z70">
        <v>41500000</v>
      </c>
      <c r="AA70">
        <v>890</v>
      </c>
    </row>
    <row r="71" spans="1:27" hidden="1" x14ac:dyDescent="0.25">
      <c r="A71" t="s">
        <v>84</v>
      </c>
      <c r="B71">
        <v>202505</v>
      </c>
      <c r="C71">
        <v>5107440960</v>
      </c>
      <c r="D71" t="s">
        <v>239</v>
      </c>
      <c r="E71" t="s">
        <v>205</v>
      </c>
      <c r="F71" t="s">
        <v>240</v>
      </c>
      <c r="G71" t="s">
        <v>240</v>
      </c>
      <c r="H71">
        <v>12000</v>
      </c>
      <c r="I71">
        <v>12000</v>
      </c>
      <c r="J71">
        <v>12000</v>
      </c>
      <c r="K71">
        <v>12000</v>
      </c>
      <c r="L71" t="s">
        <v>188</v>
      </c>
      <c r="M71">
        <v>2025</v>
      </c>
      <c r="N71">
        <v>5</v>
      </c>
      <c r="O71" s="130">
        <v>45778</v>
      </c>
      <c r="P71">
        <v>51074409602</v>
      </c>
      <c r="Q71" t="s">
        <v>189</v>
      </c>
      <c r="R71">
        <v>10</v>
      </c>
      <c r="S71">
        <v>1010</v>
      </c>
      <c r="T71" s="130">
        <v>45798</v>
      </c>
      <c r="U71" s="130">
        <v>45801</v>
      </c>
      <c r="V71" t="s">
        <v>191</v>
      </c>
      <c r="W71" t="s">
        <v>192</v>
      </c>
      <c r="X71" t="s">
        <v>191</v>
      </c>
      <c r="Y71" t="s">
        <v>207</v>
      </c>
      <c r="Z71">
        <v>41500000</v>
      </c>
      <c r="AA71">
        <v>890</v>
      </c>
    </row>
    <row r="72" spans="1:27" hidden="1" x14ac:dyDescent="0.25">
      <c r="A72" t="s">
        <v>84</v>
      </c>
      <c r="B72">
        <v>202505</v>
      </c>
      <c r="C72">
        <v>5107440961</v>
      </c>
      <c r="D72" t="s">
        <v>239</v>
      </c>
      <c r="E72" t="s">
        <v>205</v>
      </c>
      <c r="F72" t="s">
        <v>240</v>
      </c>
      <c r="G72" t="s">
        <v>240</v>
      </c>
      <c r="H72">
        <v>12000</v>
      </c>
      <c r="I72">
        <v>12000</v>
      </c>
      <c r="J72">
        <v>12000</v>
      </c>
      <c r="K72">
        <v>12000</v>
      </c>
      <c r="L72" t="s">
        <v>188</v>
      </c>
      <c r="M72">
        <v>2025</v>
      </c>
      <c r="N72">
        <v>5</v>
      </c>
      <c r="O72" s="130">
        <v>45778</v>
      </c>
      <c r="P72">
        <v>51074409612</v>
      </c>
      <c r="Q72" t="s">
        <v>189</v>
      </c>
      <c r="R72">
        <v>10</v>
      </c>
      <c r="S72">
        <v>1011</v>
      </c>
      <c r="T72" s="130">
        <v>45798</v>
      </c>
      <c r="U72" s="130">
        <v>45801</v>
      </c>
      <c r="V72" t="s">
        <v>191</v>
      </c>
      <c r="W72" t="s">
        <v>192</v>
      </c>
      <c r="X72" t="s">
        <v>191</v>
      </c>
      <c r="Y72" t="s">
        <v>207</v>
      </c>
      <c r="Z72">
        <v>41500000</v>
      </c>
      <c r="AA72">
        <v>890</v>
      </c>
    </row>
    <row r="73" spans="1:27" hidden="1" x14ac:dyDescent="0.25">
      <c r="A73" t="s">
        <v>84</v>
      </c>
      <c r="B73">
        <v>202505</v>
      </c>
      <c r="C73">
        <v>2100078712</v>
      </c>
      <c r="D73" t="s">
        <v>197</v>
      </c>
      <c r="E73" t="s">
        <v>205</v>
      </c>
      <c r="F73" t="s">
        <v>206</v>
      </c>
      <c r="G73" t="s">
        <v>206</v>
      </c>
      <c r="H73">
        <v>-122899.16</v>
      </c>
      <c r="I73">
        <v>-122899.16</v>
      </c>
      <c r="J73">
        <v>-122899.16</v>
      </c>
      <c r="K73">
        <v>-122899.16</v>
      </c>
      <c r="L73" t="s">
        <v>208</v>
      </c>
      <c r="M73">
        <v>2025</v>
      </c>
      <c r="N73">
        <v>5</v>
      </c>
      <c r="O73" s="130">
        <v>45778</v>
      </c>
      <c r="P73">
        <v>210007871287</v>
      </c>
      <c r="Q73" t="s">
        <v>200</v>
      </c>
      <c r="R73">
        <v>10</v>
      </c>
      <c r="S73" t="s">
        <v>209</v>
      </c>
      <c r="T73" s="130">
        <v>45775</v>
      </c>
      <c r="U73" s="130">
        <v>45782</v>
      </c>
      <c r="V73" t="s">
        <v>191</v>
      </c>
      <c r="W73" t="s">
        <v>192</v>
      </c>
      <c r="X73" t="s">
        <v>191</v>
      </c>
      <c r="Y73" t="s">
        <v>207</v>
      </c>
      <c r="Z73">
        <v>41500000</v>
      </c>
      <c r="AA73">
        <v>890</v>
      </c>
    </row>
    <row r="74" spans="1:27" hidden="1" x14ac:dyDescent="0.25">
      <c r="A74" t="s">
        <v>84</v>
      </c>
      <c r="B74">
        <v>202505</v>
      </c>
      <c r="C74">
        <v>2100078772</v>
      </c>
      <c r="D74" t="s">
        <v>197</v>
      </c>
      <c r="E74" t="s">
        <v>205</v>
      </c>
      <c r="F74" t="s">
        <v>206</v>
      </c>
      <c r="G74" t="s">
        <v>206</v>
      </c>
      <c r="H74">
        <v>56233.16</v>
      </c>
      <c r="I74">
        <v>56233.16</v>
      </c>
      <c r="J74">
        <v>56233.16</v>
      </c>
      <c r="K74">
        <v>56233.16</v>
      </c>
      <c r="L74" t="s">
        <v>199</v>
      </c>
      <c r="M74">
        <v>2025</v>
      </c>
      <c r="N74">
        <v>5</v>
      </c>
      <c r="O74" s="130">
        <v>45778</v>
      </c>
      <c r="P74">
        <v>210007877238</v>
      </c>
      <c r="Q74" t="s">
        <v>200</v>
      </c>
      <c r="R74">
        <v>10</v>
      </c>
      <c r="S74" t="s">
        <v>210</v>
      </c>
      <c r="T74" s="130">
        <v>45776</v>
      </c>
      <c r="U74" s="130">
        <v>45782</v>
      </c>
      <c r="V74" t="s">
        <v>191</v>
      </c>
      <c r="W74" t="s">
        <v>192</v>
      </c>
      <c r="X74" t="s">
        <v>191</v>
      </c>
      <c r="Y74" t="s">
        <v>207</v>
      </c>
      <c r="Z74">
        <v>41500000</v>
      </c>
      <c r="AA74">
        <v>890</v>
      </c>
    </row>
    <row r="75" spans="1:27" hidden="1" x14ac:dyDescent="0.25">
      <c r="A75" t="s">
        <v>84</v>
      </c>
      <c r="B75">
        <v>202505</v>
      </c>
      <c r="C75">
        <v>2100078972</v>
      </c>
      <c r="D75" t="s">
        <v>197</v>
      </c>
      <c r="E75" t="s">
        <v>205</v>
      </c>
      <c r="F75" t="s">
        <v>206</v>
      </c>
      <c r="G75" t="s">
        <v>206</v>
      </c>
      <c r="H75">
        <v>26000</v>
      </c>
      <c r="I75">
        <v>26000</v>
      </c>
      <c r="J75">
        <v>26000</v>
      </c>
      <c r="K75">
        <v>26000</v>
      </c>
      <c r="L75" t="s">
        <v>199</v>
      </c>
      <c r="M75">
        <v>2025</v>
      </c>
      <c r="N75">
        <v>5</v>
      </c>
      <c r="O75" s="130">
        <v>45778</v>
      </c>
      <c r="P75">
        <v>2100078972812</v>
      </c>
      <c r="Q75" t="s">
        <v>200</v>
      </c>
      <c r="R75">
        <v>10</v>
      </c>
      <c r="S75" t="s">
        <v>229</v>
      </c>
      <c r="T75" s="130">
        <v>45804</v>
      </c>
      <c r="U75" s="130">
        <v>45792</v>
      </c>
      <c r="V75" t="s">
        <v>191</v>
      </c>
      <c r="W75" t="s">
        <v>192</v>
      </c>
      <c r="X75" t="s">
        <v>191</v>
      </c>
      <c r="Y75" t="s">
        <v>207</v>
      </c>
      <c r="Z75">
        <v>41500000</v>
      </c>
      <c r="AA75">
        <v>890</v>
      </c>
    </row>
    <row r="76" spans="1:27" hidden="1" x14ac:dyDescent="0.25">
      <c r="A76" t="s">
        <v>84</v>
      </c>
      <c r="B76">
        <v>202507</v>
      </c>
      <c r="C76">
        <v>9005875005</v>
      </c>
      <c r="D76" t="s">
        <v>197</v>
      </c>
      <c r="E76" t="s">
        <v>205</v>
      </c>
      <c r="F76" t="s">
        <v>241</v>
      </c>
      <c r="G76" t="s">
        <v>241</v>
      </c>
      <c r="H76">
        <v>99000</v>
      </c>
      <c r="I76">
        <v>99000</v>
      </c>
      <c r="J76">
        <v>99000</v>
      </c>
      <c r="K76">
        <v>99000</v>
      </c>
      <c r="L76" t="s">
        <v>220</v>
      </c>
      <c r="M76">
        <v>2025</v>
      </c>
      <c r="N76">
        <v>7</v>
      </c>
      <c r="O76" s="130">
        <v>45839</v>
      </c>
      <c r="P76">
        <v>9005875005131</v>
      </c>
      <c r="Q76" t="s">
        <v>221</v>
      </c>
      <c r="R76">
        <v>10</v>
      </c>
      <c r="S76" t="s">
        <v>242</v>
      </c>
      <c r="T76" s="130">
        <v>45867</v>
      </c>
      <c r="U76" s="130">
        <v>45853</v>
      </c>
      <c r="V76" t="s">
        <v>191</v>
      </c>
      <c r="W76" t="s">
        <v>192</v>
      </c>
      <c r="X76" t="s">
        <v>191</v>
      </c>
      <c r="Y76" t="s">
        <v>207</v>
      </c>
      <c r="Z76">
        <v>41500000</v>
      </c>
      <c r="AA76">
        <v>890</v>
      </c>
    </row>
    <row r="77" spans="1:27" hidden="1" x14ac:dyDescent="0.25">
      <c r="A77" t="s">
        <v>84</v>
      </c>
      <c r="B77">
        <v>202507</v>
      </c>
      <c r="C77">
        <v>5107520801</v>
      </c>
      <c r="D77" t="s">
        <v>239</v>
      </c>
      <c r="E77" t="s">
        <v>205</v>
      </c>
      <c r="F77" t="s">
        <v>240</v>
      </c>
      <c r="G77" t="s">
        <v>240</v>
      </c>
      <c r="H77">
        <v>24333</v>
      </c>
      <c r="I77">
        <v>24333</v>
      </c>
      <c r="J77">
        <v>24333</v>
      </c>
      <c r="K77">
        <v>24333</v>
      </c>
      <c r="L77" t="s">
        <v>188</v>
      </c>
      <c r="M77">
        <v>2025</v>
      </c>
      <c r="N77">
        <v>7</v>
      </c>
      <c r="O77" s="130">
        <v>45839</v>
      </c>
      <c r="P77">
        <v>51075208012</v>
      </c>
      <c r="Q77" t="s">
        <v>189</v>
      </c>
      <c r="R77">
        <v>10</v>
      </c>
      <c r="S77">
        <v>1012</v>
      </c>
      <c r="T77" s="130">
        <v>45852</v>
      </c>
      <c r="U77" s="130">
        <v>45854</v>
      </c>
      <c r="V77" t="s">
        <v>191</v>
      </c>
      <c r="W77" t="s">
        <v>192</v>
      </c>
      <c r="X77" t="s">
        <v>191</v>
      </c>
      <c r="Y77" t="s">
        <v>207</v>
      </c>
      <c r="Z77">
        <v>41500000</v>
      </c>
      <c r="AA77">
        <v>890</v>
      </c>
    </row>
    <row r="78" spans="1:27" hidden="1" x14ac:dyDescent="0.25">
      <c r="A78" t="s">
        <v>84</v>
      </c>
      <c r="B78">
        <v>202507</v>
      </c>
      <c r="C78">
        <v>9005875005</v>
      </c>
      <c r="D78" t="s">
        <v>197</v>
      </c>
      <c r="E78" t="s">
        <v>205</v>
      </c>
      <c r="F78" t="s">
        <v>241</v>
      </c>
      <c r="G78" t="s">
        <v>241</v>
      </c>
      <c r="H78">
        <v>-99000</v>
      </c>
      <c r="I78">
        <v>-99000</v>
      </c>
      <c r="J78">
        <v>-99000</v>
      </c>
      <c r="K78">
        <v>-99000</v>
      </c>
      <c r="L78" t="s">
        <v>220</v>
      </c>
      <c r="M78">
        <v>2025</v>
      </c>
      <c r="N78">
        <v>7</v>
      </c>
      <c r="O78" s="130">
        <v>45839</v>
      </c>
      <c r="P78">
        <v>900587500597</v>
      </c>
      <c r="Q78" t="s">
        <v>221</v>
      </c>
      <c r="R78">
        <v>10</v>
      </c>
      <c r="S78" t="s">
        <v>242</v>
      </c>
      <c r="T78" s="130">
        <v>45867</v>
      </c>
      <c r="U78" s="130">
        <v>45853</v>
      </c>
      <c r="V78" t="s">
        <v>191</v>
      </c>
      <c r="W78" t="s">
        <v>192</v>
      </c>
      <c r="X78" t="s">
        <v>191</v>
      </c>
      <c r="Y78" t="s">
        <v>207</v>
      </c>
      <c r="Z78">
        <v>41500000</v>
      </c>
      <c r="AA78">
        <v>890</v>
      </c>
    </row>
    <row r="79" spans="1:27" hidden="1" x14ac:dyDescent="0.25">
      <c r="A79" t="s">
        <v>87</v>
      </c>
      <c r="B79">
        <v>202509</v>
      </c>
      <c r="C79">
        <v>5107605366</v>
      </c>
      <c r="D79" t="s">
        <v>197</v>
      </c>
      <c r="E79" t="s">
        <v>211</v>
      </c>
      <c r="F79" t="s">
        <v>212</v>
      </c>
      <c r="G79" t="s">
        <v>212</v>
      </c>
      <c r="H79">
        <v>52507.519999999997</v>
      </c>
      <c r="I79">
        <v>52507.519999999997</v>
      </c>
      <c r="J79">
        <v>52507.519999999997</v>
      </c>
      <c r="K79">
        <v>52507.519999999997</v>
      </c>
      <c r="L79" t="s">
        <v>188</v>
      </c>
      <c r="M79">
        <v>2025</v>
      </c>
      <c r="N79">
        <v>9</v>
      </c>
      <c r="O79" s="130">
        <v>45901</v>
      </c>
      <c r="P79">
        <v>51076053662</v>
      </c>
      <c r="Q79" t="s">
        <v>189</v>
      </c>
      <c r="R79">
        <v>10</v>
      </c>
      <c r="S79" t="s">
        <v>243</v>
      </c>
      <c r="T79" s="130">
        <v>45912</v>
      </c>
      <c r="U79" s="130">
        <v>45912</v>
      </c>
      <c r="V79" t="s">
        <v>191</v>
      </c>
      <c r="W79" t="s">
        <v>192</v>
      </c>
      <c r="X79" t="s">
        <v>191</v>
      </c>
      <c r="Y79" t="s">
        <v>193</v>
      </c>
      <c r="Z79">
        <v>41010100</v>
      </c>
      <c r="AA79">
        <v>890</v>
      </c>
    </row>
    <row r="80" spans="1:27" hidden="1" x14ac:dyDescent="0.25">
      <c r="A80" t="s">
        <v>86</v>
      </c>
      <c r="B80">
        <v>202509</v>
      </c>
      <c r="C80">
        <v>5107592031</v>
      </c>
      <c r="D80" t="s">
        <v>185</v>
      </c>
      <c r="E80" t="s">
        <v>194</v>
      </c>
      <c r="F80" t="s">
        <v>195</v>
      </c>
      <c r="G80" t="s">
        <v>195</v>
      </c>
      <c r="H80">
        <v>2400</v>
      </c>
      <c r="I80">
        <v>2400</v>
      </c>
      <c r="J80">
        <v>2400</v>
      </c>
      <c r="K80">
        <v>2400</v>
      </c>
      <c r="L80" t="s">
        <v>188</v>
      </c>
      <c r="M80">
        <v>2025</v>
      </c>
      <c r="N80">
        <v>9</v>
      </c>
      <c r="O80" s="130">
        <v>45901</v>
      </c>
      <c r="P80">
        <v>51075920312</v>
      </c>
      <c r="Q80" t="s">
        <v>189</v>
      </c>
      <c r="R80">
        <v>10</v>
      </c>
      <c r="S80" t="s">
        <v>244</v>
      </c>
      <c r="T80" s="130">
        <v>45890</v>
      </c>
      <c r="U80" s="130">
        <v>45902</v>
      </c>
      <c r="V80" t="s">
        <v>191</v>
      </c>
      <c r="W80" t="s">
        <v>192</v>
      </c>
      <c r="X80" t="s">
        <v>191</v>
      </c>
      <c r="Y80" t="s">
        <v>193</v>
      </c>
      <c r="Z80">
        <v>41010100</v>
      </c>
      <c r="AA80">
        <v>890</v>
      </c>
    </row>
    <row r="81" spans="1:27" hidden="1" x14ac:dyDescent="0.25">
      <c r="A81" t="s">
        <v>87</v>
      </c>
      <c r="B81">
        <v>202509</v>
      </c>
      <c r="C81">
        <v>2100080348</v>
      </c>
      <c r="D81" t="s">
        <v>197</v>
      </c>
      <c r="E81" t="s">
        <v>211</v>
      </c>
      <c r="F81" t="s">
        <v>216</v>
      </c>
      <c r="G81" t="s">
        <v>216</v>
      </c>
      <c r="H81">
        <v>-127043.57</v>
      </c>
      <c r="I81">
        <v>-127043.57</v>
      </c>
      <c r="J81">
        <v>-127043.57</v>
      </c>
      <c r="K81">
        <v>-127043.57</v>
      </c>
      <c r="L81" t="s">
        <v>208</v>
      </c>
      <c r="M81">
        <v>2025</v>
      </c>
      <c r="N81">
        <v>9</v>
      </c>
      <c r="O81" s="130">
        <v>45901</v>
      </c>
      <c r="P81">
        <v>210008034812</v>
      </c>
      <c r="Q81" t="s">
        <v>200</v>
      </c>
      <c r="R81">
        <v>10</v>
      </c>
      <c r="S81" t="s">
        <v>245</v>
      </c>
      <c r="T81" s="130">
        <v>45894</v>
      </c>
      <c r="U81" s="130">
        <v>45901</v>
      </c>
      <c r="V81" t="s">
        <v>191</v>
      </c>
      <c r="W81" t="s">
        <v>192</v>
      </c>
      <c r="X81" t="s">
        <v>191</v>
      </c>
      <c r="Y81" t="s">
        <v>193</v>
      </c>
      <c r="Z81">
        <v>41010100</v>
      </c>
      <c r="AA81">
        <v>890</v>
      </c>
    </row>
    <row r="82" spans="1:27" hidden="1" x14ac:dyDescent="0.25">
      <c r="A82" t="s">
        <v>87</v>
      </c>
      <c r="B82">
        <v>202509</v>
      </c>
      <c r="C82">
        <v>2100080369</v>
      </c>
      <c r="D82" t="s">
        <v>197</v>
      </c>
      <c r="E82" t="s">
        <v>211</v>
      </c>
      <c r="F82" t="s">
        <v>216</v>
      </c>
      <c r="G82" t="s">
        <v>216</v>
      </c>
      <c r="H82">
        <v>79843.570000000007</v>
      </c>
      <c r="I82">
        <v>79843.570000000007</v>
      </c>
      <c r="J82">
        <v>79843.570000000007</v>
      </c>
      <c r="K82">
        <v>79843.570000000007</v>
      </c>
      <c r="L82" t="s">
        <v>199</v>
      </c>
      <c r="M82">
        <v>2025</v>
      </c>
      <c r="N82">
        <v>9</v>
      </c>
      <c r="O82" s="130">
        <v>45901</v>
      </c>
      <c r="P82">
        <v>21000803698</v>
      </c>
      <c r="Q82" t="s">
        <v>200</v>
      </c>
      <c r="R82">
        <v>10</v>
      </c>
      <c r="S82" t="s">
        <v>246</v>
      </c>
      <c r="T82" s="130">
        <v>45895</v>
      </c>
      <c r="U82" s="130">
        <v>45901</v>
      </c>
      <c r="V82" t="s">
        <v>191</v>
      </c>
      <c r="W82" t="s">
        <v>192</v>
      </c>
      <c r="X82" t="s">
        <v>191</v>
      </c>
      <c r="Y82" t="s">
        <v>193</v>
      </c>
      <c r="Z82">
        <v>41010100</v>
      </c>
      <c r="AA82">
        <v>890</v>
      </c>
    </row>
    <row r="83" spans="1:27" hidden="1" x14ac:dyDescent="0.25">
      <c r="A83" t="s">
        <v>86</v>
      </c>
      <c r="B83">
        <v>202509</v>
      </c>
      <c r="C83">
        <v>2100080552</v>
      </c>
      <c r="D83" t="s">
        <v>197</v>
      </c>
      <c r="E83" t="s">
        <v>194</v>
      </c>
      <c r="F83" t="s">
        <v>247</v>
      </c>
      <c r="G83" t="s">
        <v>247</v>
      </c>
      <c r="H83">
        <v>57824</v>
      </c>
      <c r="I83">
        <v>57824</v>
      </c>
      <c r="J83">
        <v>57824</v>
      </c>
      <c r="K83">
        <v>57824</v>
      </c>
      <c r="L83" t="s">
        <v>199</v>
      </c>
      <c r="M83">
        <v>2025</v>
      </c>
      <c r="N83">
        <v>9</v>
      </c>
      <c r="O83" s="130">
        <v>45901</v>
      </c>
      <c r="P83">
        <v>210008055249</v>
      </c>
      <c r="Q83" t="s">
        <v>200</v>
      </c>
      <c r="R83">
        <v>10</v>
      </c>
      <c r="S83" t="s">
        <v>248</v>
      </c>
      <c r="T83" s="130">
        <v>45929</v>
      </c>
      <c r="U83" s="130">
        <v>45915</v>
      </c>
      <c r="V83" t="s">
        <v>191</v>
      </c>
      <c r="W83" t="s">
        <v>192</v>
      </c>
      <c r="X83" t="s">
        <v>191</v>
      </c>
      <c r="Y83" t="s">
        <v>193</v>
      </c>
      <c r="Z83">
        <v>41010100</v>
      </c>
      <c r="AA83">
        <v>890</v>
      </c>
    </row>
    <row r="84" spans="1:27" hidden="1" x14ac:dyDescent="0.25">
      <c r="A84" t="s">
        <v>83</v>
      </c>
      <c r="B84">
        <v>202509</v>
      </c>
      <c r="C84">
        <v>2100080320</v>
      </c>
      <c r="D84" t="s">
        <v>197</v>
      </c>
      <c r="E84" t="s">
        <v>203</v>
      </c>
      <c r="F84" t="s">
        <v>198</v>
      </c>
      <c r="G84" t="s">
        <v>198</v>
      </c>
      <c r="H84">
        <v>-13632.5</v>
      </c>
      <c r="I84">
        <v>-13632.5</v>
      </c>
      <c r="J84">
        <v>-13632.5</v>
      </c>
      <c r="K84">
        <v>-13632.5</v>
      </c>
      <c r="L84" t="s">
        <v>208</v>
      </c>
      <c r="M84">
        <v>2025</v>
      </c>
      <c r="N84">
        <v>9</v>
      </c>
      <c r="O84" s="130">
        <v>45901</v>
      </c>
      <c r="P84">
        <v>2100080320120</v>
      </c>
      <c r="Q84" t="s">
        <v>200</v>
      </c>
      <c r="R84">
        <v>10</v>
      </c>
      <c r="S84" t="s">
        <v>248</v>
      </c>
      <c r="T84" s="130">
        <v>45894</v>
      </c>
      <c r="U84" s="130">
        <v>45901</v>
      </c>
      <c r="V84" t="s">
        <v>191</v>
      </c>
      <c r="W84" t="s">
        <v>192</v>
      </c>
      <c r="X84" t="s">
        <v>191</v>
      </c>
      <c r="Y84" t="s">
        <v>193</v>
      </c>
      <c r="Z84">
        <v>41010100</v>
      </c>
      <c r="AA84">
        <v>890</v>
      </c>
    </row>
    <row r="85" spans="1:27" hidden="1" x14ac:dyDescent="0.25">
      <c r="A85" t="s">
        <v>83</v>
      </c>
      <c r="B85">
        <v>202509</v>
      </c>
      <c r="C85">
        <v>2100080552</v>
      </c>
      <c r="D85" t="s">
        <v>197</v>
      </c>
      <c r="E85" t="s">
        <v>203</v>
      </c>
      <c r="F85" t="s">
        <v>249</v>
      </c>
      <c r="G85" t="s">
        <v>249</v>
      </c>
      <c r="H85">
        <v>13632.5</v>
      </c>
      <c r="I85">
        <v>13632.5</v>
      </c>
      <c r="J85">
        <v>13632.5</v>
      </c>
      <c r="K85">
        <v>13632.5</v>
      </c>
      <c r="L85" t="s">
        <v>199</v>
      </c>
      <c r="M85">
        <v>2025</v>
      </c>
      <c r="N85">
        <v>9</v>
      </c>
      <c r="O85" s="130">
        <v>45901</v>
      </c>
      <c r="P85">
        <v>210008055250</v>
      </c>
      <c r="Q85" t="s">
        <v>200</v>
      </c>
      <c r="R85">
        <v>10</v>
      </c>
      <c r="S85" t="s">
        <v>248</v>
      </c>
      <c r="T85" s="130">
        <v>45929</v>
      </c>
      <c r="U85" s="130">
        <v>45915</v>
      </c>
      <c r="V85" t="s">
        <v>191</v>
      </c>
      <c r="W85" t="s">
        <v>192</v>
      </c>
      <c r="X85" t="s">
        <v>191</v>
      </c>
      <c r="Y85" t="s">
        <v>193</v>
      </c>
      <c r="Z85">
        <v>41010100</v>
      </c>
      <c r="AA85">
        <v>890</v>
      </c>
    </row>
    <row r="86" spans="1:27" hidden="1" x14ac:dyDescent="0.25">
      <c r="A86" t="s">
        <v>87</v>
      </c>
      <c r="B86">
        <v>202508</v>
      </c>
      <c r="C86">
        <v>5107558773</v>
      </c>
      <c r="D86" t="s">
        <v>185</v>
      </c>
      <c r="E86" t="s">
        <v>211</v>
      </c>
      <c r="F86" t="s">
        <v>212</v>
      </c>
      <c r="G86" t="s">
        <v>212</v>
      </c>
      <c r="H86">
        <v>40382.699999999997</v>
      </c>
      <c r="I86">
        <v>40382.699999999997</v>
      </c>
      <c r="J86">
        <v>40382.699999999997</v>
      </c>
      <c r="K86">
        <v>40382.699999999997</v>
      </c>
      <c r="L86" t="s">
        <v>188</v>
      </c>
      <c r="M86">
        <v>2025</v>
      </c>
      <c r="N86">
        <v>8</v>
      </c>
      <c r="O86" s="130">
        <v>45870</v>
      </c>
      <c r="P86">
        <v>51075587732</v>
      </c>
      <c r="Q86" t="s">
        <v>189</v>
      </c>
      <c r="R86">
        <v>10</v>
      </c>
      <c r="S86" t="s">
        <v>250</v>
      </c>
      <c r="T86" s="130">
        <v>45882</v>
      </c>
      <c r="U86" s="130">
        <v>45882</v>
      </c>
      <c r="V86" t="s">
        <v>191</v>
      </c>
      <c r="W86" t="s">
        <v>192</v>
      </c>
      <c r="X86" t="s">
        <v>191</v>
      </c>
      <c r="Y86" t="s">
        <v>193</v>
      </c>
      <c r="Z86">
        <v>41010100</v>
      </c>
      <c r="AA86">
        <v>890</v>
      </c>
    </row>
    <row r="87" spans="1:27" hidden="1" x14ac:dyDescent="0.25">
      <c r="A87" t="s">
        <v>83</v>
      </c>
      <c r="B87">
        <v>202508</v>
      </c>
      <c r="C87">
        <v>5107557829</v>
      </c>
      <c r="D87" t="s">
        <v>185</v>
      </c>
      <c r="E87" t="s">
        <v>203</v>
      </c>
      <c r="F87" t="s">
        <v>187</v>
      </c>
      <c r="G87" t="s">
        <v>187</v>
      </c>
      <c r="H87">
        <v>427.5</v>
      </c>
      <c r="I87">
        <v>427.5</v>
      </c>
      <c r="J87">
        <v>427.5</v>
      </c>
      <c r="K87">
        <v>427.5</v>
      </c>
      <c r="L87" t="s">
        <v>188</v>
      </c>
      <c r="M87">
        <v>2025</v>
      </c>
      <c r="N87">
        <v>8</v>
      </c>
      <c r="O87" s="130">
        <v>45870</v>
      </c>
      <c r="P87">
        <v>51075578292</v>
      </c>
      <c r="Q87" t="s">
        <v>189</v>
      </c>
      <c r="R87">
        <v>10</v>
      </c>
      <c r="S87" t="s">
        <v>251</v>
      </c>
      <c r="T87" s="130">
        <v>45881</v>
      </c>
      <c r="U87" s="130">
        <v>45881</v>
      </c>
      <c r="V87" t="s">
        <v>191</v>
      </c>
      <c r="W87" t="s">
        <v>192</v>
      </c>
      <c r="X87" t="s">
        <v>191</v>
      </c>
      <c r="Y87" t="s">
        <v>193</v>
      </c>
      <c r="Z87">
        <v>41010100</v>
      </c>
      <c r="AA87">
        <v>890</v>
      </c>
    </row>
    <row r="88" spans="1:27" hidden="1" x14ac:dyDescent="0.25">
      <c r="A88" t="s">
        <v>87</v>
      </c>
      <c r="B88">
        <v>202508</v>
      </c>
      <c r="C88">
        <v>2100080027</v>
      </c>
      <c r="D88" t="s">
        <v>197</v>
      </c>
      <c r="E88" t="s">
        <v>211</v>
      </c>
      <c r="F88" t="s">
        <v>216</v>
      </c>
      <c r="G88" t="s">
        <v>216</v>
      </c>
      <c r="H88">
        <v>-120072.43</v>
      </c>
      <c r="I88">
        <v>-120072.43</v>
      </c>
      <c r="J88">
        <v>-120072.43</v>
      </c>
      <c r="K88">
        <v>-120072.43</v>
      </c>
      <c r="L88" t="s">
        <v>208</v>
      </c>
      <c r="M88">
        <v>2025</v>
      </c>
      <c r="N88">
        <v>8</v>
      </c>
      <c r="O88" s="130">
        <v>45870</v>
      </c>
      <c r="P88">
        <v>210008002710</v>
      </c>
      <c r="Q88" t="s">
        <v>200</v>
      </c>
      <c r="R88">
        <v>10</v>
      </c>
      <c r="S88" t="s">
        <v>209</v>
      </c>
      <c r="T88" s="130">
        <v>45866</v>
      </c>
      <c r="U88" s="130">
        <v>45873</v>
      </c>
      <c r="V88" t="s">
        <v>191</v>
      </c>
      <c r="W88" t="s">
        <v>192</v>
      </c>
      <c r="X88" t="s">
        <v>191</v>
      </c>
      <c r="Y88" t="s">
        <v>193</v>
      </c>
      <c r="Z88">
        <v>41010100</v>
      </c>
      <c r="AA88">
        <v>890</v>
      </c>
    </row>
    <row r="89" spans="1:27" hidden="1" x14ac:dyDescent="0.25">
      <c r="A89" t="s">
        <v>87</v>
      </c>
      <c r="B89">
        <v>202508</v>
      </c>
      <c r="C89">
        <v>2100080184</v>
      </c>
      <c r="D89" t="s">
        <v>197</v>
      </c>
      <c r="E89" t="s">
        <v>211</v>
      </c>
      <c r="F89" t="s">
        <v>216</v>
      </c>
      <c r="G89" t="s">
        <v>216</v>
      </c>
      <c r="H89">
        <v>127043.57</v>
      </c>
      <c r="I89">
        <v>127043.57</v>
      </c>
      <c r="J89">
        <v>127043.57</v>
      </c>
      <c r="K89">
        <v>127043.57</v>
      </c>
      <c r="L89" t="s">
        <v>199</v>
      </c>
      <c r="M89">
        <v>2025</v>
      </c>
      <c r="N89">
        <v>8</v>
      </c>
      <c r="O89" s="130">
        <v>45870</v>
      </c>
      <c r="P89">
        <v>210008018412</v>
      </c>
      <c r="Q89" t="s">
        <v>200</v>
      </c>
      <c r="R89">
        <v>10</v>
      </c>
      <c r="S89" t="s">
        <v>245</v>
      </c>
      <c r="T89" s="130">
        <v>45894</v>
      </c>
      <c r="U89" s="130">
        <v>45884</v>
      </c>
      <c r="V89" t="s">
        <v>191</v>
      </c>
      <c r="W89" t="s">
        <v>192</v>
      </c>
      <c r="X89" t="s">
        <v>191</v>
      </c>
      <c r="Y89" t="s">
        <v>193</v>
      </c>
      <c r="Z89">
        <v>41010100</v>
      </c>
      <c r="AA89">
        <v>890</v>
      </c>
    </row>
    <row r="90" spans="1:27" hidden="1" x14ac:dyDescent="0.25">
      <c r="A90" t="s">
        <v>87</v>
      </c>
      <c r="B90">
        <v>202508</v>
      </c>
      <c r="C90">
        <v>2100080206</v>
      </c>
      <c r="D90" t="s">
        <v>197</v>
      </c>
      <c r="E90" t="s">
        <v>211</v>
      </c>
      <c r="F90" t="s">
        <v>216</v>
      </c>
      <c r="G90" t="s">
        <v>216</v>
      </c>
      <c r="H90">
        <v>-79843.570000000007</v>
      </c>
      <c r="I90">
        <v>-79843.570000000007</v>
      </c>
      <c r="J90">
        <v>-79843.570000000007</v>
      </c>
      <c r="K90">
        <v>-79843.570000000007</v>
      </c>
      <c r="L90" t="s">
        <v>208</v>
      </c>
      <c r="M90">
        <v>2025</v>
      </c>
      <c r="N90">
        <v>8</v>
      </c>
      <c r="O90" s="130">
        <v>45870</v>
      </c>
      <c r="P90">
        <v>21000802068</v>
      </c>
      <c r="Q90" t="s">
        <v>200</v>
      </c>
      <c r="R90">
        <v>10</v>
      </c>
      <c r="S90" t="s">
        <v>246</v>
      </c>
      <c r="T90" s="130">
        <v>45895</v>
      </c>
      <c r="U90" s="130">
        <v>45884</v>
      </c>
      <c r="V90" t="s">
        <v>191</v>
      </c>
      <c r="W90" t="s">
        <v>192</v>
      </c>
      <c r="X90" t="s">
        <v>191</v>
      </c>
      <c r="Y90" t="s">
        <v>193</v>
      </c>
      <c r="Z90">
        <v>41010100</v>
      </c>
      <c r="AA90">
        <v>890</v>
      </c>
    </row>
    <row r="91" spans="1:27" hidden="1" x14ac:dyDescent="0.25">
      <c r="A91" t="s">
        <v>86</v>
      </c>
      <c r="B91">
        <v>202508</v>
      </c>
      <c r="C91">
        <v>2100080021</v>
      </c>
      <c r="D91" t="s">
        <v>197</v>
      </c>
      <c r="E91" t="s">
        <v>194</v>
      </c>
      <c r="F91" t="s">
        <v>202</v>
      </c>
      <c r="G91" t="s">
        <v>202</v>
      </c>
      <c r="H91">
        <v>-60224</v>
      </c>
      <c r="I91">
        <v>-60224</v>
      </c>
      <c r="J91">
        <v>-60224</v>
      </c>
      <c r="K91">
        <v>-60224</v>
      </c>
      <c r="L91" t="s">
        <v>208</v>
      </c>
      <c r="M91">
        <v>2025</v>
      </c>
      <c r="N91">
        <v>8</v>
      </c>
      <c r="O91" s="130">
        <v>45870</v>
      </c>
      <c r="P91">
        <v>2100080021131</v>
      </c>
      <c r="Q91" t="s">
        <v>200</v>
      </c>
      <c r="R91">
        <v>10</v>
      </c>
      <c r="S91" t="s">
        <v>252</v>
      </c>
      <c r="T91" s="130">
        <v>45866</v>
      </c>
      <c r="U91" s="130">
        <v>45873</v>
      </c>
      <c r="V91" t="s">
        <v>191</v>
      </c>
      <c r="W91" t="s">
        <v>192</v>
      </c>
      <c r="X91" t="s">
        <v>191</v>
      </c>
      <c r="Y91" t="s">
        <v>193</v>
      </c>
      <c r="Z91">
        <v>41010100</v>
      </c>
      <c r="AA91">
        <v>890</v>
      </c>
    </row>
    <row r="92" spans="1:27" hidden="1" x14ac:dyDescent="0.25">
      <c r="A92" t="s">
        <v>83</v>
      </c>
      <c r="B92">
        <v>202508</v>
      </c>
      <c r="C92">
        <v>2100080021</v>
      </c>
      <c r="D92" t="s">
        <v>197</v>
      </c>
      <c r="E92" t="s">
        <v>203</v>
      </c>
      <c r="F92" t="s">
        <v>198</v>
      </c>
      <c r="G92" t="s">
        <v>198</v>
      </c>
      <c r="H92">
        <v>-14060</v>
      </c>
      <c r="I92">
        <v>-14060</v>
      </c>
      <c r="J92">
        <v>-14060</v>
      </c>
      <c r="K92">
        <v>-14060</v>
      </c>
      <c r="L92" t="s">
        <v>208</v>
      </c>
      <c r="M92">
        <v>2025</v>
      </c>
      <c r="N92">
        <v>8</v>
      </c>
      <c r="O92" s="130">
        <v>45870</v>
      </c>
      <c r="P92">
        <v>2100080021129</v>
      </c>
      <c r="Q92" t="s">
        <v>200</v>
      </c>
      <c r="R92">
        <v>10</v>
      </c>
      <c r="S92" t="s">
        <v>252</v>
      </c>
      <c r="T92" s="130">
        <v>45866</v>
      </c>
      <c r="U92" s="130">
        <v>45873</v>
      </c>
      <c r="V92" t="s">
        <v>191</v>
      </c>
      <c r="W92" t="s">
        <v>192</v>
      </c>
      <c r="X92" t="s">
        <v>191</v>
      </c>
      <c r="Y92" t="s">
        <v>193</v>
      </c>
      <c r="Z92">
        <v>41010100</v>
      </c>
      <c r="AA92">
        <v>890</v>
      </c>
    </row>
    <row r="93" spans="1:27" hidden="1" x14ac:dyDescent="0.25">
      <c r="A93" t="s">
        <v>83</v>
      </c>
      <c r="B93">
        <v>202508</v>
      </c>
      <c r="C93">
        <v>2100080153</v>
      </c>
      <c r="D93" t="s">
        <v>197</v>
      </c>
      <c r="E93" t="s">
        <v>203</v>
      </c>
      <c r="F93" t="s">
        <v>198</v>
      </c>
      <c r="G93" t="s">
        <v>198</v>
      </c>
      <c r="H93">
        <v>13632.5</v>
      </c>
      <c r="I93">
        <v>13632.5</v>
      </c>
      <c r="J93">
        <v>13632.5</v>
      </c>
      <c r="K93">
        <v>13632.5</v>
      </c>
      <c r="L93" t="s">
        <v>199</v>
      </c>
      <c r="M93">
        <v>2025</v>
      </c>
      <c r="N93">
        <v>8</v>
      </c>
      <c r="O93" s="130">
        <v>45870</v>
      </c>
      <c r="P93">
        <v>2100080153120</v>
      </c>
      <c r="Q93" t="s">
        <v>200</v>
      </c>
      <c r="R93">
        <v>10</v>
      </c>
      <c r="S93" t="s">
        <v>248</v>
      </c>
      <c r="T93" s="130">
        <v>45894</v>
      </c>
      <c r="U93" s="130">
        <v>45884</v>
      </c>
      <c r="V93" t="s">
        <v>191</v>
      </c>
      <c r="W93" t="s">
        <v>192</v>
      </c>
      <c r="X93" t="s">
        <v>191</v>
      </c>
      <c r="Y93" t="s">
        <v>193</v>
      </c>
      <c r="Z93">
        <v>41010100</v>
      </c>
      <c r="AA93">
        <v>890</v>
      </c>
    </row>
    <row r="94" spans="1:27" hidden="1" x14ac:dyDescent="0.25">
      <c r="A94" t="s">
        <v>87</v>
      </c>
      <c r="B94">
        <v>202507</v>
      </c>
      <c r="C94">
        <v>5107525129</v>
      </c>
      <c r="D94" t="s">
        <v>185</v>
      </c>
      <c r="E94" t="s">
        <v>211</v>
      </c>
      <c r="F94" t="s">
        <v>212</v>
      </c>
      <c r="G94" t="s">
        <v>212</v>
      </c>
      <c r="H94">
        <v>59395</v>
      </c>
      <c r="I94">
        <v>59395</v>
      </c>
      <c r="J94">
        <v>59395</v>
      </c>
      <c r="K94">
        <v>59395</v>
      </c>
      <c r="L94" t="s">
        <v>188</v>
      </c>
      <c r="M94">
        <v>2025</v>
      </c>
      <c r="N94">
        <v>7</v>
      </c>
      <c r="O94" s="130">
        <v>45839</v>
      </c>
      <c r="P94">
        <v>51075251292</v>
      </c>
      <c r="Q94" t="s">
        <v>189</v>
      </c>
      <c r="R94">
        <v>10</v>
      </c>
      <c r="S94" t="s">
        <v>253</v>
      </c>
      <c r="T94" s="130">
        <v>45838</v>
      </c>
      <c r="U94" s="130">
        <v>45856</v>
      </c>
      <c r="V94" t="s">
        <v>191</v>
      </c>
      <c r="W94" t="s">
        <v>192</v>
      </c>
      <c r="X94" t="s">
        <v>191</v>
      </c>
      <c r="Y94" t="s">
        <v>193</v>
      </c>
      <c r="Z94">
        <v>41010100</v>
      </c>
      <c r="AA94">
        <v>890</v>
      </c>
    </row>
    <row r="95" spans="1:27" hidden="1" x14ac:dyDescent="0.25">
      <c r="A95" t="s">
        <v>86</v>
      </c>
      <c r="B95">
        <v>202507</v>
      </c>
      <c r="C95">
        <v>5107523041</v>
      </c>
      <c r="D95" t="s">
        <v>185</v>
      </c>
      <c r="E95" t="s">
        <v>194</v>
      </c>
      <c r="F95" t="s">
        <v>195</v>
      </c>
      <c r="G95" t="s">
        <v>195</v>
      </c>
      <c r="H95">
        <v>38368</v>
      </c>
      <c r="I95">
        <v>38368</v>
      </c>
      <c r="J95">
        <v>38368</v>
      </c>
      <c r="K95">
        <v>38368</v>
      </c>
      <c r="L95" t="s">
        <v>188</v>
      </c>
      <c r="M95">
        <v>2025</v>
      </c>
      <c r="N95">
        <v>7</v>
      </c>
      <c r="O95" s="130">
        <v>45839</v>
      </c>
      <c r="P95">
        <v>51075230412</v>
      </c>
      <c r="Q95" t="s">
        <v>189</v>
      </c>
      <c r="R95">
        <v>10</v>
      </c>
      <c r="S95" t="s">
        <v>254</v>
      </c>
      <c r="T95" s="130">
        <v>45855</v>
      </c>
      <c r="U95" s="130">
        <v>45855</v>
      </c>
      <c r="V95" t="s">
        <v>191</v>
      </c>
      <c r="W95" t="s">
        <v>192</v>
      </c>
      <c r="X95" t="s">
        <v>191</v>
      </c>
      <c r="Y95" t="s">
        <v>193</v>
      </c>
      <c r="Z95">
        <v>41010100</v>
      </c>
      <c r="AA95">
        <v>890</v>
      </c>
    </row>
    <row r="96" spans="1:27" hidden="1" x14ac:dyDescent="0.25">
      <c r="A96" t="s">
        <v>83</v>
      </c>
      <c r="B96">
        <v>202507</v>
      </c>
      <c r="C96">
        <v>5107523043</v>
      </c>
      <c r="D96" t="s">
        <v>185</v>
      </c>
      <c r="E96" t="s">
        <v>203</v>
      </c>
      <c r="F96" t="s">
        <v>187</v>
      </c>
      <c r="G96" t="s">
        <v>187</v>
      </c>
      <c r="H96">
        <v>16862.5</v>
      </c>
      <c r="I96">
        <v>16862.5</v>
      </c>
      <c r="J96">
        <v>16862.5</v>
      </c>
      <c r="K96">
        <v>16862.5</v>
      </c>
      <c r="L96" t="s">
        <v>188</v>
      </c>
      <c r="M96">
        <v>2025</v>
      </c>
      <c r="N96">
        <v>7</v>
      </c>
      <c r="O96" s="130">
        <v>45839</v>
      </c>
      <c r="P96">
        <v>51075230432</v>
      </c>
      <c r="Q96" t="s">
        <v>189</v>
      </c>
      <c r="R96">
        <v>10</v>
      </c>
      <c r="S96" t="s">
        <v>255</v>
      </c>
      <c r="T96" s="130">
        <v>45855</v>
      </c>
      <c r="U96" s="130">
        <v>45855</v>
      </c>
      <c r="V96" t="s">
        <v>191</v>
      </c>
      <c r="W96" t="s">
        <v>192</v>
      </c>
      <c r="X96" t="s">
        <v>191</v>
      </c>
      <c r="Y96" t="s">
        <v>193</v>
      </c>
      <c r="Z96">
        <v>41010100</v>
      </c>
      <c r="AA96">
        <v>890</v>
      </c>
    </row>
    <row r="97" spans="1:27" hidden="1" x14ac:dyDescent="0.25">
      <c r="A97" t="s">
        <v>87</v>
      </c>
      <c r="B97">
        <v>202507</v>
      </c>
      <c r="C97">
        <v>2100079610</v>
      </c>
      <c r="D97" t="s">
        <v>197</v>
      </c>
      <c r="E97" t="s">
        <v>211</v>
      </c>
      <c r="F97" t="s">
        <v>216</v>
      </c>
      <c r="G97" t="s">
        <v>216</v>
      </c>
      <c r="H97">
        <v>-132113.57999999999</v>
      </c>
      <c r="I97">
        <v>-132113.57999999999</v>
      </c>
      <c r="J97">
        <v>-132113.57999999999</v>
      </c>
      <c r="K97">
        <v>-132113.57999999999</v>
      </c>
      <c r="L97" t="s">
        <v>208</v>
      </c>
      <c r="M97">
        <v>2025</v>
      </c>
      <c r="N97">
        <v>7</v>
      </c>
      <c r="O97" s="130">
        <v>45839</v>
      </c>
      <c r="P97">
        <v>210007961014</v>
      </c>
      <c r="Q97" t="s">
        <v>200</v>
      </c>
      <c r="R97">
        <v>10</v>
      </c>
      <c r="S97" t="s">
        <v>209</v>
      </c>
      <c r="T97" s="130">
        <v>45838</v>
      </c>
      <c r="U97" s="130">
        <v>45845</v>
      </c>
      <c r="V97" t="s">
        <v>191</v>
      </c>
      <c r="W97" t="s">
        <v>192</v>
      </c>
      <c r="X97" t="s">
        <v>191</v>
      </c>
      <c r="Y97" t="s">
        <v>193</v>
      </c>
      <c r="Z97">
        <v>41010100</v>
      </c>
      <c r="AA97">
        <v>890</v>
      </c>
    </row>
    <row r="98" spans="1:27" hidden="1" x14ac:dyDescent="0.25">
      <c r="A98" t="s">
        <v>87</v>
      </c>
      <c r="B98">
        <v>202507</v>
      </c>
      <c r="C98">
        <v>2100079690</v>
      </c>
      <c r="D98" t="s">
        <v>197</v>
      </c>
      <c r="E98" t="s">
        <v>211</v>
      </c>
      <c r="F98" t="s">
        <v>216</v>
      </c>
      <c r="G98" t="s">
        <v>216</v>
      </c>
      <c r="H98">
        <v>77833.58</v>
      </c>
      <c r="I98">
        <v>77833.58</v>
      </c>
      <c r="J98">
        <v>77833.58</v>
      </c>
      <c r="K98">
        <v>77833.58</v>
      </c>
      <c r="L98" t="s">
        <v>199</v>
      </c>
      <c r="M98">
        <v>2025</v>
      </c>
      <c r="N98">
        <v>7</v>
      </c>
      <c r="O98" s="130">
        <v>45839</v>
      </c>
      <c r="P98">
        <v>21000796906</v>
      </c>
      <c r="Q98" t="s">
        <v>200</v>
      </c>
      <c r="R98">
        <v>10</v>
      </c>
      <c r="S98" t="s">
        <v>210</v>
      </c>
      <c r="T98" s="130">
        <v>45839</v>
      </c>
      <c r="U98" s="130">
        <v>45845</v>
      </c>
      <c r="V98" t="s">
        <v>191</v>
      </c>
      <c r="W98" t="s">
        <v>192</v>
      </c>
      <c r="X98" t="s">
        <v>191</v>
      </c>
      <c r="Y98" t="s">
        <v>193</v>
      </c>
      <c r="Z98">
        <v>41010100</v>
      </c>
      <c r="AA98">
        <v>890</v>
      </c>
    </row>
    <row r="99" spans="1:27" hidden="1" x14ac:dyDescent="0.25">
      <c r="A99" t="s">
        <v>87</v>
      </c>
      <c r="B99">
        <v>202507</v>
      </c>
      <c r="C99">
        <v>2100079888</v>
      </c>
      <c r="D99" t="s">
        <v>197</v>
      </c>
      <c r="E99" t="s">
        <v>211</v>
      </c>
      <c r="F99" t="s">
        <v>216</v>
      </c>
      <c r="G99" t="s">
        <v>216</v>
      </c>
      <c r="H99">
        <v>120072.43</v>
      </c>
      <c r="I99">
        <v>120072.43</v>
      </c>
      <c r="J99">
        <v>120072.43</v>
      </c>
      <c r="K99">
        <v>120072.43</v>
      </c>
      <c r="L99" t="s">
        <v>199</v>
      </c>
      <c r="M99">
        <v>2025</v>
      </c>
      <c r="N99">
        <v>7</v>
      </c>
      <c r="O99" s="130">
        <v>45839</v>
      </c>
      <c r="P99">
        <v>210007988810</v>
      </c>
      <c r="Q99" t="s">
        <v>200</v>
      </c>
      <c r="R99">
        <v>10</v>
      </c>
      <c r="S99" t="s">
        <v>209</v>
      </c>
      <c r="T99" s="130">
        <v>45866</v>
      </c>
      <c r="U99" s="130">
        <v>45853</v>
      </c>
      <c r="V99" t="s">
        <v>191</v>
      </c>
      <c r="W99" t="s">
        <v>192</v>
      </c>
      <c r="X99" t="s">
        <v>191</v>
      </c>
      <c r="Y99" t="s">
        <v>193</v>
      </c>
      <c r="Z99">
        <v>41010100</v>
      </c>
      <c r="AA99">
        <v>890</v>
      </c>
    </row>
    <row r="100" spans="1:27" hidden="1" x14ac:dyDescent="0.25">
      <c r="A100" t="s">
        <v>86</v>
      </c>
      <c r="B100">
        <v>202507</v>
      </c>
      <c r="C100">
        <v>2100079612</v>
      </c>
      <c r="D100" t="s">
        <v>197</v>
      </c>
      <c r="E100" t="s">
        <v>194</v>
      </c>
      <c r="F100" t="s">
        <v>202</v>
      </c>
      <c r="G100" t="s">
        <v>202</v>
      </c>
      <c r="H100">
        <v>-98592</v>
      </c>
      <c r="I100">
        <v>-98592</v>
      </c>
      <c r="J100">
        <v>-98592</v>
      </c>
      <c r="K100">
        <v>-98592</v>
      </c>
      <c r="L100" t="s">
        <v>208</v>
      </c>
      <c r="M100">
        <v>2025</v>
      </c>
      <c r="N100">
        <v>7</v>
      </c>
      <c r="O100" s="130">
        <v>45839</v>
      </c>
      <c r="P100">
        <v>2100079612124</v>
      </c>
      <c r="Q100" t="s">
        <v>200</v>
      </c>
      <c r="R100">
        <v>10</v>
      </c>
      <c r="S100" t="s">
        <v>238</v>
      </c>
      <c r="T100" s="130">
        <v>45838</v>
      </c>
      <c r="U100" s="130">
        <v>45845</v>
      </c>
      <c r="V100" t="s">
        <v>191</v>
      </c>
      <c r="W100" t="s">
        <v>192</v>
      </c>
      <c r="X100" t="s">
        <v>191</v>
      </c>
      <c r="Y100" t="s">
        <v>193</v>
      </c>
      <c r="Z100">
        <v>41010100</v>
      </c>
      <c r="AA100">
        <v>890</v>
      </c>
    </row>
    <row r="101" spans="1:27" hidden="1" x14ac:dyDescent="0.25">
      <c r="A101" t="s">
        <v>86</v>
      </c>
      <c r="B101">
        <v>202507</v>
      </c>
      <c r="C101">
        <v>2100079882</v>
      </c>
      <c r="D101" t="s">
        <v>197</v>
      </c>
      <c r="E101" t="s">
        <v>194</v>
      </c>
      <c r="F101" t="s">
        <v>202</v>
      </c>
      <c r="G101" t="s">
        <v>202</v>
      </c>
      <c r="H101">
        <v>60224</v>
      </c>
      <c r="I101">
        <v>60224</v>
      </c>
      <c r="J101">
        <v>60224</v>
      </c>
      <c r="K101">
        <v>60224</v>
      </c>
      <c r="L101" t="s">
        <v>199</v>
      </c>
      <c r="M101">
        <v>2025</v>
      </c>
      <c r="N101">
        <v>7</v>
      </c>
      <c r="O101" s="130">
        <v>45839</v>
      </c>
      <c r="P101">
        <v>2100079882131</v>
      </c>
      <c r="Q101" t="s">
        <v>200</v>
      </c>
      <c r="R101">
        <v>10</v>
      </c>
      <c r="S101" t="s">
        <v>252</v>
      </c>
      <c r="T101" s="130">
        <v>45866</v>
      </c>
      <c r="U101" s="130">
        <v>45853</v>
      </c>
      <c r="V101" t="s">
        <v>191</v>
      </c>
      <c r="W101" t="s">
        <v>192</v>
      </c>
      <c r="X101" t="s">
        <v>191</v>
      </c>
      <c r="Y101" t="s">
        <v>193</v>
      </c>
      <c r="Z101">
        <v>41010100</v>
      </c>
      <c r="AA101">
        <v>890</v>
      </c>
    </row>
    <row r="102" spans="1:27" hidden="1" x14ac:dyDescent="0.25">
      <c r="A102" t="s">
        <v>83</v>
      </c>
      <c r="B102">
        <v>202507</v>
      </c>
      <c r="C102">
        <v>2100079612</v>
      </c>
      <c r="D102" t="s">
        <v>197</v>
      </c>
      <c r="E102" t="s">
        <v>203</v>
      </c>
      <c r="F102" t="s">
        <v>198</v>
      </c>
      <c r="G102" t="s">
        <v>198</v>
      </c>
      <c r="H102">
        <v>-30922.5</v>
      </c>
      <c r="I102">
        <v>-30922.5</v>
      </c>
      <c r="J102">
        <v>-30922.5</v>
      </c>
      <c r="K102">
        <v>-30922.5</v>
      </c>
      <c r="L102" t="s">
        <v>208</v>
      </c>
      <c r="M102">
        <v>2025</v>
      </c>
      <c r="N102">
        <v>7</v>
      </c>
      <c r="O102" s="130">
        <v>45839</v>
      </c>
      <c r="P102">
        <v>2100079612122</v>
      </c>
      <c r="Q102" t="s">
        <v>200</v>
      </c>
      <c r="R102">
        <v>10</v>
      </c>
      <c r="S102" t="s">
        <v>238</v>
      </c>
      <c r="T102" s="130">
        <v>45838</v>
      </c>
      <c r="U102" s="130">
        <v>45845</v>
      </c>
      <c r="V102" t="s">
        <v>191</v>
      </c>
      <c r="W102" t="s">
        <v>192</v>
      </c>
      <c r="X102" t="s">
        <v>191</v>
      </c>
      <c r="Y102" t="s">
        <v>193</v>
      </c>
      <c r="Z102">
        <v>41010100</v>
      </c>
      <c r="AA102">
        <v>890</v>
      </c>
    </row>
    <row r="103" spans="1:27" hidden="1" x14ac:dyDescent="0.25">
      <c r="A103" t="s">
        <v>83</v>
      </c>
      <c r="B103">
        <v>202507</v>
      </c>
      <c r="C103">
        <v>2100079882</v>
      </c>
      <c r="D103" t="s">
        <v>197</v>
      </c>
      <c r="E103" t="s">
        <v>203</v>
      </c>
      <c r="F103" t="s">
        <v>198</v>
      </c>
      <c r="G103" t="s">
        <v>198</v>
      </c>
      <c r="H103">
        <v>14060</v>
      </c>
      <c r="I103">
        <v>14060</v>
      </c>
      <c r="J103">
        <v>14060</v>
      </c>
      <c r="K103">
        <v>14060</v>
      </c>
      <c r="L103" t="s">
        <v>199</v>
      </c>
      <c r="M103">
        <v>2025</v>
      </c>
      <c r="N103">
        <v>7</v>
      </c>
      <c r="O103" s="130">
        <v>45839</v>
      </c>
      <c r="P103">
        <v>2100079882129</v>
      </c>
      <c r="Q103" t="s">
        <v>200</v>
      </c>
      <c r="R103">
        <v>10</v>
      </c>
      <c r="S103" t="s">
        <v>252</v>
      </c>
      <c r="T103" s="130">
        <v>45866</v>
      </c>
      <c r="U103" s="130">
        <v>45853</v>
      </c>
      <c r="V103" t="s">
        <v>191</v>
      </c>
      <c r="W103" t="s">
        <v>192</v>
      </c>
      <c r="X103" t="s">
        <v>191</v>
      </c>
      <c r="Y103" t="s">
        <v>193</v>
      </c>
      <c r="Z103">
        <v>41010100</v>
      </c>
      <c r="AA103">
        <v>890</v>
      </c>
    </row>
    <row r="104" spans="1:27" hidden="1" x14ac:dyDescent="0.25">
      <c r="A104" t="s">
        <v>84</v>
      </c>
      <c r="B104">
        <v>202509</v>
      </c>
      <c r="C104">
        <v>9005951265</v>
      </c>
      <c r="D104" t="s">
        <v>197</v>
      </c>
      <c r="E104" t="s">
        <v>205</v>
      </c>
      <c r="F104" t="s">
        <v>241</v>
      </c>
      <c r="G104" t="s">
        <v>241</v>
      </c>
      <c r="H104">
        <v>-24333</v>
      </c>
      <c r="I104">
        <v>-24333</v>
      </c>
      <c r="J104">
        <v>-24333</v>
      </c>
      <c r="K104">
        <v>-24333</v>
      </c>
      <c r="L104" t="s">
        <v>220</v>
      </c>
      <c r="M104">
        <v>2025</v>
      </c>
      <c r="N104">
        <v>9</v>
      </c>
      <c r="O104" s="130">
        <v>45901</v>
      </c>
      <c r="P104">
        <v>90059512654</v>
      </c>
      <c r="Q104" t="s">
        <v>221</v>
      </c>
      <c r="R104">
        <v>10</v>
      </c>
      <c r="S104" t="s">
        <v>256</v>
      </c>
      <c r="T104" s="130">
        <v>45930</v>
      </c>
      <c r="U104" s="130">
        <v>45915</v>
      </c>
      <c r="V104" t="s">
        <v>191</v>
      </c>
      <c r="W104" t="s">
        <v>192</v>
      </c>
      <c r="X104" t="s">
        <v>191</v>
      </c>
      <c r="Y104" t="s">
        <v>207</v>
      </c>
      <c r="Z104">
        <v>41500000</v>
      </c>
      <c r="AA104">
        <v>890</v>
      </c>
    </row>
    <row r="105" spans="1:27" hidden="1" x14ac:dyDescent="0.25">
      <c r="A105" t="s">
        <v>84</v>
      </c>
      <c r="B105">
        <v>202509</v>
      </c>
      <c r="C105">
        <v>9005951265</v>
      </c>
      <c r="D105" t="s">
        <v>197</v>
      </c>
      <c r="E105" t="s">
        <v>205</v>
      </c>
      <c r="F105" t="s">
        <v>241</v>
      </c>
      <c r="G105" t="s">
        <v>241</v>
      </c>
      <c r="H105">
        <v>24333</v>
      </c>
      <c r="I105">
        <v>24333</v>
      </c>
      <c r="J105">
        <v>24333</v>
      </c>
      <c r="K105">
        <v>24333</v>
      </c>
      <c r="L105" t="s">
        <v>220</v>
      </c>
      <c r="M105">
        <v>2025</v>
      </c>
      <c r="N105">
        <v>9</v>
      </c>
      <c r="O105" s="130">
        <v>45901</v>
      </c>
      <c r="P105">
        <v>90059512653</v>
      </c>
      <c r="Q105" t="s">
        <v>221</v>
      </c>
      <c r="R105">
        <v>10</v>
      </c>
      <c r="S105" t="s">
        <v>256</v>
      </c>
      <c r="T105" s="130">
        <v>45930</v>
      </c>
      <c r="U105" s="130">
        <v>45915</v>
      </c>
      <c r="V105" t="s">
        <v>191</v>
      </c>
      <c r="W105" t="s">
        <v>192</v>
      </c>
      <c r="X105" t="s">
        <v>191</v>
      </c>
      <c r="Y105" t="s">
        <v>207</v>
      </c>
      <c r="Z105">
        <v>41500000</v>
      </c>
      <c r="AA105">
        <v>890</v>
      </c>
    </row>
    <row r="106" spans="1:27" hidden="1" x14ac:dyDescent="0.25">
      <c r="A106" t="s">
        <v>84</v>
      </c>
      <c r="B106">
        <v>202509</v>
      </c>
      <c r="C106">
        <v>2100080552</v>
      </c>
      <c r="D106" t="s">
        <v>197</v>
      </c>
      <c r="E106" t="s">
        <v>205</v>
      </c>
      <c r="F106" t="s">
        <v>257</v>
      </c>
      <c r="G106" t="s">
        <v>257</v>
      </c>
      <c r="H106">
        <v>4497.1899999999996</v>
      </c>
      <c r="I106">
        <v>4497.1899999999996</v>
      </c>
      <c r="J106">
        <v>4497.1899999999996</v>
      </c>
      <c r="K106">
        <v>4497.1899999999996</v>
      </c>
      <c r="L106" t="s">
        <v>199</v>
      </c>
      <c r="M106">
        <v>2025</v>
      </c>
      <c r="N106">
        <v>9</v>
      </c>
      <c r="O106" s="130">
        <v>45901</v>
      </c>
      <c r="P106">
        <v>2100080552107</v>
      </c>
      <c r="Q106" t="s">
        <v>200</v>
      </c>
      <c r="R106">
        <v>10</v>
      </c>
      <c r="S106" t="s">
        <v>248</v>
      </c>
      <c r="T106" s="130">
        <v>45929</v>
      </c>
      <c r="U106" s="130">
        <v>45915</v>
      </c>
      <c r="V106" t="s">
        <v>191</v>
      </c>
      <c r="W106" t="s">
        <v>192</v>
      </c>
      <c r="X106" t="s">
        <v>191</v>
      </c>
      <c r="Y106" t="s">
        <v>207</v>
      </c>
      <c r="Z106">
        <v>41500000</v>
      </c>
      <c r="AA106">
        <v>890</v>
      </c>
    </row>
  </sheetData>
  <autoFilter ref="A1:AA106" xr:uid="{00000000-0009-0000-0000-000002000000}">
    <filterColumn colId="1">
      <filters>
        <filter val="202502"/>
        <filter val="202503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Forecast Source Data</vt:lpstr>
      <vt:lpstr>Transactions Source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Ali, Michael</dc:creator>
  <cp:lastModifiedBy>Hovey, Owen (Contractor)</cp:lastModifiedBy>
  <dcterms:created xsi:type="dcterms:W3CDTF">2024-04-15T21:07:03Z</dcterms:created>
  <dcterms:modified xsi:type="dcterms:W3CDTF">2026-01-29T20:18:01Z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91b42f-c435-42ca-9531-75a3f42aae3d_Enabled">
    <vt:lpwstr>true</vt:lpwstr>
  </property>
  <property fmtid="{D5CDD505-2E9C-101B-9397-08002B2CF9AE}" pid="3" name="MSIP_Label_4791b42f-c435-42ca-9531-75a3f42aae3d_SetDate">
    <vt:lpwstr>2024-04-15T21:09:09Z</vt:lpwstr>
  </property>
  <property fmtid="{D5CDD505-2E9C-101B-9397-08002B2CF9AE}" pid="4" name="MSIP_Label_4791b42f-c435-42ca-9531-75a3f42aae3d_Method">
    <vt:lpwstr>Privileged</vt:lpwstr>
  </property>
  <property fmtid="{D5CDD505-2E9C-101B-9397-08002B2CF9AE}" pid="5" name="MSIP_Label_4791b42f-c435-42ca-9531-75a3f42aae3d_Name">
    <vt:lpwstr>4791b42f-c435-42ca-9531-75a3f42aae3d</vt:lpwstr>
  </property>
  <property fmtid="{D5CDD505-2E9C-101B-9397-08002B2CF9AE}" pid="6" name="MSIP_Label_4791b42f-c435-42ca-9531-75a3f42aae3d_SiteId">
    <vt:lpwstr>7a916015-20ae-4ad1-9170-eefd915e9272</vt:lpwstr>
  </property>
  <property fmtid="{D5CDD505-2E9C-101B-9397-08002B2CF9AE}" pid="7" name="MSIP_Label_4791b42f-c435-42ca-9531-75a3f42aae3d_ActionId">
    <vt:lpwstr>a5adbada-ee90-4aa5-b622-c8c00884043c</vt:lpwstr>
  </property>
  <property fmtid="{D5CDD505-2E9C-101B-9397-08002B2CF9AE}" pid="8" name="MSIP_Label_4791b42f-c435-42ca-9531-75a3f42aae3d_ContentBits">
    <vt:lpwstr>0</vt:lpwstr>
  </property>
  <property fmtid="{D5CDD505-2E9C-101B-9397-08002B2CF9AE}" pid="9" name="ContentTypeId">
    <vt:lpwstr>0x0101002B3B1E9AF76D8540A21B723585178CF2</vt:lpwstr>
  </property>
</Properties>
</file>