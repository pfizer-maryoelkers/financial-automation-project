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fizer-my.sharepoint.com/personal/hoveyo_pfizer_com/Documents/financial-automation-project/data/"/>
    </mc:Choice>
  </mc:AlternateContent>
  <xr:revisionPtr revIDLastSave="9" documentId="8_{826C1D99-5CF9-4E98-93F1-39FDF849669D}" xr6:coauthVersionLast="47" xr6:coauthVersionMax="47" xr10:uidLastSave="{012F2193-910C-477E-BA3F-0E8E0A622A4B}"/>
  <bookViews>
    <workbookView xWindow="-120" yWindow="-120" windowWidth="23280" windowHeight="12480" tabRatio="590" xr2:uid="{0996C49B-04E6-42AE-AA83-2F64BE89A626}"/>
  </bookViews>
  <sheets>
    <sheet name="Template" sheetId="5" r:id="rId1"/>
  </sheets>
  <definedNames>
    <definedName name="_xlnm._FilterDatabase" localSheetId="0" hidden="1">Template!$A$14:$BY$14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5" l="1"/>
  <c r="BV15" i="5"/>
  <c r="BU16" i="5"/>
  <c r="BP16" i="5"/>
  <c r="BK16" i="5"/>
  <c r="BF16" i="5"/>
  <c r="BA16" i="5"/>
  <c r="AV15" i="5"/>
  <c r="AV16" i="5"/>
  <c r="AQ16" i="5"/>
  <c r="AQ15" i="5"/>
  <c r="AL16" i="5"/>
  <c r="AL15" i="5"/>
  <c r="AG16" i="5"/>
  <c r="AG15" i="5"/>
  <c r="R16" i="5"/>
  <c r="R15" i="5"/>
  <c r="G3" i="5"/>
  <c r="R17" i="5" l="1"/>
  <c r="AH11" i="5" a="1"/>
  <c r="AH11" i="5" s="1"/>
  <c r="AC11" i="5" a="1"/>
  <c r="AC11" i="5" s="1"/>
  <c r="X11" i="5" a="1"/>
  <c r="X11" i="5" s="1"/>
  <c r="N11" i="5" a="1"/>
  <c r="N11" i="5" s="1"/>
  <c r="BU17" i="5"/>
  <c r="BP17" i="5"/>
  <c r="BK17" i="5"/>
  <c r="BF17" i="5"/>
  <c r="BA17" i="5"/>
  <c r="AV17" i="5"/>
  <c r="AQ17" i="5"/>
  <c r="AL17" i="5"/>
  <c r="AG17" i="5"/>
  <c r="BV16" i="5"/>
  <c r="AB16" i="5"/>
  <c r="W16" i="5"/>
  <c r="BU15" i="5"/>
  <c r="BP15" i="5"/>
  <c r="BK15" i="5"/>
  <c r="BF15" i="5"/>
  <c r="BA15" i="5"/>
  <c r="W15" i="5"/>
  <c r="S12" i="5" l="1" a="1"/>
  <c r="S12" i="5" s="1"/>
  <c r="S11" i="5" a="1"/>
  <c r="S11" i="5" s="1"/>
  <c r="N12" i="5" a="1"/>
  <c r="N12" i="5" s="1"/>
  <c r="AH12" i="5" a="1"/>
  <c r="AH12" i="5" s="1"/>
  <c r="AC12" i="5" a="1"/>
  <c r="AC12" i="5" s="1"/>
  <c r="AB15" i="5"/>
  <c r="BV17" i="5"/>
  <c r="X12" i="5" l="1" a="1"/>
  <c r="X12" i="5" s="1"/>
  <c r="BV13" i="5"/>
  <c r="BW11" i="5" l="1"/>
  <c r="AR12" i="5" l="1" a="1"/>
  <c r="AR12" i="5" s="1"/>
  <c r="AR11" i="5" a="1"/>
  <c r="AR11" i="5" s="1"/>
  <c r="BB12" i="5" a="1"/>
  <c r="BB12" i="5" s="1"/>
  <c r="BB11" i="5" a="1"/>
  <c r="BB11" i="5" s="1"/>
  <c r="AW12" i="5" a="1"/>
  <c r="AW12" i="5" s="1"/>
  <c r="AW11" i="5" a="1"/>
  <c r="AW11" i="5" s="1"/>
  <c r="BG12" i="5" a="1"/>
  <c r="BG12" i="5" s="1"/>
  <c r="BG11" i="5" a="1"/>
  <c r="BG11" i="5" s="1"/>
  <c r="AM12" i="5" a="1"/>
  <c r="AM12" i="5" s="1"/>
  <c r="AM11" i="5" a="1"/>
  <c r="AM11" i="5" s="1"/>
  <c r="BQ12" i="5" a="1"/>
  <c r="BQ12" i="5" s="1"/>
  <c r="BQ11" i="5" a="1"/>
  <c r="BQ11" i="5" s="1"/>
  <c r="BL12" i="5" a="1"/>
  <c r="BL12" i="5" s="1"/>
  <c r="BL11" i="5" a="1"/>
  <c r="BL11" i="5" s="1"/>
  <c r="E6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<sst xmlns="http://schemas.openxmlformats.org/spreadsheetml/2006/main" count="112" uniqueCount="98">
  <si>
    <t xml:space="preserve">Overall Capital </t>
  </si>
  <si>
    <t>N/A</t>
  </si>
  <si>
    <t>Overall Expense</t>
  </si>
  <si>
    <t>WBS code</t>
  </si>
  <si>
    <t xml:space="preserve">P3 ID </t>
  </si>
  <si>
    <t>[Put P3 ID here]</t>
  </si>
  <si>
    <t>Type of Spend</t>
  </si>
  <si>
    <t>Cost Center</t>
  </si>
  <si>
    <t>Open Query</t>
  </si>
  <si>
    <t>2321511/1400</t>
  </si>
  <si>
    <t>Leslie</t>
  </si>
  <si>
    <t>Contingency:</t>
  </si>
  <si>
    <t>2340691/1400</t>
  </si>
  <si>
    <t>Planful Actuals</t>
  </si>
  <si>
    <t>Total:</t>
  </si>
  <si>
    <t>2329948/1400</t>
  </si>
  <si>
    <t>PO TOTAL</t>
  </si>
  <si>
    <t xml:space="preserve">Forecast Spreadsheet Actuals: </t>
  </si>
  <si>
    <t>EXPENSE</t>
  </si>
  <si>
    <t xml:space="preserve">Month: </t>
  </si>
  <si>
    <t>January</t>
  </si>
  <si>
    <t>2/29/2026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</si>
  <si>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</si>
  <si>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</si>
  <si>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</si>
  <si>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</si>
  <si>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</si>
  <si>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</si>
  <si>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</si>
  <si>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</si>
  <si>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</si>
  <si>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</si>
  <si>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Contact for PO/ER</t>
  </si>
  <si>
    <t>PO Number/
ER Number</t>
  </si>
  <si>
    <t>PO Start Date</t>
  </si>
  <si>
    <t>PO end date</t>
  </si>
  <si>
    <t>Vendor Name</t>
  </si>
  <si>
    <t>WBS</t>
  </si>
  <si>
    <t>G/L Account</t>
  </si>
  <si>
    <t>LE</t>
  </si>
  <si>
    <t>Country</t>
  </si>
  <si>
    <t>Gross PO Value  (USD)</t>
  </si>
  <si>
    <t>Requisition 
Title</t>
  </si>
  <si>
    <t>PO Status</t>
  </si>
  <si>
    <t>Accrual Reversal Dec</t>
  </si>
  <si>
    <t>Forecast Jan</t>
  </si>
  <si>
    <t>Accrual Jan</t>
  </si>
  <si>
    <t>Actual   Jan</t>
  </si>
  <si>
    <t>Variance (Actuals/Accruals</t>
  </si>
  <si>
    <t>Accrual Reversal Jan</t>
  </si>
  <si>
    <t>Forecast Feb</t>
  </si>
  <si>
    <t>Accrual Feb</t>
  </si>
  <si>
    <t>Actual   Feb</t>
  </si>
  <si>
    <t>Accrual Reversal Feb</t>
  </si>
  <si>
    <t>Forecast March</t>
  </si>
  <si>
    <t>Accrual March</t>
  </si>
  <si>
    <t>Actual March</t>
  </si>
  <si>
    <t>Accrual Reversal Mar</t>
  </si>
  <si>
    <t>Forecast April</t>
  </si>
  <si>
    <t>Accrual April</t>
  </si>
  <si>
    <t>Actual April</t>
  </si>
  <si>
    <t>Accrual Reversal Apr</t>
  </si>
  <si>
    <t>Forecast May</t>
  </si>
  <si>
    <t>Accrual May</t>
  </si>
  <si>
    <t>Actual May</t>
  </si>
  <si>
    <t>Accrual Reversal May</t>
  </si>
  <si>
    <t>Forecast June</t>
  </si>
  <si>
    <t>Accrual   June</t>
  </si>
  <si>
    <t>Actual June</t>
  </si>
  <si>
    <t>Accrual Reversal Jun</t>
  </si>
  <si>
    <t>Forecast July</t>
  </si>
  <si>
    <t>Accrual July</t>
  </si>
  <si>
    <t>Actual  July</t>
  </si>
  <si>
    <t>Accrual Reversal Jul</t>
  </si>
  <si>
    <t>Forecast Aug</t>
  </si>
  <si>
    <t>Accrual Aug</t>
  </si>
  <si>
    <t>Actual Aug</t>
  </si>
  <si>
    <t>Accrual Reversal Aug</t>
  </si>
  <si>
    <t>Forecast Sept</t>
  </si>
  <si>
    <t>Accrual Sept</t>
  </si>
  <si>
    <t>Actual Sept</t>
  </si>
  <si>
    <t>Accrual Reversal Sep</t>
  </si>
  <si>
    <t>Forecast Oct</t>
  </si>
  <si>
    <t>Accrual Oct</t>
  </si>
  <si>
    <t xml:space="preserve">Actual Oct  </t>
  </si>
  <si>
    <t>Accrual Reversal Oct</t>
  </si>
  <si>
    <t>Forecast Nov</t>
  </si>
  <si>
    <t>Accrual Nov</t>
  </si>
  <si>
    <t>Actual Nov</t>
  </si>
  <si>
    <t>Accrual Reversal Nov</t>
  </si>
  <si>
    <t>Forecast Dec</t>
  </si>
  <si>
    <t xml:space="preserve">Accrual Dec </t>
  </si>
  <si>
    <t>Actual Dec</t>
  </si>
  <si>
    <t>Total 2026</t>
  </si>
  <si>
    <r>
      <t>CPA Budget &lt;</t>
    </r>
    <r>
      <rPr>
        <b/>
        <sz val="11"/>
        <color rgb="FFFF0000"/>
        <rFont val="Calibri"/>
        <family val="2"/>
        <scheme val="minor"/>
      </rPr>
      <t>YEAR</t>
    </r>
    <r>
      <rPr>
        <b/>
        <sz val="11"/>
        <color indexed="8"/>
        <rFont val="Calibri"/>
        <family val="2"/>
        <scheme val="minor"/>
      </rPr>
      <t>&gt;</t>
    </r>
  </si>
  <si>
    <t>Comments</t>
  </si>
  <si>
    <t>Previous Period Invoices</t>
  </si>
  <si>
    <t>EXPENSE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</si>
</sst>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$&quot;#,##0"/>
    <numFmt numFmtId="165" formatCode="[$-409]dd\-mmm\-yy;@"/>
    <numFmt numFmtId="166" formatCode="mmmm\-yyyy"/>
    <numFmt numFmtId="167" formatCode="&quot;$&quot;#,##0.00"/>
    <numFmt numFmtId="168" formatCode="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4F4D4A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4F4D4A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8" fillId="0" borderId="0"/>
  </cellStyleXfs>
  <cellXfs count="113">
    <xf numFmtId="0" fontId="0" fillId="0" borderId="0" xfId="0"/>
    <xf numFmtId="2" fontId="0" fillId="0" borderId="0" xfId="0" applyNumberFormat="1"/>
    <xf numFmtId="14" fontId="0" fillId="0" borderId="0" xfId="0" applyNumberFormat="1"/>
    <xf numFmtId="3" fontId="0" fillId="0" borderId="0" xfId="0" applyNumberFormat="1"/>
    <xf numFmtId="0" fontId="0" fillId="4" borderId="0" xfId="0" applyFill="1"/>
    <xf numFmtId="3" fontId="0" fillId="3" borderId="0" xfId="0" applyNumberFormat="1" applyFill="1" applyAlignment="1">
      <alignment horizontal="left"/>
    </xf>
    <xf numFmtId="0" fontId="3" fillId="0" borderId="0" xfId="0" applyFont="1"/>
    <xf numFmtId="3" fontId="7" fillId="4" borderId="0" xfId="0" applyNumberFormat="1" applyFont="1" applyFill="1" applyAlignment="1">
      <alignment horizontal="left"/>
    </xf>
    <xf numFmtId="3" fontId="7" fillId="0" borderId="0" xfId="0" applyNumberFormat="1" applyFont="1"/>
    <xf numFmtId="3" fontId="0" fillId="0" borderId="3" xfId="0" applyNumberFormat="1" applyBorder="1"/>
    <xf numFmtId="3" fontId="0" fillId="0" borderId="8" xfId="0" applyNumberFormat="1" applyBorder="1"/>
    <xf numFmtId="3" fontId="0" fillId="0" borderId="7" xfId="0" applyNumberFormat="1" applyBorder="1"/>
    <xf numFmtId="3" fontId="0" fillId="0" borderId="9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0" fontId="0" fillId="3" borderId="0" xfId="0" applyFill="1"/>
    <xf numFmtId="3" fontId="0" fillId="2" borderId="10" xfId="0" applyNumberFormat="1" applyFill="1" applyBorder="1"/>
    <xf numFmtId="4" fontId="12" fillId="0" borderId="0" xfId="0" applyNumberFormat="1" applyFont="1" applyAlignment="1">
      <alignment horizontal="center"/>
    </xf>
    <xf numFmtId="4" fontId="12" fillId="0" borderId="0" xfId="0" applyNumberFormat="1" applyFont="1"/>
    <xf numFmtId="3" fontId="6" fillId="0" borderId="0" xfId="0" applyNumberFormat="1" applyFont="1" applyAlignment="1">
      <alignment horizontal="center"/>
    </xf>
    <xf numFmtId="0" fontId="0" fillId="2" borderId="14" xfId="0" applyFill="1" applyBorder="1"/>
    <xf numFmtId="0" fontId="0" fillId="2" borderId="15" xfId="0" applyFill="1" applyBorder="1"/>
    <xf numFmtId="0" fontId="5" fillId="2" borderId="16" xfId="0" applyFont="1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164" fontId="0" fillId="2" borderId="19" xfId="0" applyNumberFormat="1" applyFill="1" applyBorder="1" applyAlignment="1">
      <alignment horizontal="right"/>
    </xf>
    <xf numFmtId="164" fontId="3" fillId="2" borderId="19" xfId="0" applyNumberFormat="1" applyFont="1" applyFill="1" applyBorder="1" applyAlignment="1">
      <alignment horizontal="center"/>
    </xf>
    <xf numFmtId="0" fontId="0" fillId="2" borderId="19" xfId="0" applyFill="1" applyBorder="1"/>
    <xf numFmtId="0" fontId="0" fillId="2" borderId="20" xfId="0" applyFill="1" applyBorder="1"/>
    <xf numFmtId="0" fontId="13" fillId="0" borderId="24" xfId="0" applyFont="1" applyBorder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0" fontId="13" fillId="0" borderId="23" xfId="0" applyFont="1" applyBorder="1" applyAlignment="1">
      <alignment horizontal="left"/>
    </xf>
    <xf numFmtId="168" fontId="13" fillId="0" borderId="23" xfId="0" applyNumberFormat="1" applyFont="1" applyBorder="1" applyAlignment="1">
      <alignment horizontal="left" vertical="center"/>
    </xf>
    <xf numFmtId="168" fontId="13" fillId="0" borderId="25" xfId="0" applyNumberFormat="1" applyFont="1" applyBorder="1" applyAlignment="1">
      <alignment horizontal="left" vertical="center"/>
    </xf>
    <xf numFmtId="0" fontId="0" fillId="0" borderId="0" xfId="0" applyAlignment="1">
      <alignment horizontal="right"/>
    </xf>
    <xf numFmtId="0" fontId="0" fillId="2" borderId="15" xfId="0" applyFill="1" applyBorder="1" applyAlignment="1">
      <alignment horizontal="right"/>
    </xf>
    <xf numFmtId="0" fontId="4" fillId="2" borderId="0" xfId="1" applyFill="1" applyBorder="1" applyAlignment="1">
      <alignment horizontal="right"/>
    </xf>
    <xf numFmtId="14" fontId="0" fillId="0" borderId="13" xfId="0" applyNumberFormat="1" applyBorder="1"/>
    <xf numFmtId="167" fontId="0" fillId="0" borderId="13" xfId="0" applyNumberFormat="1" applyBorder="1" applyAlignment="1">
      <alignment horizontal="left"/>
    </xf>
    <xf numFmtId="0" fontId="0" fillId="0" borderId="27" xfId="0" applyBorder="1"/>
    <xf numFmtId="0" fontId="0" fillId="0" borderId="27" xfId="0" applyBorder="1" applyAlignment="1">
      <alignment horizontal="right"/>
    </xf>
    <xf numFmtId="14" fontId="0" fillId="0" borderId="27" xfId="0" applyNumberFormat="1" applyBorder="1"/>
    <xf numFmtId="167" fontId="0" fillId="0" borderId="27" xfId="0" applyNumberFormat="1" applyBorder="1" applyAlignment="1">
      <alignment horizontal="left"/>
    </xf>
    <xf numFmtId="0" fontId="0" fillId="0" borderId="13" xfId="0" applyBorder="1" applyAlignment="1">
      <alignment horizontal="right"/>
    </xf>
    <xf numFmtId="0" fontId="0" fillId="0" borderId="13" xfId="0" applyBorder="1"/>
    <xf numFmtId="0" fontId="0" fillId="2" borderId="28" xfId="0" applyFill="1" applyBorder="1"/>
    <xf numFmtId="0" fontId="0" fillId="2" borderId="0" xfId="0" applyFill="1" applyAlignment="1">
      <alignment horizontal="right" wrapText="1"/>
    </xf>
    <xf numFmtId="4" fontId="6" fillId="2" borderId="0" xfId="0" applyNumberFormat="1" applyFont="1" applyFill="1"/>
    <xf numFmtId="0" fontId="5" fillId="2" borderId="0" xfId="0" applyFont="1" applyFill="1"/>
    <xf numFmtId="3" fontId="2" fillId="2" borderId="17" xfId="0" applyNumberFormat="1" applyFont="1" applyFill="1" applyBorder="1"/>
    <xf numFmtId="0" fontId="0" fillId="2" borderId="0" xfId="0" applyFill="1" applyAlignment="1">
      <alignment horizontal="right"/>
    </xf>
    <xf numFmtId="0" fontId="0" fillId="2" borderId="0" xfId="0" applyFill="1"/>
    <xf numFmtId="3" fontId="0" fillId="2" borderId="17" xfId="0" applyNumberFormat="1" applyFill="1" applyBorder="1"/>
    <xf numFmtId="4" fontId="6" fillId="2" borderId="0" xfId="0" applyNumberFormat="1" applyFont="1" applyFill="1" applyAlignment="1">
      <alignment horizontal="right"/>
    </xf>
    <xf numFmtId="0" fontId="3" fillId="2" borderId="0" xfId="0" applyFont="1" applyFill="1"/>
    <xf numFmtId="167" fontId="0" fillId="0" borderId="0" xfId="0" applyNumberFormat="1" applyAlignment="1">
      <alignment horizontal="left"/>
    </xf>
    <xf numFmtId="167" fontId="3" fillId="0" borderId="0" xfId="0" applyNumberFormat="1" applyFont="1" applyAlignment="1">
      <alignment horizontal="left"/>
    </xf>
    <xf numFmtId="167" fontId="12" fillId="0" borderId="0" xfId="0" applyNumberFormat="1" applyFont="1" applyAlignment="1">
      <alignment horizontal="left"/>
    </xf>
    <xf numFmtId="167" fontId="6" fillId="0" borderId="0" xfId="0" applyNumberFormat="1" applyFont="1" applyAlignment="1">
      <alignment horizontal="left"/>
    </xf>
    <xf numFmtId="0" fontId="3" fillId="6" borderId="29" xfId="0" applyFont="1" applyFill="1" applyBorder="1"/>
    <xf numFmtId="3" fontId="2" fillId="2" borderId="0" xfId="0" applyNumberFormat="1" applyFont="1" applyFill="1"/>
    <xf numFmtId="3" fontId="0" fillId="2" borderId="0" xfId="0" applyNumberFormat="1" applyFill="1"/>
    <xf numFmtId="0" fontId="9" fillId="2" borderId="31" xfId="3" applyFont="1" applyFill="1" applyBorder="1" applyAlignment="1">
      <alignment wrapText="1"/>
    </xf>
    <xf numFmtId="0" fontId="0" fillId="0" borderId="23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3" borderId="35" xfId="0" applyFill="1" applyBorder="1"/>
    <xf numFmtId="0" fontId="0" fillId="3" borderId="36" xfId="0" applyFill="1" applyBorder="1" applyAlignment="1">
      <alignment horizontal="right"/>
    </xf>
    <xf numFmtId="14" fontId="0" fillId="3" borderId="36" xfId="0" applyNumberFormat="1" applyFill="1" applyBorder="1"/>
    <xf numFmtId="0" fontId="0" fillId="3" borderId="36" xfId="0" applyFill="1" applyBorder="1"/>
    <xf numFmtId="167" fontId="0" fillId="3" borderId="36" xfId="0" applyNumberFormat="1" applyFill="1" applyBorder="1" applyAlignment="1">
      <alignment horizontal="left"/>
    </xf>
    <xf numFmtId="0" fontId="0" fillId="3" borderId="37" xfId="0" applyFill="1" applyBorder="1"/>
    <xf numFmtId="3" fontId="0" fillId="0" borderId="10" xfId="0" applyNumberFormat="1" applyBorder="1"/>
    <xf numFmtId="164" fontId="9" fillId="2" borderId="38" xfId="3" applyNumberFormat="1" applyFont="1" applyFill="1" applyBorder="1" applyAlignment="1">
      <alignment horizontal="center" wrapText="1"/>
    </xf>
    <xf numFmtId="164" fontId="9" fillId="2" borderId="39" xfId="3" applyNumberFormat="1" applyFont="1" applyFill="1" applyBorder="1" applyAlignment="1">
      <alignment horizontal="center" wrapText="1"/>
    </xf>
    <xf numFmtId="164" fontId="9" fillId="2" borderId="15" xfId="3" applyNumberFormat="1" applyFont="1" applyFill="1" applyBorder="1" applyAlignment="1">
      <alignment horizontal="center" wrapText="1"/>
    </xf>
    <xf numFmtId="164" fontId="9" fillId="2" borderId="40" xfId="3" applyNumberFormat="1" applyFont="1" applyFill="1" applyBorder="1" applyAlignment="1">
      <alignment horizontal="center" wrapText="1"/>
    </xf>
    <xf numFmtId="164" fontId="9" fillId="2" borderId="41" xfId="3" applyNumberFormat="1" applyFont="1" applyFill="1" applyBorder="1" applyAlignment="1">
      <alignment horizontal="center" wrapText="1"/>
    </xf>
    <xf numFmtId="164" fontId="9" fillId="2" borderId="42" xfId="3" applyNumberFormat="1" applyFont="1" applyFill="1" applyBorder="1" applyAlignment="1">
      <alignment horizontal="center" wrapText="1"/>
    </xf>
    <xf numFmtId="164" fontId="9" fillId="2" borderId="43" xfId="3" applyNumberFormat="1" applyFont="1" applyFill="1" applyBorder="1" applyAlignment="1">
      <alignment horizontal="center" wrapText="1"/>
    </xf>
    <xf numFmtId="164" fontId="9" fillId="2" borderId="30" xfId="3" applyNumberFormat="1" applyFont="1" applyFill="1" applyBorder="1" applyAlignment="1">
      <alignment horizontal="center" wrapText="1"/>
    </xf>
    <xf numFmtId="3" fontId="0" fillId="3" borderId="44" xfId="0" applyNumberFormat="1" applyFill="1" applyBorder="1"/>
    <xf numFmtId="3" fontId="0" fillId="3" borderId="36" xfId="0" applyNumberFormat="1" applyFill="1" applyBorder="1"/>
    <xf numFmtId="3" fontId="0" fillId="3" borderId="45" xfId="0" applyNumberFormat="1" applyFill="1" applyBorder="1"/>
    <xf numFmtId="3" fontId="0" fillId="3" borderId="46" xfId="0" applyNumberFormat="1" applyFill="1" applyBorder="1"/>
    <xf numFmtId="3" fontId="0" fillId="3" borderId="47" xfId="0" applyNumberFormat="1" applyFill="1" applyBorder="1"/>
    <xf numFmtId="3" fontId="0" fillId="3" borderId="48" xfId="0" applyNumberFormat="1" applyFill="1" applyBorder="1"/>
    <xf numFmtId="0" fontId="0" fillId="0" borderId="51" xfId="0" applyBorder="1"/>
    <xf numFmtId="0" fontId="0" fillId="0" borderId="52" xfId="0" applyBorder="1"/>
    <xf numFmtId="0" fontId="9" fillId="2" borderId="53" xfId="3" applyFont="1" applyFill="1" applyBorder="1" applyAlignment="1">
      <alignment horizontal="left" wrapText="1"/>
    </xf>
    <xf numFmtId="1" fontId="10" fillId="2" borderId="54" xfId="3" applyNumberFormat="1" applyFont="1" applyFill="1" applyBorder="1" applyAlignment="1">
      <alignment horizontal="right" wrapText="1"/>
    </xf>
    <xf numFmtId="1" fontId="10" fillId="2" borderId="54" xfId="3" applyNumberFormat="1" applyFont="1" applyFill="1" applyBorder="1" applyAlignment="1">
      <alignment horizontal="center" wrapText="1"/>
    </xf>
    <xf numFmtId="165" fontId="10" fillId="2" borderId="54" xfId="3" applyNumberFormat="1" applyFont="1" applyFill="1" applyBorder="1" applyAlignment="1">
      <alignment horizontal="center" wrapText="1"/>
    </xf>
    <xf numFmtId="0" fontId="10" fillId="2" borderId="54" xfId="3" applyFont="1" applyFill="1" applyBorder="1" applyAlignment="1">
      <alignment horizontal="center" wrapText="1"/>
    </xf>
    <xf numFmtId="167" fontId="9" fillId="2" borderId="54" xfId="3" applyNumberFormat="1" applyFont="1" applyFill="1" applyBorder="1" applyAlignment="1">
      <alignment horizontal="left" wrapText="1"/>
    </xf>
    <xf numFmtId="0" fontId="3" fillId="2" borderId="55" xfId="0" applyFont="1" applyFill="1" applyBorder="1" applyAlignment="1">
      <alignment wrapText="1"/>
    </xf>
    <xf numFmtId="0" fontId="9" fillId="2" borderId="56" xfId="3" applyFont="1" applyFill="1" applyBorder="1" applyAlignment="1">
      <alignment wrapText="1"/>
    </xf>
    <xf numFmtId="167" fontId="3" fillId="6" borderId="57" xfId="0" applyNumberFormat="1" applyFont="1" applyFill="1" applyBorder="1" applyAlignment="1">
      <alignment horizontal="left"/>
    </xf>
    <xf numFmtId="4" fontId="6" fillId="7" borderId="0" xfId="0" applyNumberFormat="1" applyFont="1" applyFill="1"/>
    <xf numFmtId="3" fontId="3" fillId="2" borderId="4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66" fontId="3" fillId="2" borderId="49" xfId="0" applyNumberFormat="1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/>
    </xf>
    <xf numFmtId="166" fontId="3" fillId="2" borderId="50" xfId="0" applyNumberFormat="1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7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</cellXfs>
  <cellStyles count="4">
    <cellStyle name="Currency 2" xfId="2" xr:uid="{C819F491-96B6-415F-B3EE-ED5A59A1E95E}"/>
    <cellStyle name="Hyperlink 2" xfId="1" xr:uid="{CC325EF1-D419-4C9C-9B2E-E53FF65CE885}"/>
    <cellStyle name="Normal" xfId="0" builtinId="0"/>
    <cellStyle name="Normal 2 2" xfId="3" xr:uid="{EFDA3BDD-7E2C-4F3B-BEB7-091BB23895D4}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1DEB-197D-49C6-A2E3-152C1AC7B373}">
  <dimension ref="A1:EI18"/>
  <sheetViews>
    <sheetView showGridLines="0" tabSelected="1" zoomScaleNormal="100" workbookViewId="0">
      <selection activeCell="J27" sqref="J27"/>
    </sheetView>
  </sheetViews>
  <sheetFormatPr defaultRowHeight="15" x14ac:dyDescent="0.25"/>
  <cols>
    <col min="1" max="1" width="22.7109375" bestFit="1" customWidth="1"/>
    <col min="2" max="2" width="14.7109375" style="35" bestFit="1" customWidth="1"/>
    <col min="3" max="3" width="12.28515625" customWidth="1"/>
    <col min="4" max="4" width="11.5703125" customWidth="1"/>
    <col min="5" max="5" width="14.28515625" customWidth="1"/>
    <col min="6" max="6" width="19.5703125" bestFit="1" customWidth="1"/>
    <col min="7" max="10" width="10.85546875" customWidth="1"/>
    <col min="11" max="11" width="13.42578125" style="56" customWidth="1"/>
    <col min="12" max="12" width="37.140625" customWidth="1"/>
    <col min="13" max="13" width="12.42578125" customWidth="1"/>
    <col min="14" max="73" width="8.85546875" customWidth="1"/>
    <col min="74" max="74" width="10.85546875" customWidth="1"/>
    <col min="75" max="75" width="15.5703125" customWidth="1"/>
    <col min="76" max="76" width="16.7109375" customWidth="1"/>
  </cols>
  <sheetData>
    <row r="1" spans="1:77" ht="3.75" customHeight="1" thickBot="1" x14ac:dyDescent="0.3"/>
    <row r="2" spans="1:77" ht="15.75" hidden="1" thickBot="1" x14ac:dyDescent="0.3">
      <c r="A2" s="20"/>
      <c r="B2" s="36"/>
      <c r="C2" s="21"/>
      <c r="D2" s="21"/>
      <c r="E2" s="21"/>
      <c r="F2" s="21"/>
      <c r="G2" s="46"/>
      <c r="H2" s="52"/>
      <c r="I2" s="52"/>
      <c r="J2" s="52"/>
    </row>
    <row r="3" spans="1:77" ht="15.75" hidden="1" thickBot="1" x14ac:dyDescent="0.3">
      <c r="A3" s="22" t="s">
        <v>0</v>
      </c>
      <c r="B3" s="47"/>
      <c r="C3" s="48"/>
      <c r="D3" s="49" t="s">
        <v>1</v>
      </c>
      <c r="E3" s="49">
        <v>2026</v>
      </c>
      <c r="F3" s="49"/>
      <c r="G3" s="50">
        <f>C3</f>
        <v>0</v>
      </c>
      <c r="H3" s="61"/>
      <c r="I3" s="61"/>
      <c r="J3" s="61"/>
      <c r="S3" s="1"/>
      <c r="T3" s="1"/>
      <c r="U3" s="1"/>
    </row>
    <row r="4" spans="1:77" ht="15.75" hidden="1" thickBot="1" x14ac:dyDescent="0.3">
      <c r="A4" s="22" t="s">
        <v>2</v>
      </c>
      <c r="B4" s="51" t="s">
        <v>3</v>
      </c>
      <c r="C4" s="48">
        <v>0</v>
      </c>
      <c r="D4" s="49">
        <v>2321511</v>
      </c>
      <c r="E4" s="49">
        <v>2026</v>
      </c>
      <c r="F4" s="49"/>
      <c r="G4" s="50">
        <v>0</v>
      </c>
      <c r="H4" s="61"/>
      <c r="I4" s="61"/>
      <c r="J4" s="61"/>
    </row>
    <row r="5" spans="1:77" ht="15.75" hidden="1" thickBot="1" x14ac:dyDescent="0.3">
      <c r="A5" s="23" t="s">
        <v>4</v>
      </c>
      <c r="B5" s="37"/>
      <c r="C5" s="52"/>
      <c r="D5" s="52"/>
      <c r="E5" s="52"/>
      <c r="F5" s="52"/>
      <c r="G5" s="53"/>
      <c r="H5" s="62"/>
      <c r="I5" s="62"/>
      <c r="J5" s="62"/>
    </row>
    <row r="6" spans="1:77" ht="15.75" hidden="1" thickBot="1" x14ac:dyDescent="0.3">
      <c r="A6" s="23" t="s">
        <v>5</v>
      </c>
      <c r="B6" s="54" t="s">
        <v>6</v>
      </c>
      <c r="C6" s="52"/>
      <c r="D6" s="52"/>
      <c r="E6" s="55" t="str">
        <f>IF(SUMIFS(BV:BV,A:A,"Contingency")&gt;0,"Contingency is "&amp;TEXT(SUMIFS(BV:BV,A:A,"Contingency"),"$#,##"),IF(SUMIFS(BV:BV,A:A,"Contingency")&lt;0,"Overspent by "&amp;TEXT(SUMIFS(BV:BV,A:A,"Contingency"),"$#,##"),"No contingency"))</f>
        <v>No contingency</v>
      </c>
      <c r="F6" s="55"/>
      <c r="G6" s="24"/>
      <c r="H6" s="52"/>
      <c r="I6" s="52"/>
      <c r="J6" s="52"/>
      <c r="K6" s="57"/>
      <c r="L6" s="6"/>
    </row>
    <row r="7" spans="1:77" ht="15.75" hidden="1" thickBot="1" x14ac:dyDescent="0.3">
      <c r="A7" s="25"/>
      <c r="B7" s="26"/>
      <c r="C7" s="27"/>
      <c r="D7" s="27"/>
      <c r="E7" s="28"/>
      <c r="F7" s="28"/>
      <c r="G7" s="29"/>
      <c r="H7" s="52"/>
      <c r="I7" s="52"/>
      <c r="J7" s="52"/>
      <c r="S7" s="2"/>
      <c r="T7" s="2"/>
      <c r="U7" s="2"/>
    </row>
    <row r="8" spans="1:77" ht="15.75" hidden="1" thickBot="1" x14ac:dyDescent="0.3"/>
    <row r="9" spans="1:77" x14ac:dyDescent="0.25">
      <c r="A9" s="107" t="s">
        <v>7</v>
      </c>
      <c r="B9" s="108"/>
      <c r="D9" s="100" t="s">
        <v>8</v>
      </c>
      <c r="E9" s="17"/>
      <c r="F9" s="17"/>
      <c r="G9" s="17"/>
      <c r="H9" s="17"/>
      <c r="I9" s="17"/>
      <c r="J9" s="17"/>
      <c r="K9" s="58"/>
    </row>
    <row r="10" spans="1:77" ht="15.75" thickBot="1" x14ac:dyDescent="0.3">
      <c r="A10" s="32" t="s">
        <v>9</v>
      </c>
      <c r="B10" s="30" t="s">
        <v>10</v>
      </c>
      <c r="D10" s="18"/>
      <c r="E10" s="19"/>
      <c r="F10" s="19"/>
      <c r="G10" s="19"/>
      <c r="H10" s="19"/>
      <c r="I10" s="19"/>
      <c r="J10" s="19"/>
      <c r="K10" s="59"/>
      <c r="BW10" s="15" t="s">
        <v>11</v>
      </c>
    </row>
    <row r="11" spans="1:77" ht="16.5" thickBot="1" x14ac:dyDescent="0.3">
      <c r="A11" s="33" t="s">
        <v>12</v>
      </c>
      <c r="B11" s="30" t="s">
        <v>10</v>
      </c>
      <c r="D11" s="18"/>
      <c r="E11" s="19"/>
      <c r="F11" s="19"/>
      <c r="G11" s="19"/>
      <c r="H11" s="19"/>
      <c r="I11" s="19"/>
      <c r="J11" s="19"/>
      <c r="K11" s="59"/>
      <c r="L11" s="109" t="s">
        <v>13</v>
      </c>
      <c r="M11" s="110"/>
      <c r="N11" s="101" cm="1">
        <f t="array" ref="N11">SUM(Q15:Q17)+SUM(_xlfn._xlws.FILTER(P15:P17,Q15:Q17=""))+SUM(_xlfn._xlws.FILTER(O15:O17,(P15:P17="")*(Q15:Q17="")))+SUMIFS(R15:R17,Q15:Q17,"&lt;&gt;"&amp;"",$P$15:$P$17,"&lt;&gt;"&amp;"")+SUM(N15:N17)</f>
        <v>0</v>
      </c>
      <c r="O11" s="102"/>
      <c r="P11" s="102"/>
      <c r="Q11" s="102"/>
      <c r="R11" s="103"/>
      <c r="S11" s="101" cm="1">
        <f t="array" ref="S11">SUM(V15:V17)+SUM(_xlfn._xlws.FILTER(U15:U17,V15:V17=""))+SUM(_xlfn._xlws.FILTER(T15:T17,(U15:U17="")*(V15:V17="")))+SUMIFS(W15:W17,V15:V17,"&lt;&gt;"&amp;"",$P$15:$P$17,"&lt;&gt;"&amp;"")+SUM(S15:S17)</f>
        <v>0</v>
      </c>
      <c r="T11" s="102"/>
      <c r="U11" s="102"/>
      <c r="V11" s="102"/>
      <c r="W11" s="103"/>
      <c r="X11" s="101" cm="1">
        <f t="array" ref="X11">SUM(AA15:AA17)+SUM(_xlfn._xlws.FILTER(Z15:Z17,AA15:AA17=""))+SUM(_xlfn._xlws.FILTER(Y15:Y17,(Z15:Z17="")*(AA15:AA17="")))+SUMIFS(AB15:AB17,AA15:AA17,"&lt;&gt;"&amp;"",$P$15:$P$17,"&lt;&gt;"&amp;"")+SUM(X15:X17)</f>
        <v>0</v>
      </c>
      <c r="Y11" s="102"/>
      <c r="Z11" s="102"/>
      <c r="AA11" s="102"/>
      <c r="AB11" s="103"/>
      <c r="AC11" s="101" cm="1">
        <f t="array" ref="AC11">SUM(AF15:AF17)+SUM(_xlfn._xlws.FILTER(AE15:AE17,AF15:AF17=""))+SUM(_xlfn._xlws.FILTER(AD15:AD17,(AE15:AE17="")*(AF15:AF17="")))+SUMIFS(AG15:AG17,AF15:AF17,"&lt;&gt;"&amp;"",$P$15:$P$17,"&lt;&gt;"&amp;"")+SUM(AC15:AC17)</f>
        <v>0</v>
      </c>
      <c r="AD11" s="102"/>
      <c r="AE11" s="102"/>
      <c r="AF11" s="102"/>
      <c r="AG11" s="103"/>
      <c r="AH11" s="101" cm="1">
        <f t="array" ref="AH11">SUM(AK15:AK17)+SUM(_xlfn._xlws.FILTER(AJ15:AJ17,AK15:AK17=""))+SUM(_xlfn._xlws.FILTER(AI15:AI17,(AJ15:AJ17="")*(AK15:AK17="")))+SUMIFS(AL15:AL17,AK15:AK17,"&lt;&gt;"&amp;"",$P$15:$P$17,"&lt;&gt;"&amp;"")+SUM(AH15:AH17)</f>
        <v>0</v>
      </c>
      <c r="AI11" s="102"/>
      <c r="AJ11" s="102"/>
      <c r="AK11" s="102"/>
      <c r="AL11" s="103"/>
      <c r="AM11" s="101" cm="1">
        <f t="array" ref="AM11">SUM(AP15:AP17)+SUM(_xlfn._xlws.FILTER(AO15:AO17,AP15:AP17=""))+SUM(_xlfn._xlws.FILTER(AN15:AN17,(AO15:AO17="")*(AP15:AP17="")))+SUMIFS(AQ15:AQ17,AP15:AP17,"&lt;&gt;"&amp;"",$P$15:$P$17,"&lt;&gt;"&amp;"")+SUM(AM15:AM17)</f>
        <v>0</v>
      </c>
      <c r="AN11" s="102"/>
      <c r="AO11" s="102"/>
      <c r="AP11" s="102"/>
      <c r="AQ11" s="103"/>
      <c r="AR11" s="101" cm="1">
        <f t="array" ref="AR11">SUM(AU15:AU17)+SUM(_xlfn._xlws.FILTER(AT15:AT17,AU15:AU17=""))+SUM(_xlfn._xlws.FILTER(AS15:AS17,(AT15:AT17="")*(AU15:AU17="")))+SUMIFS(AV15:AV17,AU15:AU17,"&lt;&gt;"&amp;"",$P$15:$P$17,"&lt;&gt;"&amp;"")+SUM(AR15:AR17)</f>
        <v>0</v>
      </c>
      <c r="AS11" s="102"/>
      <c r="AT11" s="102"/>
      <c r="AU11" s="102"/>
      <c r="AV11" s="103"/>
      <c r="AW11" s="101" cm="1">
        <f t="array" ref="AW11">SUM(AZ15:AZ17)+SUM(_xlfn._xlws.FILTER(AY15:AY17,AZ15:AZ17=""))+SUM(_xlfn._xlws.FILTER(AX15:AX17,(AY15:AY17="")*(AZ15:AZ17="")))+SUMIFS(BA15:BA17,AZ15:AZ17,"&lt;&gt;"&amp;"",$P$15:$P$17,"&lt;&gt;"&amp;"")+SUM(AW15:AW17)</f>
        <v>0</v>
      </c>
      <c r="AX11" s="102"/>
      <c r="AY11" s="102"/>
      <c r="AZ11" s="102"/>
      <c r="BA11" s="103"/>
      <c r="BB11" s="101" cm="1">
        <f t="array" ref="BB11">SUM(BE15:BE17)+SUM(_xlfn._xlws.FILTER(BD15:BD17,BE15:BE17=""))+SUM(_xlfn._xlws.FILTER(BC15:BC17,(BD15:BD17="")*(BE15:BE17="")))+SUMIFS(BF15:BF17,BE15:BE17,"&lt;&gt;"&amp;"",$P$15:$P$17,"&lt;&gt;"&amp;"")+SUM(BB15:BB17)</f>
        <v>0</v>
      </c>
      <c r="BC11" s="102"/>
      <c r="BD11" s="102"/>
      <c r="BE11" s="102"/>
      <c r="BF11" s="103"/>
      <c r="BG11" s="101" cm="1">
        <f t="array" ref="BG11">SUM(BJ15:BJ17)+SUM(_xlfn._xlws.FILTER(BI15:BI17,BJ15:BJ17=""))+SUM(_xlfn._xlws.FILTER(BH15:BH17,(BI15:BI17="")*(BJ15:BJ17="")))+SUMIFS(BK15:BK17,BJ15:BJ17,"&lt;&gt;"&amp;"",$P$15:$P$17,"&lt;&gt;"&amp;"")+SUM(BG15:BG17)</f>
        <v>0</v>
      </c>
      <c r="BH11" s="102"/>
      <c r="BI11" s="102"/>
      <c r="BJ11" s="102"/>
      <c r="BK11" s="103"/>
      <c r="BL11" s="101" cm="1">
        <f t="array" ref="BL11">SUM(BO15:BO17)+SUM(_xlfn._xlws.FILTER(BN15:BN17,BO15:BO17=""))+SUM(_xlfn._xlws.FILTER(BM15:BM17,(BN15:BN17="")*(BO15:BO17="")))+SUMIFS(BP15:BP17,BO15:BO17,"&lt;&gt;"&amp;"",$P$15:$P$17,"&lt;&gt;"&amp;"")+SUM(BL15:BL17)</f>
        <v>0</v>
      </c>
      <c r="BM11" s="102"/>
      <c r="BN11" s="102"/>
      <c r="BO11" s="102"/>
      <c r="BP11" s="103"/>
      <c r="BQ11" s="101" cm="1">
        <f t="array" ref="BQ11">SUM(BT15:BT17)+SUM(_xlfn._xlws.FILTER(BS15:BS17,BT15:BT17=""))+SUM(_xlfn._xlws.FILTER(BR15:BR17,(BS15:BS17="")*(BT15:BT17="")))+SUMIFS(BU15:BU17,BT15:BT17,"&lt;&gt;"&amp;"",$P$15:$P$17,"&lt;&gt;"&amp;"")+SUM(BQ15:BQ17)</f>
        <v>0</v>
      </c>
      <c r="BR11" s="102"/>
      <c r="BS11" s="102"/>
      <c r="BT11" s="102"/>
      <c r="BU11" s="103"/>
      <c r="BV11" s="4" t="s">
        <v>14</v>
      </c>
      <c r="BW11" s="5">
        <f>BW13-BV13</f>
        <v>0</v>
      </c>
    </row>
    <row r="12" spans="1:77" ht="15.75" thickBot="1" x14ac:dyDescent="0.3">
      <c r="A12" s="34" t="s">
        <v>15</v>
      </c>
      <c r="B12" s="31" t="s">
        <v>10</v>
      </c>
      <c r="D12" s="18"/>
      <c r="E12" s="19"/>
      <c r="F12" s="19"/>
      <c r="G12" s="19"/>
      <c r="H12" s="19"/>
      <c r="I12" s="19"/>
      <c r="J12" s="19"/>
      <c r="K12" s="60" t="s">
        <v>16</v>
      </c>
      <c r="L12" s="111" t="s">
        <v>17</v>
      </c>
      <c r="M12" s="112"/>
      <c r="N12" s="101" cm="1">
        <f t="array" ref="N12">SUM(Q15:Q17)+SUM(_xlfn._xlws.FILTER(P15:P17,Q15:Q17=""))+SUM(_xlfn._xlws.FILTER(O15:O17,(P15:P17="")*(Q15:Q17="")))</f>
        <v>0</v>
      </c>
      <c r="O12" s="102"/>
      <c r="P12" s="102"/>
      <c r="Q12" s="102"/>
      <c r="R12" s="103"/>
      <c r="S12" s="101" cm="1">
        <f t="array" ref="S12">SUM(V15:V17)+SUM(_xlfn._xlws.FILTER(U15:U17,V15:V17=""))+SUM(_xlfn._xlws.FILTER(T15:T17,(U15:U17="")*(V15:V17="")))</f>
        <v>0</v>
      </c>
      <c r="T12" s="102"/>
      <c r="U12" s="102"/>
      <c r="V12" s="102"/>
      <c r="W12" s="103"/>
      <c r="X12" s="101" cm="1">
        <f t="array" ref="X12">SUM(AA15:AA17)+SUM(_xlfn._xlws.FILTER(Z15:Z17,AA15:AA17=""))+SUM(_xlfn._xlws.FILTER(Y15:Y17,(Z15:Z17="")*(AA15:AA17="")))</f>
        <v>0</v>
      </c>
      <c r="Y12" s="102"/>
      <c r="Z12" s="102"/>
      <c r="AA12" s="102"/>
      <c r="AB12" s="103"/>
      <c r="AC12" s="101" cm="1">
        <f t="array" ref="AC12">SUM(AF15:AF17)+SUM(_xlfn._xlws.FILTER(AE15:AE17,AF15:AF17=""))+SUM(_xlfn._xlws.FILTER(AD15:AD17,(AE15:AE17="")*(AF15:AF17="")))</f>
        <v>0</v>
      </c>
      <c r="AD12" s="102"/>
      <c r="AE12" s="102"/>
      <c r="AF12" s="102"/>
      <c r="AG12" s="103"/>
      <c r="AH12" s="101" cm="1">
        <f t="array" ref="AH12">SUM(AK15:AK17)+SUM(_xlfn._xlws.FILTER(AJ15:AJ17,AK15:AK17=""))+SUM(_xlfn._xlws.FILTER(AI15:AI17,(AJ15:AJ17="")*(AK15:AK17="")))</f>
        <v>0</v>
      </c>
      <c r="AI12" s="102"/>
      <c r="AJ12" s="102"/>
      <c r="AK12" s="102"/>
      <c r="AL12" s="103"/>
      <c r="AM12" s="101" cm="1">
        <f t="array" ref="AM12">SUM(AP15:AP17)+SUM(_xlfn._xlws.FILTER(AO15:AO17,AP15:AP17=""))+SUM(_xlfn._xlws.FILTER(AN15:AN17,(AO15:AO17="")*(AP15:AP17="")))</f>
        <v>0</v>
      </c>
      <c r="AN12" s="102"/>
      <c r="AO12" s="102"/>
      <c r="AP12" s="102"/>
      <c r="AQ12" s="103"/>
      <c r="AR12" s="101" cm="1">
        <f t="array" ref="AR12">SUM(AU15:AU17)+SUM(_xlfn._xlws.FILTER(AT15:AT17,AU15:AU17=""))+SUM(_xlfn._xlws.FILTER(AS15:AS17,(AT15:AT17="")*(AU15:AU17="")))</f>
        <v>0</v>
      </c>
      <c r="AS12" s="102"/>
      <c r="AT12" s="102"/>
      <c r="AU12" s="102"/>
      <c r="AV12" s="103"/>
      <c r="AW12" s="101" cm="1">
        <f t="array" ref="AW12">SUM(AZ15:AZ17)+SUM(_xlfn._xlws.FILTER(AY15:AY17,AZ15:AZ17=""))+SUM(_xlfn._xlws.FILTER(AX15:AX17,(AY15:AY17="")*(AZ15:AZ17="")))</f>
        <v>0</v>
      </c>
      <c r="AX12" s="102"/>
      <c r="AY12" s="102"/>
      <c r="AZ12" s="102"/>
      <c r="BA12" s="103"/>
      <c r="BB12" s="101" cm="1">
        <f t="array" ref="BB12">SUM(BE15:BE17)+SUM(_xlfn._xlws.FILTER(BD15:BD17,BE15:BE17=""))+SUM(_xlfn._xlws.FILTER(BC15:BC17,(BD15:BD17="")*(BE15:BE17="")))</f>
        <v>0</v>
      </c>
      <c r="BC12" s="102"/>
      <c r="BD12" s="102"/>
      <c r="BE12" s="102"/>
      <c r="BF12" s="103"/>
      <c r="BG12" s="101" cm="1">
        <f t="array" ref="BG12">SUM(BJ15:BJ17)+SUM(_xlfn._xlws.FILTER(BI15:BI17,BJ15:BJ17=""))+SUM(_xlfn._xlws.FILTER(BH15:BH17,(BI15:BI17="")*(BJ15:BJ17="")))</f>
        <v>0</v>
      </c>
      <c r="BH12" s="102"/>
      <c r="BI12" s="102"/>
      <c r="BJ12" s="102"/>
      <c r="BK12" s="103"/>
      <c r="BL12" s="101" cm="1">
        <f t="array" ref="BL12">SUM(BO15:BO17)+SUM(_xlfn._xlws.FILTER(BN15:BN17,BO15:BO17=""))+SUM(_xlfn._xlws.FILTER(BM15:BM17,(BN15:BN17="")*(BO15:BO17="")))</f>
        <v>0</v>
      </c>
      <c r="BM12" s="102"/>
      <c r="BN12" s="102"/>
      <c r="BO12" s="102"/>
      <c r="BP12" s="103"/>
      <c r="BQ12" s="101" cm="1">
        <f t="array" ref="BQ12">SUM(BT15:BT17)+SUM(_xlfn._xlws.FILTER(BS15:BS17,BT15:BT17=""))+SUM(_xlfn._xlws.FILTER(BR15:BR17,(BS15:BS17="")*(BT15:BT17="")))</f>
        <v>0</v>
      </c>
      <c r="BR12" s="102"/>
      <c r="BS12" s="102"/>
      <c r="BT12" s="102"/>
      <c r="BU12" s="103"/>
      <c r="BV12" s="4"/>
      <c r="BW12" s="5"/>
    </row>
    <row r="13" spans="1:77" ht="16.5" thickBot="1" x14ac:dyDescent="0.3">
      <c r="A13" s="6" t="s">
        <v>18</v>
      </c>
      <c r="H13" s="6"/>
      <c r="I13" s="6"/>
      <c r="J13" s="6"/>
      <c r="K13" s="99">
        <f>SUBTOTAL(9,K15:K16)</f>
        <v>0</v>
      </c>
      <c r="L13" s="111" t="s">
        <v>19</v>
      </c>
      <c r="M13" s="112"/>
      <c r="N13" s="104">
        <v>46053</v>
      </c>
      <c r="O13" s="105" t="s">
        <v>20</v>
      </c>
      <c r="P13" s="105"/>
      <c r="Q13" s="105"/>
      <c r="R13" s="105"/>
      <c r="S13" s="104" t="s">
        <v>21</v>
      </c>
      <c r="T13" s="105"/>
      <c r="U13" s="105"/>
      <c r="V13" s="105"/>
      <c r="W13" s="106"/>
      <c r="X13" s="104">
        <v>46112</v>
      </c>
      <c r="Y13" s="105" t="s">
        <v>22</v>
      </c>
      <c r="Z13" s="105"/>
      <c r="AA13" s="105"/>
      <c r="AB13" s="106"/>
      <c r="AC13" s="104">
        <v>46142</v>
      </c>
      <c r="AD13" s="105" t="s">
        <v>23</v>
      </c>
      <c r="AE13" s="105"/>
      <c r="AF13" s="105"/>
      <c r="AG13" s="106"/>
      <c r="AH13" s="104">
        <v>46173</v>
      </c>
      <c r="AI13" s="105" t="s">
        <v>24</v>
      </c>
      <c r="AJ13" s="105"/>
      <c r="AK13" s="105"/>
      <c r="AL13" s="106"/>
      <c r="AM13" s="104">
        <v>46203</v>
      </c>
      <c r="AN13" s="105" t="s">
        <v>25</v>
      </c>
      <c r="AO13" s="105"/>
      <c r="AP13" s="105"/>
      <c r="AQ13" s="106"/>
      <c r="AR13" s="104">
        <v>46234</v>
      </c>
      <c r="AS13" s="105" t="s">
        <v>26</v>
      </c>
      <c r="AT13" s="105"/>
      <c r="AU13" s="105"/>
      <c r="AV13" s="106"/>
      <c r="AW13" s="104">
        <v>46265</v>
      </c>
      <c r="AX13" s="105" t="s">
        <v>27</v>
      </c>
      <c r="AY13" s="105"/>
      <c r="AZ13" s="105"/>
      <c r="BA13" s="106"/>
      <c r="BB13" s="104">
        <v>46295</v>
      </c>
      <c r="BC13" s="105" t="s">
        <v>28</v>
      </c>
      <c r="BD13" s="105"/>
      <c r="BE13" s="105"/>
      <c r="BF13" s="106"/>
      <c r="BG13" s="104">
        <v>46326</v>
      </c>
      <c r="BH13" s="105" t="s">
        <v>29</v>
      </c>
      <c r="BI13" s="105"/>
      <c r="BJ13" s="105"/>
      <c r="BK13" s="106"/>
      <c r="BL13" s="104">
        <v>46356</v>
      </c>
      <c r="BM13" s="105" t="s">
        <v>30</v>
      </c>
      <c r="BN13" s="105"/>
      <c r="BO13" s="105"/>
      <c r="BP13" s="106"/>
      <c r="BQ13" s="104">
        <v>46387</v>
      </c>
      <c r="BR13" s="105" t="s">
        <v>31</v>
      </c>
      <c r="BS13" s="105"/>
      <c r="BT13" s="105"/>
      <c r="BU13" s="106"/>
      <c r="BV13" s="7">
        <f>SUM(BV15:BV17)</f>
        <v>0</v>
      </c>
      <c r="BW13" s="8"/>
      <c r="BY13" s="3"/>
    </row>
    <row r="14" spans="1:77" ht="60.75" thickBot="1" x14ac:dyDescent="0.3">
      <c r="A14" s="91" t="s">
        <v>32</v>
      </c>
      <c r="B14" s="92" t="s">
        <v>33</v>
      </c>
      <c r="C14" s="93" t="s">
        <v>34</v>
      </c>
      <c r="D14" s="94" t="s">
        <v>35</v>
      </c>
      <c r="E14" s="95" t="s">
        <v>36</v>
      </c>
      <c r="F14" s="95" t="s">
        <v>37</v>
      </c>
      <c r="G14" s="93" t="s">
        <v>38</v>
      </c>
      <c r="H14" s="93" t="s">
        <v>39</v>
      </c>
      <c r="I14" s="93" t="s">
        <v>40</v>
      </c>
      <c r="J14" s="93" t="s">
        <v>7</v>
      </c>
      <c r="K14" s="96" t="s">
        <v>41</v>
      </c>
      <c r="L14" s="97" t="s">
        <v>42</v>
      </c>
      <c r="M14" s="98" t="s">
        <v>43</v>
      </c>
      <c r="N14" s="75" t="s">
        <v>44</v>
      </c>
      <c r="O14" s="76" t="s">
        <v>45</v>
      </c>
      <c r="P14" s="76" t="s">
        <v>46</v>
      </c>
      <c r="Q14" s="76" t="s">
        <v>47</v>
      </c>
      <c r="R14" s="77" t="s">
        <v>48</v>
      </c>
      <c r="S14" s="78" t="s">
        <v>49</v>
      </c>
      <c r="T14" s="76" t="s">
        <v>50</v>
      </c>
      <c r="U14" s="76" t="s">
        <v>51</v>
      </c>
      <c r="V14" s="79" t="s">
        <v>52</v>
      </c>
      <c r="W14" s="80" t="s">
        <v>48</v>
      </c>
      <c r="X14" s="78" t="s">
        <v>53</v>
      </c>
      <c r="Y14" s="76" t="s">
        <v>54</v>
      </c>
      <c r="Z14" s="76" t="s">
        <v>55</v>
      </c>
      <c r="AA14" s="79" t="s">
        <v>56</v>
      </c>
      <c r="AB14" s="80" t="s">
        <v>48</v>
      </c>
      <c r="AC14" s="78" t="s">
        <v>57</v>
      </c>
      <c r="AD14" s="76" t="s">
        <v>58</v>
      </c>
      <c r="AE14" s="76" t="s">
        <v>59</v>
      </c>
      <c r="AF14" s="79" t="s">
        <v>60</v>
      </c>
      <c r="AG14" s="80" t="s">
        <v>48</v>
      </c>
      <c r="AH14" s="78" t="s">
        <v>61</v>
      </c>
      <c r="AI14" s="76" t="s">
        <v>62</v>
      </c>
      <c r="AJ14" s="76" t="s">
        <v>63</v>
      </c>
      <c r="AK14" s="79" t="s">
        <v>64</v>
      </c>
      <c r="AL14" s="80" t="s">
        <v>48</v>
      </c>
      <c r="AM14" s="78" t="s">
        <v>65</v>
      </c>
      <c r="AN14" s="76" t="s">
        <v>66</v>
      </c>
      <c r="AO14" s="76" t="s">
        <v>67</v>
      </c>
      <c r="AP14" s="79" t="s">
        <v>68</v>
      </c>
      <c r="AQ14" s="80" t="s">
        <v>48</v>
      </c>
      <c r="AR14" s="78" t="s">
        <v>69</v>
      </c>
      <c r="AS14" s="76" t="s">
        <v>70</v>
      </c>
      <c r="AT14" s="76" t="s">
        <v>71</v>
      </c>
      <c r="AU14" s="79" t="s">
        <v>72</v>
      </c>
      <c r="AV14" s="80" t="s">
        <v>48</v>
      </c>
      <c r="AW14" s="78" t="s">
        <v>73</v>
      </c>
      <c r="AX14" s="76" t="s">
        <v>74</v>
      </c>
      <c r="AY14" s="76" t="s">
        <v>75</v>
      </c>
      <c r="AZ14" s="79" t="s">
        <v>76</v>
      </c>
      <c r="BA14" s="80" t="s">
        <v>48</v>
      </c>
      <c r="BB14" s="78" t="s">
        <v>77</v>
      </c>
      <c r="BC14" s="76" t="s">
        <v>78</v>
      </c>
      <c r="BD14" s="76" t="s">
        <v>79</v>
      </c>
      <c r="BE14" s="79" t="s">
        <v>80</v>
      </c>
      <c r="BF14" s="80" t="s">
        <v>48</v>
      </c>
      <c r="BG14" s="78" t="s">
        <v>81</v>
      </c>
      <c r="BH14" s="76" t="s">
        <v>82</v>
      </c>
      <c r="BI14" s="76" t="s">
        <v>83</v>
      </c>
      <c r="BJ14" s="79" t="s">
        <v>84</v>
      </c>
      <c r="BK14" s="80" t="s">
        <v>48</v>
      </c>
      <c r="BL14" s="78" t="s">
        <v>85</v>
      </c>
      <c r="BM14" s="76" t="s">
        <v>86</v>
      </c>
      <c r="BN14" s="76" t="s">
        <v>87</v>
      </c>
      <c r="BO14" s="79" t="s">
        <v>88</v>
      </c>
      <c r="BP14" s="80" t="s">
        <v>48</v>
      </c>
      <c r="BQ14" s="78" t="s">
        <v>89</v>
      </c>
      <c r="BR14" s="76" t="s">
        <v>90</v>
      </c>
      <c r="BS14" s="76" t="s">
        <v>91</v>
      </c>
      <c r="BT14" s="79" t="s">
        <v>92</v>
      </c>
      <c r="BU14" s="80" t="s">
        <v>48</v>
      </c>
      <c r="BV14" s="81" t="s">
        <v>93</v>
      </c>
      <c r="BW14" s="82" t="s">
        <v>94</v>
      </c>
      <c r="BX14" s="63" t="s">
        <v>95</v>
      </c>
    </row>
    <row r="15" spans="1:77" x14ac:dyDescent="0.25">
      <c r="A15" s="64"/>
      <c r="B15" s="41"/>
      <c r="C15" s="42"/>
      <c r="D15" s="42"/>
      <c r="E15" s="89"/>
      <c r="F15" s="40"/>
      <c r="G15" s="40"/>
      <c r="H15" s="40"/>
      <c r="I15" s="40"/>
      <c r="J15" s="40"/>
      <c r="K15" s="43"/>
      <c r="L15" s="90"/>
      <c r="M15" s="65"/>
      <c r="N15" s="74"/>
      <c r="O15" s="10"/>
      <c r="P15" s="10"/>
      <c r="Q15" s="12"/>
      <c r="R15" s="12">
        <f t="shared" ref="R15:R16" si="0">P15-Q15</f>
        <v>0</v>
      </c>
      <c r="S15" s="11"/>
      <c r="T15" s="10"/>
      <c r="U15" s="10"/>
      <c r="V15" s="12"/>
      <c r="W15" s="13">
        <f t="shared" ref="W15:W16" si="1">U15-V15</f>
        <v>0</v>
      </c>
      <c r="X15" s="14"/>
      <c r="Y15" s="10"/>
      <c r="Z15" s="10"/>
      <c r="AA15" s="12"/>
      <c r="AB15" s="13">
        <f t="shared" ref="AB15:AB16" si="2">Z15-AA15</f>
        <v>0</v>
      </c>
      <c r="AC15" s="14"/>
      <c r="AD15" s="10"/>
      <c r="AE15" s="10"/>
      <c r="AF15" s="10"/>
      <c r="AG15" s="13">
        <f t="shared" ref="AG15:AG16" si="3">AE15-AF15</f>
        <v>0</v>
      </c>
      <c r="AH15" s="14"/>
      <c r="AI15" s="10"/>
      <c r="AJ15" s="10"/>
      <c r="AK15" s="10"/>
      <c r="AL15" s="13">
        <f t="shared" ref="AL15:AL16" si="4">AJ15-AK15</f>
        <v>0</v>
      </c>
      <c r="AM15" s="14"/>
      <c r="AN15" s="10"/>
      <c r="AO15" s="10"/>
      <c r="AP15" s="10"/>
      <c r="AQ15" s="13">
        <f t="shared" ref="AQ15:AQ16" si="5">AO15-AP15</f>
        <v>0</v>
      </c>
      <c r="AR15" s="14"/>
      <c r="AS15" s="10"/>
      <c r="AT15" s="10"/>
      <c r="AU15" s="10"/>
      <c r="AV15" s="13">
        <f t="shared" ref="AV15:AV16" si="6">AT15-AU15</f>
        <v>0</v>
      </c>
      <c r="AW15" s="14"/>
      <c r="AX15" s="10"/>
      <c r="AY15" s="10"/>
      <c r="AZ15" s="10"/>
      <c r="BA15" s="13">
        <f t="shared" ref="BA15:BA16" si="7">AY15-AZ15</f>
        <v>0</v>
      </c>
      <c r="BB15" s="14"/>
      <c r="BC15" s="10"/>
      <c r="BD15" s="10"/>
      <c r="BE15" s="10"/>
      <c r="BF15" s="13">
        <f t="shared" ref="BF15:BF16" si="8">BD15-BE15</f>
        <v>0</v>
      </c>
      <c r="BG15" s="14"/>
      <c r="BH15" s="10"/>
      <c r="BI15" s="10"/>
      <c r="BJ15" s="10"/>
      <c r="BK15" s="13">
        <f t="shared" ref="BK15:BK16" si="9">BI15-BJ15</f>
        <v>0</v>
      </c>
      <c r="BL15" s="14"/>
      <c r="BM15" s="10"/>
      <c r="BN15" s="10"/>
      <c r="BO15" s="10"/>
      <c r="BP15" s="13">
        <f t="shared" ref="BP15:BP16" si="10">BN15-BO15</f>
        <v>0</v>
      </c>
      <c r="BQ15" s="14"/>
      <c r="BR15" s="10"/>
      <c r="BS15" s="10"/>
      <c r="BT15" s="10"/>
      <c r="BU15" s="13">
        <f t="shared" ref="BU15:BU16" si="11">BS15-BT15</f>
        <v>0</v>
      </c>
      <c r="BV15" s="9">
        <f t="shared" ref="BV15:BV17" si="12">SUM(IF(Q15&lt;&gt;"",Q15,IF(P15&lt;&gt;"",P15,O15)),IF(V15&lt;&gt;"",V15,IF(U15&lt;&gt;"",U15,T15)),IF(AA15&lt;&gt;"",AA15,IF(Z15&lt;&gt;"",Z15,Y15)),IF(AF15&lt;&gt;"",AF15,IF(AE15&lt;&gt;"",AE15,AD15)),IF(AK15&lt;&gt;"",AK15,IF(AJ15&lt;&gt;"",AJ15,AI15)),IF(AP15&lt;&gt;"",AP15,IF(AO15&lt;&gt;"",AO15,AN15)),IF(AU15&lt;&gt;"",AU15,IF(AT15&lt;&gt;"",AT15,AS15)),IF(AZ15&lt;&gt;"",AZ15,IF(AY15&lt;&gt;"",AY15,AX15)),IF(BE15&lt;&gt;"",BE15,IF(BD15&lt;&gt;"",BD15,BC15)),IF(BJ15&lt;&gt;"",BJ15,IF(BI15&lt;&gt;"",BI15,BH15)),IF(BO15&lt;&gt;"",BO15,IF(BN15&lt;&gt;"",BN15,BM15)),IF(BT15&lt;&gt;"",BT15,IF(BS15&lt;&gt;"",BS15,BR15)))</f>
        <v>0</v>
      </c>
      <c r="BW15" s="16"/>
      <c r="BX15" s="67"/>
    </row>
    <row r="16" spans="1:77" x14ac:dyDescent="0.25">
      <c r="A16" s="66"/>
      <c r="B16" s="44"/>
      <c r="C16" s="38"/>
      <c r="D16" s="38"/>
      <c r="E16" s="45"/>
      <c r="F16" s="45"/>
      <c r="G16" s="45"/>
      <c r="H16" s="45"/>
      <c r="I16" s="45"/>
      <c r="J16" s="45"/>
      <c r="K16" s="39"/>
      <c r="L16" s="45"/>
      <c r="M16" s="67"/>
      <c r="N16" s="74"/>
      <c r="O16" s="10"/>
      <c r="P16" s="10"/>
      <c r="Q16" s="12"/>
      <c r="R16" s="12">
        <f t="shared" si="0"/>
        <v>0</v>
      </c>
      <c r="S16" s="11"/>
      <c r="T16" s="10"/>
      <c r="U16" s="10"/>
      <c r="V16" s="12"/>
      <c r="W16" s="13">
        <f t="shared" si="1"/>
        <v>0</v>
      </c>
      <c r="X16" s="14"/>
      <c r="Y16" s="10"/>
      <c r="Z16" s="10"/>
      <c r="AA16" s="12"/>
      <c r="AB16" s="13">
        <f t="shared" si="2"/>
        <v>0</v>
      </c>
      <c r="AC16" s="14"/>
      <c r="AD16" s="10"/>
      <c r="AE16" s="10"/>
      <c r="AF16" s="12"/>
      <c r="AG16" s="13">
        <f t="shared" si="3"/>
        <v>0</v>
      </c>
      <c r="AH16" s="14"/>
      <c r="AI16" s="10"/>
      <c r="AJ16" s="10"/>
      <c r="AK16" s="12"/>
      <c r="AL16" s="13">
        <f t="shared" si="4"/>
        <v>0</v>
      </c>
      <c r="AM16" s="14"/>
      <c r="AN16" s="10"/>
      <c r="AO16" s="10"/>
      <c r="AP16" s="12"/>
      <c r="AQ16" s="13">
        <f t="shared" si="5"/>
        <v>0</v>
      </c>
      <c r="AR16" s="14"/>
      <c r="AS16" s="10"/>
      <c r="AT16" s="10"/>
      <c r="AU16" s="12"/>
      <c r="AV16" s="13">
        <f t="shared" si="6"/>
        <v>0</v>
      </c>
      <c r="AW16" s="14"/>
      <c r="AX16" s="10"/>
      <c r="AY16" s="10"/>
      <c r="AZ16" s="12"/>
      <c r="BA16" s="13">
        <f t="shared" si="7"/>
        <v>0</v>
      </c>
      <c r="BB16" s="14"/>
      <c r="BC16" s="10"/>
      <c r="BD16" s="10"/>
      <c r="BE16" s="12"/>
      <c r="BF16" s="13">
        <f t="shared" si="8"/>
        <v>0</v>
      </c>
      <c r="BG16" s="14"/>
      <c r="BH16" s="10"/>
      <c r="BI16" s="10"/>
      <c r="BJ16" s="12"/>
      <c r="BK16" s="13">
        <f t="shared" si="9"/>
        <v>0</v>
      </c>
      <c r="BL16" s="14"/>
      <c r="BM16" s="10"/>
      <c r="BN16" s="10"/>
      <c r="BO16" s="12"/>
      <c r="BP16" s="13">
        <f t="shared" si="10"/>
        <v>0</v>
      </c>
      <c r="BQ16" s="14"/>
      <c r="BR16" s="10"/>
      <c r="BS16" s="10"/>
      <c r="BT16" s="12"/>
      <c r="BU16" s="13">
        <f t="shared" si="11"/>
        <v>0</v>
      </c>
      <c r="BV16" s="11">
        <f t="shared" si="12"/>
        <v>0</v>
      </c>
      <c r="BW16" s="16"/>
      <c r="BX16" s="67"/>
    </row>
    <row r="17" spans="1:139" s="15" customFormat="1" x14ac:dyDescent="0.25">
      <c r="A17" s="68" t="s">
        <v>96</v>
      </c>
      <c r="B17" s="69"/>
      <c r="C17" s="70"/>
      <c r="D17" s="70"/>
      <c r="E17" s="71"/>
      <c r="F17" s="71"/>
      <c r="G17" s="71"/>
      <c r="H17" s="71"/>
      <c r="I17" s="71"/>
      <c r="J17" s="71"/>
      <c r="K17" s="72"/>
      <c r="L17" s="71"/>
      <c r="M17" s="73"/>
      <c r="N17" s="83"/>
      <c r="O17" s="84"/>
      <c r="P17" s="84"/>
      <c r="Q17" s="85"/>
      <c r="R17" s="85" t="str">
        <f>IF(OR(P17="",Q17=""),"",P17-Q17)</f>
        <v/>
      </c>
      <c r="S17" s="86"/>
      <c r="T17" s="84"/>
      <c r="U17" s="84"/>
      <c r="V17" s="85"/>
      <c r="W17" s="87"/>
      <c r="X17" s="88"/>
      <c r="Y17" s="84"/>
      <c r="Z17" s="84"/>
      <c r="AA17" s="85"/>
      <c r="AB17" s="87"/>
      <c r="AC17" s="88"/>
      <c r="AD17" s="84"/>
      <c r="AE17" s="84"/>
      <c r="AF17" s="85"/>
      <c r="AG17" s="87" t="str">
        <f t="shared" ref="AG17" si="13">IF(OR(AE17="",AF17=""),"",AE17-AF17)</f>
        <v/>
      </c>
      <c r="AH17" s="88"/>
      <c r="AI17" s="84"/>
      <c r="AJ17" s="84"/>
      <c r="AK17" s="85"/>
      <c r="AL17" s="87" t="str">
        <f t="shared" ref="AL17" si="14">IF(OR(AJ17="",AK17=""),"",AJ17-AK17)</f>
        <v/>
      </c>
      <c r="AM17" s="88"/>
      <c r="AN17" s="84"/>
      <c r="AO17" s="84"/>
      <c r="AP17" s="85"/>
      <c r="AQ17" s="87" t="str">
        <f t="shared" ref="AQ17" si="15">IF(OR(AO17="",AP17=""),"",AO17-AP17)</f>
        <v/>
      </c>
      <c r="AR17" s="88"/>
      <c r="AS17" s="84"/>
      <c r="AT17" s="84"/>
      <c r="AU17" s="85"/>
      <c r="AV17" s="87" t="str">
        <f t="shared" ref="AV17" si="16">IF(OR(AT17="",AU17=""),"",AT17-AU17)</f>
        <v/>
      </c>
      <c r="AW17" s="88"/>
      <c r="AX17" s="84"/>
      <c r="AY17" s="84"/>
      <c r="AZ17" s="85"/>
      <c r="BA17" s="87" t="str">
        <f t="shared" ref="BA17" si="17">IF(OR(AY17="",AZ17=""),"",AY17-AZ17)</f>
        <v/>
      </c>
      <c r="BB17" s="88"/>
      <c r="BC17" s="84"/>
      <c r="BD17" s="84"/>
      <c r="BE17" s="85"/>
      <c r="BF17" s="87" t="str">
        <f t="shared" ref="BF17" si="18">IF(OR(BD17="",BE17=""),"",BD17-BE17)</f>
        <v/>
      </c>
      <c r="BG17" s="88"/>
      <c r="BH17" s="84"/>
      <c r="BI17" s="84"/>
      <c r="BJ17" s="85"/>
      <c r="BK17" s="87" t="str">
        <f t="shared" ref="BK17" si="19">IF(OR(BI17="",BJ17=""),"",BI17-BJ17)</f>
        <v/>
      </c>
      <c r="BL17" s="88"/>
      <c r="BM17" s="84"/>
      <c r="BN17" s="84"/>
      <c r="BO17" s="85"/>
      <c r="BP17" s="87" t="str">
        <f t="shared" ref="BP17" si="20">IF(OR(BN17="",BO17=""),"",BN17-BO17)</f>
        <v/>
      </c>
      <c r="BQ17" s="88"/>
      <c r="BR17" s="84"/>
      <c r="BS17" s="84"/>
      <c r="BT17" s="85"/>
      <c r="BU17" s="87" t="str">
        <f t="shared" ref="BU17" si="21">IF(OR(BS17="",BT17=""),"",BS17-BT17)</f>
        <v/>
      </c>
      <c r="BV17" s="86">
        <f t="shared" si="12"/>
        <v>0</v>
      </c>
      <c r="BW17" s="83"/>
      <c r="BX17" s="73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</row>
    <row r="18" spans="1:139" x14ac:dyDescent="0.25">
      <c r="A18" t="s">
        <v>97</v>
      </c>
      <c r="AA18" s="3"/>
    </row>
  </sheetData>
  <autoFilter ref="A14:BY18" xr:uid="{177F1DEB-197D-49C6-A2E3-152C1AC7B373}"/>
  <mergeCells count="40">
    <mergeCell ref="A9:B9"/>
    <mergeCell ref="BQ12:BU12"/>
    <mergeCell ref="L11:M11"/>
    <mergeCell ref="L12:M12"/>
    <mergeCell ref="L13:M13"/>
    <mergeCell ref="BB13:BF13"/>
    <mergeCell ref="BG13:BK13"/>
    <mergeCell ref="BL13:BP13"/>
    <mergeCell ref="N12:R12"/>
    <mergeCell ref="S12:W12"/>
    <mergeCell ref="X12:AB12"/>
    <mergeCell ref="AC12:AG12"/>
    <mergeCell ref="AH12:AL12"/>
    <mergeCell ref="AM12:AQ12"/>
    <mergeCell ref="AR12:AV12"/>
    <mergeCell ref="AW12:BA12"/>
    <mergeCell ref="BB12:BF12"/>
    <mergeCell ref="BG12:BK12"/>
    <mergeCell ref="BL12:BP12"/>
    <mergeCell ref="AC13:AG13"/>
    <mergeCell ref="AH13:AL13"/>
    <mergeCell ref="AM13:AQ13"/>
    <mergeCell ref="AR13:AV13"/>
    <mergeCell ref="AW13:BA13"/>
    <mergeCell ref="BQ11:BU11"/>
    <mergeCell ref="BQ13:BU13"/>
    <mergeCell ref="S11:W11"/>
    <mergeCell ref="N11:R11"/>
    <mergeCell ref="X11:AB11"/>
    <mergeCell ref="AC11:AG11"/>
    <mergeCell ref="AH11:AL11"/>
    <mergeCell ref="AM11:AQ11"/>
    <mergeCell ref="AR11:AV11"/>
    <mergeCell ref="AW11:BA11"/>
    <mergeCell ref="BB11:BF11"/>
    <mergeCell ref="BG11:BK11"/>
    <mergeCell ref="BL11:BP11"/>
    <mergeCell ref="S13:W13"/>
    <mergeCell ref="N13:R13"/>
    <mergeCell ref="X13:AB13"/>
  </mergeCells>
  <conditionalFormatting sqref="Q15:Q17 V15:V17 AA15:AA17 AF15:AF17 AK15:AK17 AP15:AP17 AU15:AU17 AZ15:AZ17 BE15:BE17 BJ15:BJ17 BO15:BO17 BT15:BT17">
    <cfRule type="expression" dxfId="3" priority="8">
      <formula>IF(AND(P15&gt;0,Q15=0),TRUE,FALSE)</formula>
    </cfRule>
  </conditionalFormatting>
  <conditionalFormatting sqref="BT10 V15:X17 AB15:AC17 AG15:AH17 AL15:AM17 AQ15:AR17 AV15:AW17 BA15:BB17 BF15:BG17 BK15:BL17 BP15:BQ17 BU15:BU17">
    <cfRule type="expression" dxfId="2" priority="9">
      <formula>IF(AND(U10&lt;&gt;"",V10="",TODAY()&gt;DATE(YEAR(TODAY()),MONTH(DATEVALUE("1-"&amp;LEFT(#REF!,3)&amp;"-1900")),20)),TRUE,FALSE)</formula>
    </cfRule>
  </conditionalFormatting>
  <conditionalFormatting sqref="BV15">
    <cfRule type="cellIs" dxfId="1" priority="33" operator="greaterThan">
      <formula>90%*#REF!</formula>
    </cfRule>
  </conditionalFormatting>
  <conditionalFormatting sqref="BW11:BW12">
    <cfRule type="expression" dxfId="0" priority="7">
      <formula>IF(BW11&lt;0,TRUE,FALSE)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ede0e7-b4a5-4e74-9fbf-51d976a6ba09" xsi:nil="true"/>
    <lcf76f155ced4ddcb4097134ff3c332f xmlns="19b1ad6d-7bbd-4338-adb0-a51e11e836c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3B1E9AF76D8540A21B723585178CF2" ma:contentTypeVersion="16" ma:contentTypeDescription="Create a new document." ma:contentTypeScope="" ma:versionID="9038a3d09b9201f70a536d69b3ffdde9">
  <xsd:schema xmlns:xsd="http://www.w3.org/2001/XMLSchema" xmlns:xs="http://www.w3.org/2001/XMLSchema" xmlns:p="http://schemas.microsoft.com/office/2006/metadata/properties" xmlns:ns2="19b1ad6d-7bbd-4338-adb0-a51e11e836c7" xmlns:ns3="8aede0e7-b4a5-4e74-9fbf-51d976a6ba09" targetNamespace="http://schemas.microsoft.com/office/2006/metadata/properties" ma:root="true" ma:fieldsID="c9f1b7b0d1eaccac7f713200a7ec3f32" ns2:_="" ns3:_="">
    <xsd:import namespace="19b1ad6d-7bbd-4338-adb0-a51e11e836c7"/>
    <xsd:import namespace="8aede0e7-b4a5-4e74-9fbf-51d976a6ba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1ad6d-7bbd-4338-adb0-a51e11e836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f9dd247-5f48-452a-8dc4-ff9a39258e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de0e7-b4a5-4e74-9fbf-51d976a6ba0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f21be60d-5ef1-46be-82cd-f89519fda6b0}" ma:internalName="TaxCatchAll" ma:showField="CatchAllData" ma:web="8aede0e7-b4a5-4e74-9fbf-51d976a6ba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14A8F8-9AED-4C02-B640-81A3A1FEB0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C2B212-31BA-49FB-B215-9E14B2C60948}">
  <ds:schemaRefs>
    <ds:schemaRef ds:uri="http://schemas.microsoft.com/office/2006/metadata/properties"/>
    <ds:schemaRef ds:uri="http://schemas.microsoft.com/office/infopath/2007/PartnerControls"/>
    <ds:schemaRef ds:uri="8aede0e7-b4a5-4e74-9fbf-51d976a6ba09"/>
    <ds:schemaRef ds:uri="19b1ad6d-7bbd-4338-adb0-a51e11e836c7"/>
  </ds:schemaRefs>
</ds:datastoreItem>
</file>

<file path=customXml/itemProps3.xml><?xml version="1.0" encoding="utf-8"?>
<ds:datastoreItem xmlns:ds="http://schemas.openxmlformats.org/officeDocument/2006/customXml" ds:itemID="{0B6774AE-0D33-4944-9922-507715E1B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b1ad6d-7bbd-4338-adb0-a51e11e836c7"/>
    <ds:schemaRef ds:uri="8aede0e7-b4a5-4e74-9fbf-51d976a6ba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Ali, Michael</dc:creator>
  <cp:keywords/>
  <dc:description/>
  <cp:lastModifiedBy>Hovey, Owen (Contractor)</cp:lastModifiedBy>
  <cp:revision/>
  <dcterms:created xsi:type="dcterms:W3CDTF">2024-04-15T21:07:03Z</dcterms:created>
  <dcterms:modified xsi:type="dcterms:W3CDTF">2026-02-11T15:16:36Z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2024-04-15T21:09:09Z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a5adbada-ee90-4aa5-b622-c8c00884043c</vt:lpwstr>
  </property>
  <property fmtid="{D5CDD505-2E9C-101B-9397-08002B2CF9AE}" pid="8" name="MSIP_Label_4791b42f-c435-42ca-9531-75a3f42aae3d_ContentBits">
    <vt:lpwstr>0</vt:lpwstr>
  </property>
  <property fmtid="{D5CDD505-2E9C-101B-9397-08002B2CF9AE}" pid="9" name="ContentTypeId">
    <vt:lpwstr>0x0101002B3B1E9AF76D8540A21B723585178CF2</vt:lpwstr>
  </property>
  <property fmtid="{D5CDD505-2E9C-101B-9397-08002B2CF9AE}" pid="10" name="MediaServiceImageTags">
    <vt:lpwstr/>
  </property>
</Properties>
</file>